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Ex1.xml" ContentType="application/vnd.ms-office.chartex+xml"/>
  <Override PartName="/xl/charts/style20.xml" ContentType="application/vnd.ms-office.chartstyle+xml"/>
  <Override PartName="/xl/charts/colors20.xml" ContentType="application/vnd.ms-office.chartcolorstyle+xml"/>
  <Override PartName="/xl/charts/chartEx2.xml" ContentType="application/vnd.ms-office.chartex+xml"/>
  <Override PartName="/xl/charts/style21.xml" ContentType="application/vnd.ms-office.chartstyle+xml"/>
  <Override PartName="/xl/charts/colors21.xml" ContentType="application/vnd.ms-office.chartcolorstyle+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2.xml" ContentType="application/vnd.openxmlformats-officedocument.spreadsheetml.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9.xml" ContentType="application/vnd.openxmlformats-officedocument.spreadsheetml.pivot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G:\My Drive\IOTSOFT\LBHS-Dashboard\"/>
    </mc:Choice>
  </mc:AlternateContent>
  <xr:revisionPtr revIDLastSave="0" documentId="13_ncr:1_{336AE717-BCF3-468F-88B2-CE6EF38681AF}" xr6:coauthVersionLast="47" xr6:coauthVersionMax="47" xr10:uidLastSave="{00000000-0000-0000-0000-000000000000}"/>
  <bookViews>
    <workbookView xWindow="-110" yWindow="-110" windowWidth="25820" windowHeight="15500" tabRatio="761" xr2:uid="{C946473E-429F-45F5-BEC3-B418E70A8789}"/>
  </bookViews>
  <sheets>
    <sheet name="Dashboard " sheetId="6" r:id="rId1"/>
    <sheet name="1. Sĩ số học sinh" sheetId="4" r:id="rId2"/>
    <sheet name="2. Câu lạc bộ" sheetId="8" r:id="rId3"/>
    <sheet name="3. Tiết dạy" sheetId="1" r:id="rId4"/>
    <sheet name="4. Khám sức khỏe" sheetId="3" r:id="rId5"/>
    <sheet name="5. Nghỉ phép" sheetId="2" r:id="rId6"/>
    <sheet name="6. Sửa chữa" sheetId="5" r:id="rId7"/>
    <sheet name="7. Biến động nhân sự" sheetId="16" r:id="rId8"/>
    <sheet name="8. Tư vấn tuyển sinh" sheetId="18" r:id="rId9"/>
  </sheets>
  <definedNames>
    <definedName name="_xlnm._FilterDatabase" localSheetId="1" hidden="1">'1. Sĩ số học sinh'!$A$31:$P$56</definedName>
    <definedName name="_xlnm._FilterDatabase" localSheetId="3" hidden="1">'3. Tiết dạy'!$A$1:$L$147</definedName>
    <definedName name="_xlnm._FilterDatabase" localSheetId="4" hidden="1">'4. Khám sức khỏe'!$A$1:$L$132</definedName>
    <definedName name="_xlnm._FilterDatabase" localSheetId="5" hidden="1">'5. Nghỉ phép'!$A$1:$J$471</definedName>
    <definedName name="_xlnm._FilterDatabase" localSheetId="7" hidden="1">'7. Biến động nhân sự'!$A$1:$N$45</definedName>
    <definedName name="_xlnm._FilterDatabase" localSheetId="0" hidden="1">'Dashboard '!$L$239:$N$247</definedName>
    <definedName name="_xlchart.v1.3" hidden="1">'6. Sửa chữa'!$A$30:$A$42</definedName>
    <definedName name="_xlchart.v1.4" hidden="1">'6. Sửa chữa'!$F$30:$F$42</definedName>
    <definedName name="_xlchart.v2.0" hidden="1">'6. Sửa chữa'!$A$17:$A$26</definedName>
    <definedName name="_xlchart.v2.1" hidden="1">'6. Sửa chữa'!$I$16</definedName>
    <definedName name="_xlchart.v2.2" hidden="1">'6. Sửa chữa'!$I$17:$I$26</definedName>
    <definedName name="_xlnm.Print_Area" localSheetId="0">'Dashboard '!$A$2:$J$335</definedName>
    <definedName name="Slicer_Cap">#N/A</definedName>
    <definedName name="Slicer_Cap1">#N/A</definedName>
    <definedName name="Slicer_Loại_HĐ">#N/A</definedName>
    <definedName name="Slicer_PhongBan">#N/A</definedName>
    <definedName name="Slicer_PhongBan1">#N/A</definedName>
    <definedName name="Slicer_Tháng">#N/A</definedName>
    <definedName name="Slicer_Tháng1">#N/A</definedName>
    <definedName name="Slicer_Tháng2">#N/A</definedName>
    <definedName name="Slicer_Tháng3">#N/A</definedName>
    <definedName name="Slicer_Tháng4">#N/A</definedName>
  </definedNames>
  <calcPr calcId="191029"/>
  <pivotCaches>
    <pivotCache cacheId="0" r:id="rId10"/>
    <pivotCache cacheId="1" r:id="rId11"/>
    <pivotCache cacheId="2" r:id="rId12"/>
    <pivotCache cacheId="3"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88" i="18" l="1"/>
  <c r="N187" i="18"/>
  <c r="N186" i="18"/>
  <c r="N185" i="18"/>
  <c r="N184" i="18"/>
  <c r="N183" i="18"/>
  <c r="N182" i="18"/>
  <c r="N181" i="18"/>
  <c r="N180" i="18"/>
  <c r="N179" i="18"/>
  <c r="D179" i="18"/>
  <c r="E179" i="18"/>
  <c r="F179" i="18"/>
  <c r="G179" i="18"/>
  <c r="H179" i="18"/>
  <c r="I179" i="18"/>
  <c r="J179" i="18"/>
  <c r="K179" i="18"/>
  <c r="L179" i="18"/>
  <c r="M179" i="18"/>
  <c r="D180" i="18"/>
  <c r="E180" i="18"/>
  <c r="F180" i="18"/>
  <c r="G180" i="18"/>
  <c r="H180" i="18"/>
  <c r="I180" i="18"/>
  <c r="J180" i="18"/>
  <c r="K180" i="18"/>
  <c r="L180" i="18"/>
  <c r="M180" i="18"/>
  <c r="D181" i="18"/>
  <c r="E181" i="18"/>
  <c r="F181" i="18"/>
  <c r="G181" i="18"/>
  <c r="H181" i="18"/>
  <c r="I181" i="18"/>
  <c r="J181" i="18"/>
  <c r="K181" i="18"/>
  <c r="L181" i="18"/>
  <c r="M181" i="18"/>
  <c r="D182" i="18"/>
  <c r="E182" i="18"/>
  <c r="F182" i="18"/>
  <c r="G182" i="18"/>
  <c r="H182" i="18"/>
  <c r="I182" i="18"/>
  <c r="J182" i="18"/>
  <c r="K182" i="18"/>
  <c r="L182" i="18"/>
  <c r="M182" i="18"/>
  <c r="D183" i="18"/>
  <c r="E183" i="18"/>
  <c r="F183" i="18"/>
  <c r="G183" i="18"/>
  <c r="H183" i="18"/>
  <c r="I183" i="18"/>
  <c r="J183" i="18"/>
  <c r="K183" i="18"/>
  <c r="L183" i="18"/>
  <c r="M183" i="18"/>
  <c r="D184" i="18"/>
  <c r="E184" i="18"/>
  <c r="F184" i="18"/>
  <c r="G184" i="18"/>
  <c r="H184" i="18"/>
  <c r="I184" i="18"/>
  <c r="J184" i="18"/>
  <c r="K184" i="18"/>
  <c r="L184" i="18"/>
  <c r="M184" i="18"/>
  <c r="D185" i="18"/>
  <c r="E185" i="18"/>
  <c r="F185" i="18"/>
  <c r="G185" i="18"/>
  <c r="H185" i="18"/>
  <c r="I185" i="18"/>
  <c r="J185" i="18"/>
  <c r="K185" i="18"/>
  <c r="L185" i="18"/>
  <c r="M185" i="18"/>
  <c r="D186" i="18"/>
  <c r="E186" i="18"/>
  <c r="F186" i="18"/>
  <c r="G186" i="18"/>
  <c r="H186" i="18"/>
  <c r="I186" i="18"/>
  <c r="J186" i="18"/>
  <c r="K186" i="18"/>
  <c r="L186" i="18"/>
  <c r="M186" i="18"/>
  <c r="D187" i="18"/>
  <c r="E187" i="18"/>
  <c r="F187" i="18"/>
  <c r="G187" i="18"/>
  <c r="H187" i="18"/>
  <c r="I187" i="18"/>
  <c r="J187" i="18"/>
  <c r="K187" i="18"/>
  <c r="L187" i="18"/>
  <c r="M187" i="18"/>
  <c r="D188" i="18"/>
  <c r="E188" i="18"/>
  <c r="F188" i="18"/>
  <c r="G188" i="18"/>
  <c r="H188" i="18"/>
  <c r="I188" i="18"/>
  <c r="J188" i="18"/>
  <c r="K188" i="18"/>
  <c r="L188" i="18"/>
  <c r="M188" i="18"/>
  <c r="B180" i="18"/>
  <c r="C180" i="18"/>
  <c r="B181" i="18"/>
  <c r="C181" i="18"/>
  <c r="B182" i="18"/>
  <c r="C182" i="18"/>
  <c r="B183" i="18"/>
  <c r="C183" i="18"/>
  <c r="B184" i="18"/>
  <c r="C184" i="18"/>
  <c r="B185" i="18"/>
  <c r="C185" i="18"/>
  <c r="B186" i="18"/>
  <c r="C186" i="18"/>
  <c r="B187" i="18"/>
  <c r="C187" i="18"/>
  <c r="B188" i="18"/>
  <c r="C188" i="18"/>
  <c r="C179" i="18"/>
  <c r="B179" i="18"/>
  <c r="C177" i="18"/>
  <c r="B177" i="18"/>
  <c r="C176" i="18"/>
  <c r="B176" i="18"/>
  <c r="N176" i="18" s="1"/>
  <c r="C175" i="18"/>
  <c r="B175" i="18"/>
  <c r="N177" i="18"/>
  <c r="N175" i="18"/>
  <c r="N173" i="18"/>
  <c r="N172" i="18"/>
  <c r="N171" i="18"/>
  <c r="C169" i="18"/>
  <c r="C173" i="18" s="1"/>
  <c r="B169" i="18"/>
  <c r="B173" i="18" s="1"/>
  <c r="C168" i="18"/>
  <c r="C172" i="18" s="1"/>
  <c r="B168" i="18"/>
  <c r="B172" i="18" s="1"/>
  <c r="C167" i="18"/>
  <c r="C171" i="18" s="1"/>
  <c r="B167" i="18"/>
  <c r="B171" i="18" s="1"/>
  <c r="C165" i="18"/>
  <c r="B165" i="18"/>
  <c r="C164" i="18"/>
  <c r="B164" i="18"/>
  <c r="C163" i="18"/>
  <c r="B163" i="18"/>
  <c r="E282" i="6"/>
  <c r="C14" i="5"/>
  <c r="D14" i="5"/>
  <c r="E14" i="5"/>
  <c r="F14" i="5"/>
  <c r="G14" i="5"/>
  <c r="H14" i="5"/>
  <c r="I14" i="5"/>
  <c r="J14" i="5"/>
  <c r="K14" i="5"/>
  <c r="L14" i="5"/>
  <c r="M14" i="5"/>
  <c r="N14" i="5"/>
  <c r="B14" i="5"/>
  <c r="O42" i="5"/>
  <c r="O41" i="5"/>
  <c r="O40" i="5"/>
  <c r="O39" i="5"/>
  <c r="O38" i="5"/>
  <c r="O37" i="5"/>
  <c r="O36" i="5"/>
  <c r="O35" i="5"/>
  <c r="O34" i="5"/>
  <c r="O33" i="5"/>
  <c r="O32" i="5"/>
  <c r="O31" i="5"/>
  <c r="O30" i="5"/>
  <c r="Q16" i="2"/>
  <c r="Q15" i="2"/>
  <c r="Q13" i="2"/>
  <c r="Q11" i="2"/>
  <c r="Q8" i="2"/>
  <c r="Q7" i="2"/>
  <c r="Q5" i="2"/>
  <c r="R3" i="3"/>
  <c r="Q3" i="3"/>
  <c r="P3" i="3"/>
  <c r="O3" i="3"/>
  <c r="AX56" i="4"/>
  <c r="AW56" i="4"/>
  <c r="AV56" i="4"/>
  <c r="AU56" i="4"/>
  <c r="AT56" i="4"/>
  <c r="AS56" i="4"/>
  <c r="AR56" i="4"/>
  <c r="AQ56" i="4"/>
  <c r="AP56" i="4"/>
  <c r="AO56" i="4"/>
  <c r="AN56" i="4"/>
  <c r="AM56" i="4"/>
  <c r="AL56" i="4"/>
  <c r="AX55" i="4"/>
  <c r="AW55" i="4"/>
  <c r="AV55" i="4"/>
  <c r="AU55" i="4"/>
  <c r="AT55" i="4"/>
  <c r="AS55" i="4"/>
  <c r="AR55" i="4"/>
  <c r="AQ55" i="4"/>
  <c r="AP55" i="4"/>
  <c r="AO55" i="4"/>
  <c r="AN55" i="4"/>
  <c r="AM55" i="4"/>
  <c r="AL55" i="4"/>
  <c r="AX54" i="4"/>
  <c r="AW54" i="4"/>
  <c r="AV54" i="4"/>
  <c r="AU54" i="4"/>
  <c r="AT54" i="4"/>
  <c r="AS54" i="4"/>
  <c r="AR54" i="4"/>
  <c r="AQ54" i="4"/>
  <c r="AP54" i="4"/>
  <c r="AO54" i="4"/>
  <c r="AN54" i="4"/>
  <c r="AM54" i="4"/>
  <c r="AL54" i="4"/>
  <c r="AX53" i="4"/>
  <c r="AW53" i="4"/>
  <c r="AV53" i="4"/>
  <c r="AU53" i="4"/>
  <c r="AT53" i="4"/>
  <c r="AS53" i="4"/>
  <c r="AR53" i="4"/>
  <c r="AQ53" i="4"/>
  <c r="AP53" i="4"/>
  <c r="AO53" i="4"/>
  <c r="AN53" i="4"/>
  <c r="AM53" i="4"/>
  <c r="AL53" i="4"/>
  <c r="AX52" i="4"/>
  <c r="AW52" i="4"/>
  <c r="AV52" i="4"/>
  <c r="AU52" i="4"/>
  <c r="AT52" i="4"/>
  <c r="AS52" i="4"/>
  <c r="AR52" i="4"/>
  <c r="AQ52" i="4"/>
  <c r="AP52" i="4"/>
  <c r="AO52" i="4"/>
  <c r="AN52" i="4"/>
  <c r="AM52" i="4"/>
  <c r="AL52" i="4"/>
  <c r="AX51" i="4"/>
  <c r="AW51" i="4"/>
  <c r="AV51" i="4"/>
  <c r="AU51" i="4"/>
  <c r="AT51" i="4"/>
  <c r="AS51" i="4"/>
  <c r="AR51" i="4"/>
  <c r="AQ51" i="4"/>
  <c r="AP51" i="4"/>
  <c r="AO51" i="4"/>
  <c r="AN51" i="4"/>
  <c r="AM51" i="4"/>
  <c r="AL51" i="4"/>
  <c r="AX50" i="4"/>
  <c r="AW50" i="4"/>
  <c r="AV50" i="4"/>
  <c r="AU50" i="4"/>
  <c r="AT50" i="4"/>
  <c r="AS50" i="4"/>
  <c r="AR50" i="4"/>
  <c r="AQ50" i="4"/>
  <c r="AP50" i="4"/>
  <c r="AO50" i="4"/>
  <c r="AN50" i="4"/>
  <c r="AM50" i="4"/>
  <c r="AL50" i="4"/>
  <c r="AX49" i="4"/>
  <c r="AW49" i="4"/>
  <c r="AV49" i="4"/>
  <c r="AU49" i="4"/>
  <c r="AT49" i="4"/>
  <c r="AS49" i="4"/>
  <c r="AR49" i="4"/>
  <c r="AQ49" i="4"/>
  <c r="AP49" i="4"/>
  <c r="AO49" i="4"/>
  <c r="AN49" i="4"/>
  <c r="AM49" i="4"/>
  <c r="AL49" i="4"/>
  <c r="AX48" i="4"/>
  <c r="AW48" i="4"/>
  <c r="AV48" i="4"/>
  <c r="AU48" i="4"/>
  <c r="AT48" i="4"/>
  <c r="AS48" i="4"/>
  <c r="AR48" i="4"/>
  <c r="AQ48" i="4"/>
  <c r="AP48" i="4"/>
  <c r="AO48" i="4"/>
  <c r="AN48" i="4"/>
  <c r="AM48" i="4"/>
  <c r="AL48" i="4"/>
  <c r="AX47" i="4"/>
  <c r="AW47" i="4"/>
  <c r="AV47" i="4"/>
  <c r="AU47" i="4"/>
  <c r="AT47" i="4"/>
  <c r="AS47" i="4"/>
  <c r="AR47" i="4"/>
  <c r="AQ47" i="4"/>
  <c r="AP47" i="4"/>
  <c r="AO47" i="4"/>
  <c r="AN47" i="4"/>
  <c r="AM47" i="4"/>
  <c r="AL47" i="4"/>
  <c r="AX46" i="4"/>
  <c r="AW46" i="4"/>
  <c r="AV46" i="4"/>
  <c r="AU46" i="4"/>
  <c r="AT46" i="4"/>
  <c r="AS46" i="4"/>
  <c r="AR46" i="4"/>
  <c r="AQ46" i="4"/>
  <c r="AP46" i="4"/>
  <c r="AO46" i="4"/>
  <c r="AN46" i="4"/>
  <c r="AM46" i="4"/>
  <c r="AL46" i="4"/>
  <c r="AX45" i="4"/>
  <c r="AW45" i="4"/>
  <c r="AV45" i="4"/>
  <c r="AU45" i="4"/>
  <c r="AT45" i="4"/>
  <c r="AS45" i="4"/>
  <c r="AR45" i="4"/>
  <c r="AQ45" i="4"/>
  <c r="AP45" i="4"/>
  <c r="AO45" i="4"/>
  <c r="AN45" i="4"/>
  <c r="AM45" i="4"/>
  <c r="AL45" i="4"/>
  <c r="AX44" i="4"/>
  <c r="AW44" i="4"/>
  <c r="AV44" i="4"/>
  <c r="AU44" i="4"/>
  <c r="AT44" i="4"/>
  <c r="AS44" i="4"/>
  <c r="AR44" i="4"/>
  <c r="AQ44" i="4"/>
  <c r="AP44" i="4"/>
  <c r="AO44" i="4"/>
  <c r="AN44" i="4"/>
  <c r="AM44" i="4"/>
  <c r="AL44" i="4"/>
  <c r="AX43" i="4"/>
  <c r="AW43" i="4"/>
  <c r="AV43" i="4"/>
  <c r="AU43" i="4"/>
  <c r="AT43" i="4"/>
  <c r="AS43" i="4"/>
  <c r="AR43" i="4"/>
  <c r="AQ43" i="4"/>
  <c r="AP43" i="4"/>
  <c r="AO43" i="4"/>
  <c r="AN43" i="4"/>
  <c r="AM43" i="4"/>
  <c r="AL43" i="4"/>
  <c r="AX42" i="4"/>
  <c r="AW42" i="4"/>
  <c r="AV42" i="4"/>
  <c r="AU42" i="4"/>
  <c r="AT42" i="4"/>
  <c r="AS42" i="4"/>
  <c r="AR42" i="4"/>
  <c r="AQ42" i="4"/>
  <c r="AP42" i="4"/>
  <c r="AO42" i="4"/>
  <c r="AN42" i="4"/>
  <c r="AM42" i="4"/>
  <c r="AL42" i="4"/>
  <c r="AX41" i="4"/>
  <c r="AW41" i="4"/>
  <c r="AV41" i="4"/>
  <c r="AU41" i="4"/>
  <c r="AT41" i="4"/>
  <c r="AS41" i="4"/>
  <c r="AR41" i="4"/>
  <c r="AQ41" i="4"/>
  <c r="AP41" i="4"/>
  <c r="AO41" i="4"/>
  <c r="AN41" i="4"/>
  <c r="AM41" i="4"/>
  <c r="AL41" i="4"/>
  <c r="AX40" i="4"/>
  <c r="AW40" i="4"/>
  <c r="AV40" i="4"/>
  <c r="AU40" i="4"/>
  <c r="AT40" i="4"/>
  <c r="AS40" i="4"/>
  <c r="AR40" i="4"/>
  <c r="AQ40" i="4"/>
  <c r="AP40" i="4"/>
  <c r="AO40" i="4"/>
  <c r="AN40" i="4"/>
  <c r="AM40" i="4"/>
  <c r="AL40" i="4"/>
  <c r="AX39" i="4"/>
  <c r="AW39" i="4"/>
  <c r="AV39" i="4"/>
  <c r="AU39" i="4"/>
  <c r="AT39" i="4"/>
  <c r="AS39" i="4"/>
  <c r="AR39" i="4"/>
  <c r="AQ39" i="4"/>
  <c r="AP39" i="4"/>
  <c r="AO39" i="4"/>
  <c r="AN39" i="4"/>
  <c r="AM39" i="4"/>
  <c r="AL39" i="4"/>
  <c r="AX38" i="4"/>
  <c r="AW38" i="4"/>
  <c r="AV38" i="4"/>
  <c r="AU38" i="4"/>
  <c r="AT38" i="4"/>
  <c r="AS38" i="4"/>
  <c r="AR38" i="4"/>
  <c r="AQ38" i="4"/>
  <c r="AP38" i="4"/>
  <c r="AO38" i="4"/>
  <c r="AN38" i="4"/>
  <c r="AM38" i="4"/>
  <c r="AL38" i="4"/>
  <c r="AX37" i="4"/>
  <c r="AW37" i="4"/>
  <c r="AV37" i="4"/>
  <c r="AU37" i="4"/>
  <c r="AT37" i="4"/>
  <c r="AS37" i="4"/>
  <c r="AR37" i="4"/>
  <c r="AQ37" i="4"/>
  <c r="AP37" i="4"/>
  <c r="AO37" i="4"/>
  <c r="AN37" i="4"/>
  <c r="AM37" i="4"/>
  <c r="AL37" i="4"/>
  <c r="AX36" i="4"/>
  <c r="AW36" i="4"/>
  <c r="AV36" i="4"/>
  <c r="AU36" i="4"/>
  <c r="AT36" i="4"/>
  <c r="AS36" i="4"/>
  <c r="AR36" i="4"/>
  <c r="AQ36" i="4"/>
  <c r="AP36" i="4"/>
  <c r="AO36" i="4"/>
  <c r="AN36" i="4"/>
  <c r="AM36" i="4"/>
  <c r="AL36" i="4"/>
  <c r="AX35" i="4"/>
  <c r="AW35" i="4"/>
  <c r="AV35" i="4"/>
  <c r="AU35" i="4"/>
  <c r="AT35" i="4"/>
  <c r="AS35" i="4"/>
  <c r="AR35" i="4"/>
  <c r="AQ35" i="4"/>
  <c r="AP35" i="4"/>
  <c r="AO35" i="4"/>
  <c r="AN35" i="4"/>
  <c r="AM35" i="4"/>
  <c r="AL35" i="4"/>
  <c r="AX34" i="4"/>
  <c r="AW34" i="4"/>
  <c r="AV34" i="4"/>
  <c r="AU34" i="4"/>
  <c r="AT34" i="4"/>
  <c r="AS34" i="4"/>
  <c r="AR34" i="4"/>
  <c r="AQ34" i="4"/>
  <c r="AP34" i="4"/>
  <c r="AO34" i="4"/>
  <c r="AN34" i="4"/>
  <c r="AM34" i="4"/>
  <c r="AL34" i="4"/>
  <c r="AX33" i="4"/>
  <c r="AW33" i="4"/>
  <c r="AV33" i="4"/>
  <c r="AU33" i="4"/>
  <c r="AT33" i="4"/>
  <c r="AS33" i="4"/>
  <c r="AR33" i="4"/>
  <c r="AQ33" i="4"/>
  <c r="AP33" i="4"/>
  <c r="AO33" i="4"/>
  <c r="AN33" i="4"/>
  <c r="AM33" i="4"/>
  <c r="AL33" i="4"/>
  <c r="AX32" i="4"/>
  <c r="AW32" i="4"/>
  <c r="AV32" i="4"/>
  <c r="AU32" i="4"/>
  <c r="AT32" i="4"/>
  <c r="AS32" i="4"/>
  <c r="AR32" i="4"/>
  <c r="AQ32" i="4"/>
  <c r="AP32" i="4"/>
  <c r="AO32" i="4"/>
  <c r="AN32" i="4"/>
  <c r="AM32" i="4"/>
  <c r="AL32" i="4"/>
  <c r="AX31" i="4"/>
  <c r="AW31" i="4"/>
  <c r="AV31" i="4"/>
  <c r="AU31" i="4"/>
  <c r="AT31" i="4"/>
  <c r="AS31" i="4"/>
  <c r="AR31" i="4"/>
  <c r="AQ31" i="4"/>
  <c r="AP31" i="4"/>
  <c r="AO31" i="4"/>
  <c r="AN31" i="4"/>
  <c r="AM31" i="4"/>
  <c r="C9" i="6"/>
  <c r="V86" i="4"/>
  <c r="U86" i="4"/>
  <c r="V85" i="4"/>
  <c r="U85" i="4"/>
  <c r="V84" i="4"/>
  <c r="U84" i="4"/>
  <c r="V83" i="4"/>
  <c r="U83" i="4"/>
  <c r="V82" i="4"/>
  <c r="U82" i="4"/>
  <c r="V81" i="4"/>
  <c r="U81" i="4"/>
  <c r="T86" i="4"/>
  <c r="S86" i="4"/>
  <c r="R86" i="4"/>
  <c r="Q86" i="4"/>
  <c r="P86" i="4"/>
  <c r="O86" i="4"/>
  <c r="N86" i="4"/>
  <c r="M86" i="4"/>
  <c r="T85" i="4"/>
  <c r="S85" i="4"/>
  <c r="R85" i="4"/>
  <c r="Q85" i="4"/>
  <c r="P85" i="4"/>
  <c r="O85" i="4"/>
  <c r="N85" i="4"/>
  <c r="M85" i="4"/>
  <c r="T84" i="4"/>
  <c r="S84" i="4"/>
  <c r="R84" i="4"/>
  <c r="Q84" i="4"/>
  <c r="P84" i="4"/>
  <c r="O84" i="4"/>
  <c r="N84" i="4"/>
  <c r="M84" i="4"/>
  <c r="T83" i="4"/>
  <c r="S83" i="4"/>
  <c r="R83" i="4"/>
  <c r="Q83" i="4"/>
  <c r="P83" i="4"/>
  <c r="O83" i="4"/>
  <c r="N83" i="4"/>
  <c r="M83" i="4"/>
  <c r="T82" i="4"/>
  <c r="S82" i="4"/>
  <c r="R82" i="4"/>
  <c r="Q82" i="4"/>
  <c r="P82" i="4"/>
  <c r="O82" i="4"/>
  <c r="N82" i="4"/>
  <c r="M82" i="4"/>
  <c r="T81" i="4"/>
  <c r="S81" i="4"/>
  <c r="R81" i="4"/>
  <c r="Q81" i="4"/>
  <c r="P81" i="4"/>
  <c r="O81" i="4"/>
  <c r="N81" i="4"/>
  <c r="M81" i="4"/>
  <c r="L86" i="4"/>
  <c r="L85" i="4"/>
  <c r="L84" i="4"/>
  <c r="L83" i="4"/>
  <c r="L82" i="4"/>
  <c r="L81" i="4"/>
  <c r="L79" i="4"/>
  <c r="L78" i="4"/>
  <c r="L77" i="4"/>
  <c r="L76" i="4"/>
  <c r="L75" i="4"/>
  <c r="L80" i="4" s="1"/>
  <c r="L9" i="4"/>
  <c r="L4" i="4"/>
  <c r="D282" i="6"/>
  <c r="D283" i="6"/>
  <c r="E284" i="6" s="1"/>
  <c r="C284" i="6"/>
  <c r="C283" i="6"/>
  <c r="F19" i="8"/>
  <c r="F5" i="8" s="1"/>
  <c r="G19" i="8"/>
  <c r="G5" i="8" s="1"/>
  <c r="H19" i="8"/>
  <c r="H5" i="8" s="1"/>
  <c r="I19" i="8"/>
  <c r="I5" i="8" s="1"/>
  <c r="J19" i="8"/>
  <c r="J5" i="8" s="1"/>
  <c r="K19" i="8"/>
  <c r="L19" i="8"/>
  <c r="L5" i="8" s="1"/>
  <c r="M19" i="8"/>
  <c r="E19" i="8"/>
  <c r="E5" i="8" s="1"/>
  <c r="M5" i="8"/>
  <c r="K5" i="8"/>
  <c r="D19" i="8"/>
  <c r="D5" i="8" s="1"/>
  <c r="D58" i="8"/>
  <c r="D3" i="8" s="1"/>
  <c r="D51" i="8"/>
  <c r="D2" i="8" s="1"/>
  <c r="D41" i="8"/>
  <c r="D4" i="8" s="1"/>
  <c r="K62" i="4"/>
  <c r="K61" i="4"/>
  <c r="K4" i="4"/>
  <c r="J4" i="4"/>
  <c r="W4" i="4" s="1"/>
  <c r="W27" i="4"/>
  <c r="W26" i="4"/>
  <c r="W25" i="4"/>
  <c r="W23" i="4"/>
  <c r="W22" i="4"/>
  <c r="W21" i="4"/>
  <c r="W20" i="4"/>
  <c r="W18" i="4"/>
  <c r="W17" i="4"/>
  <c r="W16" i="4"/>
  <c r="W15" i="4"/>
  <c r="W14" i="4"/>
  <c r="W12" i="4"/>
  <c r="W11" i="4"/>
  <c r="W10" i="4"/>
  <c r="W9" i="4"/>
  <c r="W7" i="4"/>
  <c r="W6" i="4"/>
  <c r="W5" i="4"/>
  <c r="T24" i="4"/>
  <c r="T19" i="4"/>
  <c r="T13" i="4"/>
  <c r="O43" i="5" l="1"/>
  <c r="N5" i="8"/>
  <c r="P5" i="8"/>
  <c r="V5" i="8"/>
  <c r="Q5" i="8"/>
  <c r="R5" i="8"/>
  <c r="S5" i="8"/>
  <c r="O5" i="8"/>
  <c r="U5" i="8"/>
  <c r="T5" i="8"/>
  <c r="D284" i="6"/>
  <c r="T8" i="4"/>
  <c r="T3" i="4"/>
  <c r="AJ9" i="4"/>
  <c r="N41" i="8"/>
  <c r="M41" i="8"/>
  <c r="M4" i="8" s="1"/>
  <c r="V4" i="8" s="1"/>
  <c r="L41" i="8"/>
  <c r="L4" i="8" s="1"/>
  <c r="U4" i="8" s="1"/>
  <c r="K41" i="8"/>
  <c r="K4" i="8" s="1"/>
  <c r="T4" i="8" s="1"/>
  <c r="J41" i="8"/>
  <c r="J4" i="8" s="1"/>
  <c r="S4" i="8" s="1"/>
  <c r="N51" i="8"/>
  <c r="M51" i="8"/>
  <c r="M2" i="8" s="1"/>
  <c r="V2" i="8" s="1"/>
  <c r="L51" i="8"/>
  <c r="L2" i="8" s="1"/>
  <c r="U2" i="8" s="1"/>
  <c r="K51" i="8"/>
  <c r="K2" i="8" s="1"/>
  <c r="T2" i="8" s="1"/>
  <c r="J51" i="8"/>
  <c r="J2" i="8" s="1"/>
  <c r="S2" i="8" s="1"/>
  <c r="J58" i="8"/>
  <c r="J3" i="8" s="1"/>
  <c r="S3" i="8" s="1"/>
  <c r="K58" i="8"/>
  <c r="K3" i="8" s="1"/>
  <c r="T3" i="8" s="1"/>
  <c r="L58" i="8"/>
  <c r="L3" i="8" s="1"/>
  <c r="U3" i="8" s="1"/>
  <c r="M58" i="8"/>
  <c r="M3" i="8" s="1"/>
  <c r="V3" i="8" s="1"/>
  <c r="N58" i="8"/>
  <c r="AG27" i="4"/>
  <c r="AF27" i="4"/>
  <c r="AG26" i="4"/>
  <c r="AF26" i="4"/>
  <c r="AG25" i="4"/>
  <c r="AF25" i="4"/>
  <c r="AG23" i="4"/>
  <c r="AF23" i="4"/>
  <c r="AG22" i="4"/>
  <c r="AF22" i="4"/>
  <c r="AG21" i="4"/>
  <c r="AF21" i="4"/>
  <c r="AG20" i="4"/>
  <c r="AF20" i="4"/>
  <c r="AG18" i="4"/>
  <c r="AF18" i="4"/>
  <c r="AG17" i="4"/>
  <c r="AF17" i="4"/>
  <c r="AG16" i="4"/>
  <c r="AF16" i="4"/>
  <c r="AG15" i="4"/>
  <c r="AF15" i="4"/>
  <c r="AG14" i="4"/>
  <c r="AF14" i="4"/>
  <c r="AG12" i="4"/>
  <c r="AF12" i="4"/>
  <c r="AG11" i="4"/>
  <c r="AF11" i="4"/>
  <c r="AG10" i="4"/>
  <c r="AF10" i="4"/>
  <c r="AG9" i="4"/>
  <c r="AG7" i="4"/>
  <c r="AF7" i="4"/>
  <c r="AG6" i="4"/>
  <c r="AF6" i="4"/>
  <c r="AG5" i="4"/>
  <c r="AF5" i="4"/>
  <c r="AG4" i="4"/>
  <c r="AJ27" i="4"/>
  <c r="AJ26" i="4"/>
  <c r="AJ25" i="4"/>
  <c r="AJ23" i="4"/>
  <c r="AJ22" i="4"/>
  <c r="AJ21" i="4"/>
  <c r="AJ20" i="4"/>
  <c r="AJ18" i="4"/>
  <c r="AJ17" i="4"/>
  <c r="AJ16" i="4"/>
  <c r="AJ15" i="4"/>
  <c r="AJ14" i="4"/>
  <c r="AJ12" i="4"/>
  <c r="AJ11" i="4"/>
  <c r="AJ10" i="4"/>
  <c r="AJ7" i="4"/>
  <c r="AJ6" i="4"/>
  <c r="AJ5" i="4"/>
  <c r="AJ4" i="4"/>
  <c r="AD4" i="4"/>
  <c r="AD5" i="4"/>
  <c r="AD6" i="4"/>
  <c r="AD7" i="4"/>
  <c r="AD9" i="4"/>
  <c r="AD10" i="4"/>
  <c r="AD11" i="4"/>
  <c r="AD12" i="4"/>
  <c r="AD14" i="4"/>
  <c r="AD15" i="4"/>
  <c r="AD16" i="4"/>
  <c r="AD17" i="4"/>
  <c r="AD18" i="4"/>
  <c r="AD20" i="4"/>
  <c r="AD21" i="4"/>
  <c r="AD22" i="4"/>
  <c r="AD23" i="4"/>
  <c r="AD25" i="4"/>
  <c r="AD26" i="4"/>
  <c r="AD27" i="4"/>
  <c r="AE27" i="4"/>
  <c r="AE26" i="4"/>
  <c r="AE25" i="4"/>
  <c r="AE23" i="4"/>
  <c r="AE22" i="4"/>
  <c r="AE21" i="4"/>
  <c r="AE20" i="4"/>
  <c r="AE18" i="4"/>
  <c r="AE17" i="4"/>
  <c r="AE16" i="4"/>
  <c r="AE15" i="4"/>
  <c r="AE14" i="4"/>
  <c r="AE12" i="4"/>
  <c r="AE11" i="4"/>
  <c r="AE10" i="4"/>
  <c r="AE7" i="4"/>
  <c r="AE6" i="4"/>
  <c r="AE5" i="4"/>
  <c r="AE4" i="4"/>
  <c r="AF9" i="4" l="1"/>
  <c r="AF4" i="4"/>
  <c r="T28" i="4"/>
  <c r="AE9" i="4"/>
  <c r="Q2" i="3" l="1"/>
  <c r="R2" i="3"/>
  <c r="O2" i="3"/>
  <c r="P2" i="3"/>
  <c r="E58" i="8"/>
  <c r="E3" i="8" s="1"/>
  <c r="N3" i="8" s="1"/>
  <c r="F58" i="8"/>
  <c r="F3" i="8" s="1"/>
  <c r="O3" i="8" s="1"/>
  <c r="G58" i="8"/>
  <c r="G3" i="8" s="1"/>
  <c r="P3" i="8" s="1"/>
  <c r="H58" i="8"/>
  <c r="H3" i="8" s="1"/>
  <c r="Q3" i="8" s="1"/>
  <c r="I58" i="8"/>
  <c r="I3" i="8" s="1"/>
  <c r="R3" i="8" s="1"/>
  <c r="G51" i="8"/>
  <c r="G2" i="8" s="1"/>
  <c r="P2" i="8" s="1"/>
  <c r="F51" i="8"/>
  <c r="F2" i="8" s="1"/>
  <c r="O2" i="8" s="1"/>
  <c r="E51" i="8"/>
  <c r="E2" i="8" s="1"/>
  <c r="N2" i="8" s="1"/>
  <c r="H51" i="8"/>
  <c r="H2" i="8" s="1"/>
  <c r="Q2" i="8" s="1"/>
  <c r="I51" i="8"/>
  <c r="I2" i="8" s="1"/>
  <c r="R2" i="8" s="1"/>
  <c r="H41" i="8"/>
  <c r="H4" i="8" s="1"/>
  <c r="Q4" i="8" s="1"/>
  <c r="G41" i="8"/>
  <c r="G4" i="8" s="1"/>
  <c r="P4" i="8" s="1"/>
  <c r="F41" i="8"/>
  <c r="F4" i="8" s="1"/>
  <c r="O4" i="8" s="1"/>
  <c r="E41" i="8"/>
  <c r="E4" i="8" s="1"/>
  <c r="N4" i="8" s="1"/>
  <c r="I41" i="8"/>
  <c r="I4" i="8" s="1"/>
  <c r="R4" i="8" s="1"/>
  <c r="AI31" i="4"/>
  <c r="AJ31" i="4"/>
  <c r="AJ37" i="4"/>
  <c r="AI37" i="4"/>
  <c r="AH37" i="4"/>
  <c r="AG37" i="4"/>
  <c r="AF37" i="4"/>
  <c r="AE37" i="4"/>
  <c r="AD37" i="4"/>
  <c r="AC37" i="4"/>
  <c r="AJ32" i="4"/>
  <c r="AI32" i="4"/>
  <c r="AH32" i="4"/>
  <c r="AG32" i="4"/>
  <c r="AF32" i="4"/>
  <c r="AE32" i="4"/>
  <c r="AD32" i="4"/>
  <c r="AC32" i="4"/>
  <c r="AJ53" i="4"/>
  <c r="AI53" i="4"/>
  <c r="AH53" i="4"/>
  <c r="AG53" i="4"/>
  <c r="AF53" i="4"/>
  <c r="AE53" i="4"/>
  <c r="AD53" i="4"/>
  <c r="AC53" i="4"/>
  <c r="AJ48" i="4"/>
  <c r="AI48" i="4"/>
  <c r="AH48" i="4"/>
  <c r="AG48" i="4"/>
  <c r="AF48" i="4"/>
  <c r="AE48" i="4"/>
  <c r="AD48" i="4"/>
  <c r="AC48" i="4"/>
  <c r="AJ42" i="4"/>
  <c r="AI42" i="4"/>
  <c r="AH42" i="4"/>
  <c r="AG42" i="4"/>
  <c r="AF42" i="4"/>
  <c r="AE42" i="4"/>
  <c r="AD42" i="4"/>
  <c r="AC42" i="4"/>
  <c r="AC27" i="4"/>
  <c r="AC26" i="4"/>
  <c r="AC25" i="4"/>
  <c r="AC23" i="4"/>
  <c r="AC22" i="4"/>
  <c r="AC21" i="4"/>
  <c r="AC20" i="4"/>
  <c r="AC18" i="4"/>
  <c r="AC17" i="4"/>
  <c r="AC16" i="4"/>
  <c r="AC15" i="4"/>
  <c r="AC14" i="4"/>
  <c r="AC12" i="4"/>
  <c r="AC11" i="4"/>
  <c r="AC10" i="4"/>
  <c r="AC9" i="4"/>
  <c r="AC7" i="4"/>
  <c r="AC6" i="4"/>
  <c r="AC5" i="4"/>
  <c r="AB37" i="4"/>
  <c r="AA37" i="4"/>
  <c r="Z37" i="4"/>
  <c r="Y37" i="4"/>
  <c r="X41" i="4"/>
  <c r="X40" i="4"/>
  <c r="X39" i="4"/>
  <c r="X38" i="4"/>
  <c r="AB32" i="4"/>
  <c r="AA32" i="4"/>
  <c r="Z32" i="4"/>
  <c r="Y32" i="4"/>
  <c r="X36" i="4"/>
  <c r="X35" i="4"/>
  <c r="X34" i="4"/>
  <c r="X33" i="4"/>
  <c r="AB53" i="4"/>
  <c r="AA53" i="4"/>
  <c r="Z53" i="4"/>
  <c r="Y53" i="4"/>
  <c r="X56" i="4"/>
  <c r="X55" i="4"/>
  <c r="X54" i="4"/>
  <c r="AB48" i="4"/>
  <c r="AA48" i="4"/>
  <c r="Z48" i="4"/>
  <c r="Y48" i="4"/>
  <c r="X52" i="4"/>
  <c r="X51" i="4"/>
  <c r="X50" i="4"/>
  <c r="X49" i="4"/>
  <c r="AB42" i="4"/>
  <c r="AA42" i="4"/>
  <c r="Z42" i="4"/>
  <c r="Y42" i="4"/>
  <c r="X47" i="4"/>
  <c r="X46" i="4"/>
  <c r="X45" i="4"/>
  <c r="X44" i="4"/>
  <c r="X43" i="4"/>
  <c r="AC4" i="4" l="1"/>
  <c r="X37" i="4"/>
  <c r="X53" i="4"/>
  <c r="X48" i="4"/>
  <c r="X42" i="4"/>
  <c r="X32" i="4"/>
  <c r="AB27" i="4"/>
  <c r="AB26" i="4"/>
  <c r="AB25" i="4"/>
  <c r="AB23" i="4"/>
  <c r="AB22" i="4"/>
  <c r="AB21" i="4"/>
  <c r="AB20" i="4"/>
  <c r="AB18" i="4"/>
  <c r="AB17" i="4"/>
  <c r="AB16" i="4"/>
  <c r="AB15" i="4"/>
  <c r="AB14" i="4"/>
  <c r="AB12" i="4"/>
  <c r="AB11" i="4"/>
  <c r="AB10" i="4"/>
  <c r="AB9" i="4"/>
  <c r="AB7" i="4"/>
  <c r="AB6" i="4"/>
  <c r="AB5" i="4"/>
  <c r="AA27" i="4"/>
  <c r="AA26" i="4"/>
  <c r="AA25" i="4"/>
  <c r="AA23" i="4"/>
  <c r="AA22" i="4"/>
  <c r="AA21" i="4"/>
  <c r="AA20" i="4"/>
  <c r="AA18" i="4"/>
  <c r="AA17" i="4"/>
  <c r="AA16" i="4"/>
  <c r="AA15" i="4"/>
  <c r="AA14" i="4"/>
  <c r="AA12" i="4"/>
  <c r="AA11" i="4"/>
  <c r="AA10" i="4"/>
  <c r="AA9" i="4"/>
  <c r="AA7" i="4"/>
  <c r="AA6" i="4"/>
  <c r="AA5" i="4"/>
  <c r="AA4" i="4"/>
  <c r="AB4" i="4" l="1"/>
  <c r="V65" i="4"/>
  <c r="V58" i="4"/>
  <c r="U65" i="4"/>
  <c r="U58" i="4"/>
  <c r="T65" i="4"/>
  <c r="Z27" i="4"/>
  <c r="Z26" i="4"/>
  <c r="Z25" i="4"/>
  <c r="Z23" i="4"/>
  <c r="Z22" i="4"/>
  <c r="Z21" i="4"/>
  <c r="Z20" i="4"/>
  <c r="Z18" i="4"/>
  <c r="Z17" i="4"/>
  <c r="Z16" i="4"/>
  <c r="Z15" i="4"/>
  <c r="Z14" i="4"/>
  <c r="Z12" i="4"/>
  <c r="Z11" i="4"/>
  <c r="Z10" i="4"/>
  <c r="Z9" i="4"/>
  <c r="Z7" i="4"/>
  <c r="Z6" i="4"/>
  <c r="Z5" i="4"/>
  <c r="Z4" i="4"/>
  <c r="H63" i="6" l="1"/>
  <c r="H62" i="6"/>
  <c r="H61" i="6"/>
  <c r="H60" i="6"/>
  <c r="Y27" i="4"/>
  <c r="Y26" i="4"/>
  <c r="Y25" i="4"/>
  <c r="Y23" i="4"/>
  <c r="Y22" i="4"/>
  <c r="Y21" i="4"/>
  <c r="Y20" i="4"/>
  <c r="Y18" i="4"/>
  <c r="Y17" i="4"/>
  <c r="Y16" i="4"/>
  <c r="Y15" i="4"/>
  <c r="Y14" i="4"/>
  <c r="Y12" i="4"/>
  <c r="Y11" i="4"/>
  <c r="Y10" i="4"/>
  <c r="Y9" i="4"/>
  <c r="Y7" i="4"/>
  <c r="Y6" i="4"/>
  <c r="Y5" i="4"/>
  <c r="Y4" i="4"/>
  <c r="J41" i="4"/>
  <c r="J40" i="4"/>
  <c r="J39" i="4"/>
  <c r="J38" i="4"/>
  <c r="J36" i="4"/>
  <c r="J35" i="4"/>
  <c r="J34" i="4"/>
  <c r="J33" i="4"/>
  <c r="J56" i="4"/>
  <c r="J55" i="4"/>
  <c r="J54" i="4"/>
  <c r="J52" i="4"/>
  <c r="J51" i="4"/>
  <c r="J50" i="4"/>
  <c r="J49" i="4"/>
  <c r="J47" i="4"/>
  <c r="J46" i="4"/>
  <c r="J45" i="4"/>
  <c r="J44" i="4"/>
  <c r="J43" i="4"/>
  <c r="V37" i="4"/>
  <c r="V70" i="4" s="1"/>
  <c r="U37" i="4"/>
  <c r="U70" i="4" s="1"/>
  <c r="T37" i="4"/>
  <c r="T70" i="4" s="1"/>
  <c r="V32" i="4"/>
  <c r="V69" i="4" s="1"/>
  <c r="U32" i="4"/>
  <c r="U69" i="4" s="1"/>
  <c r="T32" i="4"/>
  <c r="T69" i="4" s="1"/>
  <c r="V53" i="4"/>
  <c r="V73" i="4" s="1"/>
  <c r="U53" i="4"/>
  <c r="U73" i="4" s="1"/>
  <c r="T53" i="4"/>
  <c r="T73" i="4" s="1"/>
  <c r="V48" i="4"/>
  <c r="V72" i="4" s="1"/>
  <c r="U48" i="4"/>
  <c r="U72" i="4" s="1"/>
  <c r="T48" i="4"/>
  <c r="T72" i="4" s="1"/>
  <c r="V42" i="4"/>
  <c r="V71" i="4" s="1"/>
  <c r="U42" i="4"/>
  <c r="U71" i="4" s="1"/>
  <c r="T42" i="4"/>
  <c r="T71" i="4" s="1"/>
  <c r="T31" i="4"/>
  <c r="AH31" i="4" s="1"/>
  <c r="J61" i="4"/>
  <c r="J59" i="4"/>
  <c r="L65" i="4"/>
  <c r="M65" i="4"/>
  <c r="N65" i="4"/>
  <c r="O65" i="4"/>
  <c r="P65" i="4"/>
  <c r="Q65" i="4"/>
  <c r="R65" i="4"/>
  <c r="S65" i="4"/>
  <c r="J63" i="4"/>
  <c r="J64" i="4"/>
  <c r="J60" i="4"/>
  <c r="S31" i="4"/>
  <c r="AG31" i="4" s="1"/>
  <c r="R31" i="4"/>
  <c r="AF31" i="4" s="1"/>
  <c r="Q31" i="4"/>
  <c r="AE31" i="4" s="1"/>
  <c r="P31" i="4"/>
  <c r="AD31" i="4" s="1"/>
  <c r="O31" i="4"/>
  <c r="AC31" i="4" s="1"/>
  <c r="N31" i="4"/>
  <c r="AB31" i="4" s="1"/>
  <c r="M31" i="4"/>
  <c r="AA31" i="4" s="1"/>
  <c r="L31" i="4"/>
  <c r="Z31" i="4" s="1"/>
  <c r="K31" i="4"/>
  <c r="Y31" i="4" s="1"/>
  <c r="X27" i="4"/>
  <c r="X26" i="4"/>
  <c r="X25" i="4"/>
  <c r="X23" i="4"/>
  <c r="X22" i="4"/>
  <c r="X21" i="4"/>
  <c r="X20" i="4"/>
  <c r="X18" i="4"/>
  <c r="X17" i="4"/>
  <c r="X16" i="4"/>
  <c r="X15" i="4"/>
  <c r="X14" i="4"/>
  <c r="X12" i="4"/>
  <c r="X11" i="4"/>
  <c r="X10" i="4"/>
  <c r="X9" i="4"/>
  <c r="X7" i="4"/>
  <c r="X6" i="4"/>
  <c r="X5" i="4"/>
  <c r="K3" i="4"/>
  <c r="K75" i="4" s="1"/>
  <c r="S8" i="4"/>
  <c r="S24" i="4"/>
  <c r="S19" i="4"/>
  <c r="S13" i="4"/>
  <c r="S3" i="4"/>
  <c r="S37" i="4"/>
  <c r="S70" i="4" s="1"/>
  <c r="R37" i="4"/>
  <c r="R70" i="4" s="1"/>
  <c r="Q37" i="4"/>
  <c r="Q70" i="4" s="1"/>
  <c r="P37" i="4"/>
  <c r="P70" i="4" s="1"/>
  <c r="O37" i="4"/>
  <c r="O70" i="4" s="1"/>
  <c r="N37" i="4"/>
  <c r="N70" i="4" s="1"/>
  <c r="M37" i="4"/>
  <c r="M70" i="4" s="1"/>
  <c r="L37" i="4"/>
  <c r="L70" i="4" s="1"/>
  <c r="K37" i="4"/>
  <c r="K70" i="4" s="1"/>
  <c r="S32" i="4"/>
  <c r="S69" i="4" s="1"/>
  <c r="R32" i="4"/>
  <c r="R69" i="4" s="1"/>
  <c r="Q32" i="4"/>
  <c r="Q69" i="4" s="1"/>
  <c r="P32" i="4"/>
  <c r="P69" i="4" s="1"/>
  <c r="O32" i="4"/>
  <c r="O69" i="4" s="1"/>
  <c r="N32" i="4"/>
  <c r="N69" i="4" s="1"/>
  <c r="M32" i="4"/>
  <c r="M69" i="4" s="1"/>
  <c r="L32" i="4"/>
  <c r="L69" i="4" s="1"/>
  <c r="K32" i="4"/>
  <c r="K69" i="4" s="1"/>
  <c r="S53" i="4"/>
  <c r="S73" i="4" s="1"/>
  <c r="R53" i="4"/>
  <c r="R73" i="4" s="1"/>
  <c r="Q53" i="4"/>
  <c r="Q73" i="4" s="1"/>
  <c r="P53" i="4"/>
  <c r="P73" i="4" s="1"/>
  <c r="O53" i="4"/>
  <c r="O73" i="4" s="1"/>
  <c r="N53" i="4"/>
  <c r="N73" i="4" s="1"/>
  <c r="M53" i="4"/>
  <c r="M73" i="4" s="1"/>
  <c r="L53" i="4"/>
  <c r="L73" i="4" s="1"/>
  <c r="K53" i="4"/>
  <c r="K73" i="4" s="1"/>
  <c r="S48" i="4"/>
  <c r="S72" i="4" s="1"/>
  <c r="R48" i="4"/>
  <c r="R72" i="4" s="1"/>
  <c r="Q48" i="4"/>
  <c r="Q72" i="4" s="1"/>
  <c r="P48" i="4"/>
  <c r="P72" i="4" s="1"/>
  <c r="O48" i="4"/>
  <c r="O72" i="4" s="1"/>
  <c r="N48" i="4"/>
  <c r="N72" i="4" s="1"/>
  <c r="M48" i="4"/>
  <c r="M72" i="4" s="1"/>
  <c r="L48" i="4"/>
  <c r="L72" i="4" s="1"/>
  <c r="K48" i="4"/>
  <c r="K72" i="4" s="1"/>
  <c r="S42" i="4"/>
  <c r="S71" i="4" s="1"/>
  <c r="R42" i="4"/>
  <c r="R71" i="4" s="1"/>
  <c r="Q42" i="4"/>
  <c r="Q71" i="4" s="1"/>
  <c r="P42" i="4"/>
  <c r="P71" i="4" s="1"/>
  <c r="O42" i="4"/>
  <c r="O71" i="4" s="1"/>
  <c r="N42" i="4"/>
  <c r="N71" i="4" s="1"/>
  <c r="M42" i="4"/>
  <c r="M71" i="4" s="1"/>
  <c r="L42" i="4"/>
  <c r="L71" i="4" s="1"/>
  <c r="K42" i="4"/>
  <c r="K71" i="4" s="1"/>
  <c r="G28" i="4"/>
  <c r="F28" i="4"/>
  <c r="R24" i="4"/>
  <c r="Q24" i="4"/>
  <c r="P24" i="4"/>
  <c r="O24" i="4"/>
  <c r="N24" i="4"/>
  <c r="M24" i="4"/>
  <c r="L24" i="4"/>
  <c r="K24" i="4"/>
  <c r="K79" i="4" s="1"/>
  <c r="J24" i="4"/>
  <c r="W24" i="4" s="1"/>
  <c r="E24" i="4"/>
  <c r="D24" i="4"/>
  <c r="R19" i="4"/>
  <c r="Q19" i="4"/>
  <c r="P19" i="4"/>
  <c r="O19" i="4"/>
  <c r="N19" i="4"/>
  <c r="M19" i="4"/>
  <c r="L19" i="4"/>
  <c r="K19" i="4"/>
  <c r="K78" i="4" s="1"/>
  <c r="J19" i="4"/>
  <c r="E19" i="4"/>
  <c r="D19" i="4"/>
  <c r="R13" i="4"/>
  <c r="Q13" i="4"/>
  <c r="P13" i="4"/>
  <c r="O13" i="4"/>
  <c r="N13" i="4"/>
  <c r="M13" i="4"/>
  <c r="L13" i="4"/>
  <c r="K13" i="4"/>
  <c r="K77" i="4" s="1"/>
  <c r="J13" i="4"/>
  <c r="E13" i="4"/>
  <c r="D13" i="4"/>
  <c r="R8" i="4"/>
  <c r="Q8" i="4"/>
  <c r="P8" i="4"/>
  <c r="O8" i="4"/>
  <c r="N8" i="4"/>
  <c r="M8" i="4"/>
  <c r="L8" i="4"/>
  <c r="K8" i="4"/>
  <c r="K76" i="4" s="1"/>
  <c r="J8" i="4"/>
  <c r="E8" i="4"/>
  <c r="D8" i="4"/>
  <c r="R3" i="4"/>
  <c r="Q3" i="4"/>
  <c r="P3" i="4"/>
  <c r="O3" i="4"/>
  <c r="N3" i="4"/>
  <c r="M3" i="4"/>
  <c r="L3" i="4"/>
  <c r="J3" i="4"/>
  <c r="E3" i="4"/>
  <c r="D3" i="4"/>
  <c r="U74" i="4" l="1"/>
  <c r="J70" i="4"/>
  <c r="S74" i="4"/>
  <c r="R74" i="4"/>
  <c r="Q74" i="4"/>
  <c r="P74" i="4"/>
  <c r="O74" i="4"/>
  <c r="N74" i="4"/>
  <c r="M74" i="4"/>
  <c r="L74" i="4"/>
  <c r="T74" i="4"/>
  <c r="J71" i="4"/>
  <c r="V74" i="4"/>
  <c r="J73" i="4"/>
  <c r="J72" i="4"/>
  <c r="K74" i="4"/>
  <c r="J69" i="4"/>
  <c r="AG19" i="4"/>
  <c r="W19" i="4"/>
  <c r="AG13" i="4"/>
  <c r="W13" i="4"/>
  <c r="K85" i="4"/>
  <c r="K84" i="4"/>
  <c r="K83" i="4"/>
  <c r="K82" i="4"/>
  <c r="AG8" i="4"/>
  <c r="W8" i="4"/>
  <c r="K81" i="4"/>
  <c r="K80" i="4"/>
  <c r="AG3" i="4"/>
  <c r="W3" i="4"/>
  <c r="Y3" i="4"/>
  <c r="AF8" i="4"/>
  <c r="X3" i="4"/>
  <c r="AD8" i="4"/>
  <c r="AE8" i="4"/>
  <c r="AF24" i="4"/>
  <c r="AF19" i="4"/>
  <c r="AF13" i="4"/>
  <c r="AE19" i="4"/>
  <c r="AE13" i="4"/>
  <c r="AD13" i="4"/>
  <c r="AE3" i="4"/>
  <c r="AD3" i="4"/>
  <c r="V66" i="4"/>
  <c r="AC8" i="4"/>
  <c r="AJ8" i="4"/>
  <c r="AJ24" i="4"/>
  <c r="AC24" i="4"/>
  <c r="AC3" i="4"/>
  <c r="AJ3" i="4"/>
  <c r="AG24" i="4"/>
  <c r="AJ19" i="4"/>
  <c r="AC19" i="4"/>
  <c r="AD24" i="4"/>
  <c r="AJ13" i="4"/>
  <c r="AC13" i="4"/>
  <c r="AD19" i="4"/>
  <c r="AE24" i="4"/>
  <c r="AF3" i="4"/>
  <c r="L58" i="4"/>
  <c r="P58" i="4"/>
  <c r="Q58" i="4"/>
  <c r="Y13" i="4"/>
  <c r="R58" i="4"/>
  <c r="S58" i="4"/>
  <c r="U66" i="4"/>
  <c r="Y24" i="4"/>
  <c r="M58" i="4"/>
  <c r="N58" i="4"/>
  <c r="O58" i="4"/>
  <c r="T58" i="4"/>
  <c r="K58" i="4"/>
  <c r="T66" i="4"/>
  <c r="Z19" i="4"/>
  <c r="AA24" i="4"/>
  <c r="Z24" i="4"/>
  <c r="Z13" i="4"/>
  <c r="AB24" i="4"/>
  <c r="Y19" i="4"/>
  <c r="Z8" i="4"/>
  <c r="AA13" i="4"/>
  <c r="AB19" i="4"/>
  <c r="Y8" i="4"/>
  <c r="AA19" i="4"/>
  <c r="Z3" i="4"/>
  <c r="AB8" i="4"/>
  <c r="AB3" i="4"/>
  <c r="AA3" i="4"/>
  <c r="AB13" i="4"/>
  <c r="AA8" i="4"/>
  <c r="L66" i="4"/>
  <c r="M66" i="4"/>
  <c r="J42" i="4"/>
  <c r="J37" i="4"/>
  <c r="J53" i="4"/>
  <c r="N66" i="4"/>
  <c r="J32" i="4"/>
  <c r="O66" i="4"/>
  <c r="R66" i="4"/>
  <c r="S66" i="4"/>
  <c r="Q66" i="4"/>
  <c r="J48" i="4"/>
  <c r="P66" i="4"/>
  <c r="K65" i="4"/>
  <c r="K66" i="4" s="1"/>
  <c r="J62" i="4"/>
  <c r="J65" i="4" s="1"/>
  <c r="X19" i="4"/>
  <c r="X8" i="4"/>
  <c r="X13" i="4"/>
  <c r="X24" i="4"/>
  <c r="X4" i="4"/>
  <c r="R28" i="4"/>
  <c r="N28" i="4"/>
  <c r="S28" i="4"/>
  <c r="K28" i="4"/>
  <c r="O28" i="4"/>
  <c r="L28" i="4"/>
  <c r="D28" i="4"/>
  <c r="E28" i="4"/>
  <c r="J28" i="4"/>
  <c r="M28" i="4"/>
  <c r="P28" i="4"/>
  <c r="Q28" i="4"/>
  <c r="J74" i="4" l="1"/>
  <c r="W28" i="4"/>
  <c r="C8" i="6"/>
  <c r="K86" i="4"/>
  <c r="AG28" i="4"/>
  <c r="AF28" i="4"/>
  <c r="AE28" i="4"/>
  <c r="AD28" i="4"/>
  <c r="AC28" i="4"/>
  <c r="AJ28" i="4"/>
  <c r="Z28" i="4"/>
  <c r="AB28" i="4"/>
  <c r="Y28" i="4"/>
  <c r="AA28" i="4"/>
  <c r="J66" i="4"/>
  <c r="X28" i="4"/>
  <c r="C11" i="6" l="1"/>
  <c r="C10"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C0690C-AE3F-4C97-B7F4-CCCE6D606B28}"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CC3611DC-E651-41BF-87BE-7003FA673951}" keepAlive="1" name="Query - Table3" description="Connection to the 'Table3' query in the workbook." type="5" refreshedVersion="0" background="1">
    <dbPr connection="Provider=Microsoft.Mashup.OleDb.1;Data Source=$Workbook$;Location=Table3;Extended Properties=&quot;&quot;" command="SELECT * FROM [Table3]"/>
  </connection>
</connections>
</file>

<file path=xl/sharedStrings.xml><?xml version="1.0" encoding="utf-8"?>
<sst xmlns="http://schemas.openxmlformats.org/spreadsheetml/2006/main" count="7696" uniqueCount="1438">
  <si>
    <t>STT</t>
  </si>
  <si>
    <t>Chiều</t>
  </si>
  <si>
    <t>Tiếng Anh - GVNN</t>
  </si>
  <si>
    <t>GV nước ngoài</t>
  </si>
  <si>
    <t>Thỉnh giảng</t>
  </si>
  <si>
    <t>Sáng</t>
  </si>
  <si>
    <t>Giáo viên</t>
  </si>
  <si>
    <t>Toán</t>
  </si>
  <si>
    <t>Tiếng Việt</t>
  </si>
  <si>
    <t>GV Tiểu học</t>
  </si>
  <si>
    <t>HĐ Trải nghiệm GVCN</t>
  </si>
  <si>
    <t>Tiếng Anh - GVVN</t>
  </si>
  <si>
    <t>TA tích hợp GVVN</t>
  </si>
  <si>
    <t>Lịch sử và địa lý</t>
  </si>
  <si>
    <t>Nguyễn Thị Thắm</t>
  </si>
  <si>
    <t>Tiểu học</t>
  </si>
  <si>
    <t xml:space="preserve">THCS </t>
  </si>
  <si>
    <t>THPT</t>
  </si>
  <si>
    <t>MaNV</t>
  </si>
  <si>
    <t>HoTen</t>
  </si>
  <si>
    <t>PhongBan</t>
  </si>
  <si>
    <t>TenChiTiet</t>
  </si>
  <si>
    <t>SoNgayThang</t>
  </si>
  <si>
    <t>Buoi</t>
  </si>
  <si>
    <t>Nghỉ không lương -Không BHXH</t>
  </si>
  <si>
    <t/>
  </si>
  <si>
    <t>Khối Mầm Non, Bộ Phận Bếp</t>
  </si>
  <si>
    <t>Nghỉ khám bệnh trong 1 học kỳ</t>
  </si>
  <si>
    <t>Bộ Phận Bếp</t>
  </si>
  <si>
    <t>Tập huấn. công tác</t>
  </si>
  <si>
    <t>Nghỉ phép năm</t>
  </si>
  <si>
    <t>NV0000062</t>
  </si>
  <si>
    <t>Nguyễn Thị Hồng Thảo</t>
  </si>
  <si>
    <t>Phòng Kế Toán</t>
  </si>
  <si>
    <t>Hành chính chuyên môn</t>
  </si>
  <si>
    <t>Thu</t>
  </si>
  <si>
    <t>Nghỉ không lương -Có BHXH</t>
  </si>
  <si>
    <t>NV0000096</t>
  </si>
  <si>
    <t>Phạm Quang Phúc</t>
  </si>
  <si>
    <t>Dịch vụ học sinh</t>
  </si>
  <si>
    <t>NV0000197</t>
  </si>
  <si>
    <t>Trần Thị Thanh Thủy</t>
  </si>
  <si>
    <t>Bộ phận Nhân sự</t>
  </si>
  <si>
    <t>Total</t>
  </si>
  <si>
    <t>Số lớp 22 – 23</t>
  </si>
  <si>
    <t>Số lớp 23 - 24</t>
  </si>
  <si>
    <t>Số lớp 24 - 25
Thực tế</t>
  </si>
  <si>
    <t>Số lớp 24 - 25
Mục tiêu</t>
  </si>
  <si>
    <t>Số học sinh 22 - 23</t>
  </si>
  <si>
    <t>Số học sinh 23 - 24</t>
  </si>
  <si>
    <t>Nhà trẻ</t>
  </si>
  <si>
    <t xml:space="preserve">Mầm </t>
  </si>
  <si>
    <t>Chồi</t>
  </si>
  <si>
    <t>Lá</t>
  </si>
  <si>
    <t>Khối 1</t>
  </si>
  <si>
    <t>Khối 2</t>
  </si>
  <si>
    <t>Khối 3</t>
  </si>
  <si>
    <t>Khối 4</t>
  </si>
  <si>
    <t>Khối 5</t>
  </si>
  <si>
    <t>Khối 6</t>
  </si>
  <si>
    <t>Khối 7</t>
  </si>
  <si>
    <t>Khối 8</t>
  </si>
  <si>
    <t>Khối 9</t>
  </si>
  <si>
    <t>Khối 10</t>
  </si>
  <si>
    <t>Khối 11</t>
  </si>
  <si>
    <t>Khối 12</t>
  </si>
  <si>
    <t>Bệnh truyền nhiễm</t>
  </si>
  <si>
    <t>Sốt</t>
  </si>
  <si>
    <t>Bỏng da</t>
  </si>
  <si>
    <t>Bỏng độ 1</t>
  </si>
  <si>
    <t>Chấn thương</t>
  </si>
  <si>
    <t>Chấn thương phần mềm</t>
  </si>
  <si>
    <t>Đau nhức do va chạm / chơi thể thao</t>
  </si>
  <si>
    <t>Đau mỏi cơ</t>
  </si>
  <si>
    <t>Da liễu</t>
  </si>
  <si>
    <t>Viêm da</t>
  </si>
  <si>
    <t>Dị ứng da ( Mề đay dị ứng )</t>
  </si>
  <si>
    <t>Hô hấp</t>
  </si>
  <si>
    <t>Viêm đường hô hấp trên</t>
  </si>
  <si>
    <t>Mắt</t>
  </si>
  <si>
    <t>Dị ứng mắt</t>
  </si>
  <si>
    <t xml:space="preserve">Đau mắt </t>
  </si>
  <si>
    <t>Răng hàm mặt</t>
  </si>
  <si>
    <t>Đau răng</t>
  </si>
  <si>
    <t>Tai mũi họng</t>
  </si>
  <si>
    <t>Viêm mũi</t>
  </si>
  <si>
    <t>Chảy máu cam</t>
  </si>
  <si>
    <t xml:space="preserve">Viêm họng </t>
  </si>
  <si>
    <t>Tiêu hoá</t>
  </si>
  <si>
    <t>Viêm dạ dày</t>
  </si>
  <si>
    <t>Rối loạn tiêu hoá</t>
  </si>
  <si>
    <t>Tiêu chảy cấp</t>
  </si>
  <si>
    <t xml:space="preserve">Tổng hợp </t>
  </si>
  <si>
    <t>Côn Trùng đốt</t>
  </si>
  <si>
    <t>Thống Kinh</t>
  </si>
  <si>
    <t>Mệt</t>
  </si>
  <si>
    <t>Đau đầu cơ năng</t>
  </si>
  <si>
    <t>Đau đầu chưa rõ nguyên nhân</t>
  </si>
  <si>
    <t>Đau bụng chưa rõ nguyên nhân</t>
  </si>
  <si>
    <t>Vết thương</t>
  </si>
  <si>
    <t xml:space="preserve">Vết thương </t>
  </si>
  <si>
    <t>Vết thương cẳng tay</t>
  </si>
  <si>
    <t>Vết thương cẳng chân</t>
  </si>
  <si>
    <t>Vết thương vùng mặt</t>
  </si>
  <si>
    <t>Vết thương bàn chân</t>
  </si>
  <si>
    <t>Vết thương ngón tay</t>
  </si>
  <si>
    <t>Vết thương ngón chân</t>
  </si>
  <si>
    <t>Vết thương gối</t>
  </si>
  <si>
    <t>Vết thương khuỷu tay</t>
  </si>
  <si>
    <t>Vết thương trầy xước da</t>
  </si>
  <si>
    <t>Máy lạnh</t>
  </si>
  <si>
    <t>Cơ sở/ Khối lớp</t>
  </si>
  <si>
    <t>PHẦN 1. CHỈ TIÊU SĨ SỐ HỌC SINH</t>
  </si>
  <si>
    <t xml:space="preserve">Chỉ tiêu CLB </t>
  </si>
  <si>
    <t xml:space="preserve">Mầm non Biên Hòa </t>
  </si>
  <si>
    <t>Mầm non Long Khánh</t>
  </si>
  <si>
    <t xml:space="preserve">Tiểu học </t>
  </si>
  <si>
    <t>Mầm non Biên Hòa</t>
  </si>
  <si>
    <t xml:space="preserve">Trung học </t>
  </si>
  <si>
    <t>Grand Total</t>
  </si>
  <si>
    <t>Row Labels</t>
  </si>
  <si>
    <t>5. Công tác truyền thông</t>
  </si>
  <si>
    <t>8. Ngày nghỉ phép đối với khối vận hành</t>
  </si>
  <si>
    <t>Column Labels</t>
  </si>
  <si>
    <t xml:space="preserve">1. Sửa chữa bảo trì </t>
  </si>
  <si>
    <t xml:space="preserve">3. Bếp </t>
  </si>
  <si>
    <t>Tháng 8</t>
  </si>
  <si>
    <t>Tháng 9</t>
  </si>
  <si>
    <t xml:space="preserve">Xe đưa rước </t>
  </si>
  <si>
    <t xml:space="preserve">Ăn sáng </t>
  </si>
  <si>
    <t>Cap</t>
  </si>
  <si>
    <t>Ngay</t>
  </si>
  <si>
    <t>TenLop</t>
  </si>
  <si>
    <t>TenMonHoc</t>
  </si>
  <si>
    <t>GiaoVienPhuTrach</t>
  </si>
  <si>
    <t>Phòng Quản trị - An toàn và môi trường</t>
  </si>
  <si>
    <t>NV0000792</t>
  </si>
  <si>
    <t>Trần Thị Hoa</t>
  </si>
  <si>
    <t>Tổng cộng</t>
  </si>
  <si>
    <t xml:space="preserve">Khối/ Tháng </t>
  </si>
  <si>
    <t>Bệnh</t>
  </si>
  <si>
    <t>Định cư &amp; du học</t>
  </si>
  <si>
    <t xml:space="preserve">Khác </t>
  </si>
  <si>
    <t>Kinh tế</t>
  </si>
  <si>
    <t>Lũy kế năm học đến tháng báo cáo</t>
  </si>
  <si>
    <t>Lý do chuyển</t>
  </si>
  <si>
    <t>GhiChu</t>
  </si>
  <si>
    <t>Đơn vị Long Khánh</t>
  </si>
  <si>
    <t>Khối Tiểu Học</t>
  </si>
  <si>
    <t>Khối Mầm Non</t>
  </si>
  <si>
    <t>NS</t>
  </si>
  <si>
    <t>NV0000659</t>
  </si>
  <si>
    <t>Nguyễn Thị Bích Huyền</t>
  </si>
  <si>
    <t>Nghỉ ốm (1 ngày/1 quý)</t>
  </si>
  <si>
    <t xml:space="preserve">Báo lỗi xử lý </t>
  </si>
  <si>
    <t>Viêm mũi dị ứng</t>
  </si>
  <si>
    <t>TA tích hợp GVNN</t>
  </si>
  <si>
    <t>Sum of SoNgayThang</t>
  </si>
  <si>
    <t>Carreon Gugol Vanessa Ariane</t>
  </si>
  <si>
    <t>Khối Mầm Non, Tổ Ngoại Ngữ</t>
  </si>
  <si>
    <t>Số HS (thiếu)/ Vượt chỉ tiêu</t>
  </si>
  <si>
    <t xml:space="preserve">BÁO CÁO VẬN HÀNH THÁNG </t>
  </si>
  <si>
    <t>Số lượng HS thực tế</t>
  </si>
  <si>
    <t>1. Mức độ hoàn thành chỉ tiêu tuyển sinh</t>
  </si>
  <si>
    <t>Chỉ tiêu học sinh</t>
  </si>
  <si>
    <t>Học sinh thực tế</t>
  </si>
  <si>
    <t>% đạt mục tiêu</t>
  </si>
  <si>
    <t>Học sinh còn thiếu</t>
  </si>
  <si>
    <t>MN Biên Hòa</t>
  </si>
  <si>
    <t xml:space="preserve">MN Long Khánh </t>
  </si>
  <si>
    <t xml:space="preserve">PHẦN 2. CÂU LẠC BỘ NGOẠI KHÓA </t>
  </si>
  <si>
    <t>Số học sinh 24 -25</t>
  </si>
  <si>
    <t>Nơi ở/ Tiện đưa đón</t>
  </si>
  <si>
    <t>Học nội trú</t>
  </si>
  <si>
    <t>Chênh lệch</t>
  </si>
  <si>
    <t>MN Long Khánh</t>
  </si>
  <si>
    <t>4. Biến động sĩ số học sinh rút hồ sơ lũy kế tháng theo khối/ cơ sở</t>
  </si>
  <si>
    <t>6/2026</t>
  </si>
  <si>
    <t>7/2026</t>
  </si>
  <si>
    <t xml:space="preserve">CLB Đàn </t>
  </si>
  <si>
    <t>CLB Nhảy hiện đại</t>
  </si>
  <si>
    <t>CLB Tiếng Anh</t>
  </si>
  <si>
    <t>Trung học</t>
  </si>
  <si>
    <t xml:space="preserve">PHẦN 3. TÌNH HÌNH SỨC KHỎE HỌC SINH </t>
  </si>
  <si>
    <t xml:space="preserve">1. Bệnh phổ biến trong tháng cấp học mầm non </t>
  </si>
  <si>
    <t>3. Bệnh phổ biến trong tháng cấp THCS</t>
  </si>
  <si>
    <t>4. Bệnh phổ biến trong tháng cấp THPT</t>
  </si>
  <si>
    <t>PHẦN 4. TÌNH HÌNH GIẢNG DẠY &amp; KỶ LUẬT LAO ĐỘNG</t>
  </si>
  <si>
    <t>NV0001272</t>
  </si>
  <si>
    <t>Đỗ Thị Thanh</t>
  </si>
  <si>
    <t>NV0000650</t>
  </si>
  <si>
    <t>Văn Thị Hồng Yến</t>
  </si>
  <si>
    <t xml:space="preserve">PHẦN 5. CHÍNH SÁCH NHÂN SỰ &amp; TIỀN LƯƠNG </t>
  </si>
  <si>
    <t xml:space="preserve">PHẦN 6. VẬN HÀNH KHÁC </t>
  </si>
  <si>
    <t>Bảng</t>
  </si>
  <si>
    <t xml:space="preserve">Tăng/ (giảm) </t>
  </si>
  <si>
    <t>4. Tuyển sinh - Marketing</t>
  </si>
  <si>
    <t>% Thực tế và chỉ tiêu Tháng 9</t>
  </si>
  <si>
    <t>% Thực tế và chỉ tiêu tháng 8</t>
  </si>
  <si>
    <t>CLB Ẩm thực - Thứ 3 &amp; Thứ 5</t>
  </si>
  <si>
    <t>CLB Bóng đá - Thứ 3 &amp; Thứ 5</t>
  </si>
  <si>
    <t>CLB Bóng rổ - Thứ 7</t>
  </si>
  <si>
    <t>CLB Cầu lông - Pickleball - Thứ 3 &amp; Thứ 5</t>
  </si>
  <si>
    <t>CLB Aerobic cơ bản - Thứ 2 &amp; Thứ 4</t>
  </si>
  <si>
    <t>CLB Aerobic nâng cao - Thứ 3 &amp; Thứ 5</t>
  </si>
  <si>
    <t>CLB AI Robotics 3,4,5 - Thứ 3 &amp; Thứ 5</t>
  </si>
  <si>
    <t>CLB Bơi lội - Thứ 2 &amp; Thứ 4</t>
  </si>
  <si>
    <t>CLB Bơi - Thứ 3 &amp; Thứ 5</t>
  </si>
  <si>
    <t>CLB Bóng đá - Thứ 2 &amp; Thứ 4</t>
  </si>
  <si>
    <t>CLB Bóng rổ - Thứ 2 &amp; Thứ 4</t>
  </si>
  <si>
    <t>CLB Bóng rổ - Thứ 3 &amp; Thứ 5</t>
  </si>
  <si>
    <t>CLB Cờ vua - Thứ 2 &amp; Thứ 4</t>
  </si>
  <si>
    <t>CLB Digital art - Nghệ thuật số - Thứ 2 &amp; Thứ 4</t>
  </si>
  <si>
    <t>CLB Lập trình game - Thứ 2 &amp; Thứ 4</t>
  </si>
  <si>
    <t>CLB Tiếng anh TA1 K1 - Thứ 2 &amp; Thứ 4</t>
  </si>
  <si>
    <t>CLB Tiếng anh TA2 K 2,3 - Thứ 2 &amp; Thứ 4</t>
  </si>
  <si>
    <t>CLB Võ Vovinam - Thứ 2 &amp; Thứ 4</t>
  </si>
  <si>
    <t xml:space="preserve">Cấp học </t>
  </si>
  <si>
    <t xml:space="preserve">Môn học </t>
  </si>
  <si>
    <t>CLB Ẩm thực</t>
  </si>
  <si>
    <t>CLB Bóng đá</t>
  </si>
  <si>
    <t>CLB Bóng rổ</t>
  </si>
  <si>
    <t>CLB Bơi</t>
  </si>
  <si>
    <t>CLB Cờ vua</t>
  </si>
  <si>
    <t>CLB Aerobic - Thứ 2 &amp; Thứ 4</t>
  </si>
  <si>
    <t>CLB Aerobic - Thứ 3 &amp; Thứ 5</t>
  </si>
  <si>
    <t>CLB Rèn chữ - Thứ 2 &amp; Thứ 4</t>
  </si>
  <si>
    <t>CLB Tiếng anh - Thứ 2 &amp; Thứ 4</t>
  </si>
  <si>
    <t>CLB Tiếng anh - Thứ 3 &amp; Thứ 5</t>
  </si>
  <si>
    <t>CLB Vẽ - Thứ 2 &amp; Thứ 4</t>
  </si>
  <si>
    <t>CLB Võ Cổ truyền - Thứ 2 &amp; Thứ 4</t>
  </si>
  <si>
    <t>CLB Rèn chữ</t>
  </si>
  <si>
    <t>CLB Vẽ</t>
  </si>
  <si>
    <t>CLB Võ Cổ truyền</t>
  </si>
  <si>
    <t>CLB Đàn MNLK T2-T4 (Khối Mầm Chồi Lá)</t>
  </si>
  <si>
    <t>CLB Hội hoạ MNLK T3-T6 (Khối Mầm Chồi Lá)</t>
  </si>
  <si>
    <t>CLB Nhảy hiện đại MNLK T3-T5 (Khối Mầm Chồi Lá)</t>
  </si>
  <si>
    <t>Số liệu học sinh theo môn học CLB</t>
  </si>
  <si>
    <t xml:space="preserve">Tỷ lệ hoàn thành chỉ tiêu CLB </t>
  </si>
  <si>
    <t>% chỉ tiêu</t>
  </si>
  <si>
    <t>Viêm mi mắt</t>
  </si>
  <si>
    <t>Tống Thị Lan Anh</t>
  </si>
  <si>
    <t>Nguyễn Thụy Ngọc Minh</t>
  </si>
  <si>
    <t>NV0001073</t>
  </si>
  <si>
    <t>NV0000097</t>
  </si>
  <si>
    <t>Nguyễn Đình Hạnh</t>
  </si>
  <si>
    <t>Mai Thị Cẩm Thi</t>
  </si>
  <si>
    <t>Tổ Ngoại Ngữ, Khối THCS -THPT</t>
  </si>
  <si>
    <t>Marketing - TVTS - CSKH</t>
  </si>
  <si>
    <t>Tổ Hoạt động trải nghiệm, hướng nghiệp, Khối THCS -THPT</t>
  </si>
  <si>
    <t>Tổ Ngoại Ngữ, Khối Tiểu Học</t>
  </si>
  <si>
    <t>2. Tỷ lệ hoàn thành mục tiêu tuyển sinh theo cơ sở</t>
  </si>
  <si>
    <t>% Thực tế và chỉ tiêu Tháng 10</t>
  </si>
  <si>
    <t>TuNgayT</t>
  </si>
  <si>
    <t>DenNgayT</t>
  </si>
  <si>
    <t>Mua sắm tài sản</t>
  </si>
  <si>
    <t>NV0001199</t>
  </si>
  <si>
    <t>NV0001260</t>
  </si>
  <si>
    <t>Dương Thị Đào</t>
  </si>
  <si>
    <t>Tổ Tin học và Công nghệ, Khối THCS -THPT</t>
  </si>
  <si>
    <t>NV0000935</t>
  </si>
  <si>
    <t>Lý Mỹ Linh</t>
  </si>
  <si>
    <t>NV0001046</t>
  </si>
  <si>
    <t>Trần Thị Thanh Loan</t>
  </si>
  <si>
    <t>NV0000165</t>
  </si>
  <si>
    <t>Lê Thị Hải Linh</t>
  </si>
  <si>
    <t>Thống kê danh mục theo tháng</t>
  </si>
  <si>
    <t>Quạt xoay</t>
  </si>
  <si>
    <t>Máy PC</t>
  </si>
  <si>
    <t>Tivi</t>
  </si>
  <si>
    <t>Rèm vải cuốn</t>
  </si>
  <si>
    <t>Remote TV</t>
  </si>
  <si>
    <t>Khác</t>
  </si>
  <si>
    <t>Báo sửa trong tháng theo Khu (Top 10)</t>
  </si>
  <si>
    <t>Đồng hồ treo</t>
  </si>
  <si>
    <t>Khu A</t>
  </si>
  <si>
    <t>Khu B</t>
  </si>
  <si>
    <t>Khu C</t>
  </si>
  <si>
    <t>Khu D</t>
  </si>
  <si>
    <t>Cơ sở 2</t>
  </si>
  <si>
    <t>Cơ sở Long Khánh</t>
  </si>
  <si>
    <t xml:space="preserve">Tháng 10 </t>
  </si>
  <si>
    <t>% Thực tế và chỉ tiêu Tháng 11</t>
  </si>
  <si>
    <t>NV0001263</t>
  </si>
  <si>
    <t>Phạm Thị Mỹ Hảo</t>
  </si>
  <si>
    <t>NV0000056</t>
  </si>
  <si>
    <t>Bùi Thị Huệ</t>
  </si>
  <si>
    <t>NV0000582</t>
  </si>
  <si>
    <t>NV0001094</t>
  </si>
  <si>
    <t>Lê Trần Hoài Anh</t>
  </si>
  <si>
    <t>Tháng 11</t>
  </si>
  <si>
    <t>Tăng/ (Giảm) so với tháng trước</t>
  </si>
  <si>
    <t>3. So sánh chỉ tiêu và thực tế đạt được, tăng giảm trong tháng</t>
  </si>
  <si>
    <t>Tiet</t>
  </si>
  <si>
    <t>Cấp 1</t>
  </si>
  <si>
    <t>Cấp 3</t>
  </si>
  <si>
    <t>Cấp 2</t>
  </si>
  <si>
    <t>Cấp 0</t>
  </si>
  <si>
    <t>Ban Giám Đốc</t>
  </si>
  <si>
    <t>NV0000924</t>
  </si>
  <si>
    <t>Mai Thị Kim Ngân</t>
  </si>
  <si>
    <t>NV0001258</t>
  </si>
  <si>
    <t>Nguyễn Việt Trinh</t>
  </si>
  <si>
    <t>NV0000638</t>
  </si>
  <si>
    <t>Nguyễn Thị Ngọc Thủy</t>
  </si>
  <si>
    <t>NV0000415</t>
  </si>
  <si>
    <t>Nghỉ thai sản - Hưởng BHXH</t>
  </si>
  <si>
    <t>NV0001141</t>
  </si>
  <si>
    <t>Trần Thị Phương</t>
  </si>
  <si>
    <t>NV0001225</t>
  </si>
  <si>
    <t>Trần Đình Ngọc</t>
  </si>
  <si>
    <t xml:space="preserve">TD Dị ứng da do tiếp xúc </t>
  </si>
  <si>
    <t>Tháng 12</t>
  </si>
  <si>
    <t xml:space="preserve">Lũy kế học sinh chuyển đi  </t>
  </si>
  <si>
    <t xml:space="preserve">Lũy kế học sinh chuyển đến </t>
  </si>
  <si>
    <t>% Thực tế và chỉ tiêu Tháng 12</t>
  </si>
  <si>
    <t>% Thực tế và chỉ tiêu Tháng 1</t>
  </si>
  <si>
    <t>Phạm Thị Thu Hương</t>
  </si>
  <si>
    <t>Lê Nguyễn Anh Thư</t>
  </si>
  <si>
    <t>Hoàng Thanh Quang</t>
  </si>
  <si>
    <t>GV dạy thay</t>
  </si>
  <si>
    <t>Tên GV dạy thay</t>
  </si>
  <si>
    <t xml:space="preserve">Số tiết chưa được bù </t>
  </si>
  <si>
    <t>NV0000012</t>
  </si>
  <si>
    <t>Nguyễn Thị Hằng</t>
  </si>
  <si>
    <t>NV0000083</t>
  </si>
  <si>
    <t>Trần Thành Danh</t>
  </si>
  <si>
    <t>NV0000677</t>
  </si>
  <si>
    <t>NV0000133</t>
  </si>
  <si>
    <t>Nguyễn Thị Mộng Huyền</t>
  </si>
  <si>
    <t>NV0001287</t>
  </si>
  <si>
    <t>Lê Bá Quang Thắng</t>
  </si>
  <si>
    <t>NV0001334</t>
  </si>
  <si>
    <t>JARED DAGUIL NADELA</t>
  </si>
  <si>
    <t>NV0001377</t>
  </si>
  <si>
    <t>Vũ Thị Giàu Sang</t>
  </si>
  <si>
    <t>-</t>
  </si>
  <si>
    <t>NV0000040</t>
  </si>
  <si>
    <t>Trần Ngọc Liên</t>
  </si>
  <si>
    <t>NV0000071</t>
  </si>
  <si>
    <t>Hồ Ngọc Diệp</t>
  </si>
  <si>
    <t>NV0000227</t>
  </si>
  <si>
    <t>Nguyễn Thị Tuyết Mai</t>
  </si>
  <si>
    <t>Chắp, lẹo mắt</t>
  </si>
  <si>
    <t>Mất ngủ do thức khuya</t>
  </si>
  <si>
    <t>Vết thương bàn tay</t>
  </si>
  <si>
    <t>Học sinh mầm non</t>
  </si>
  <si>
    <t>Học sinh cấp 2</t>
  </si>
  <si>
    <t>Học sinh cấp 3</t>
  </si>
  <si>
    <t xml:space="preserve">Tổng số lượt khám </t>
  </si>
  <si>
    <t>Lượt khám mầm non</t>
  </si>
  <si>
    <t xml:space="preserve">Lượt khám THCS </t>
  </si>
  <si>
    <t>Lượt khám THPT</t>
  </si>
  <si>
    <t>Nhóm bệnh</t>
  </si>
  <si>
    <t>Loại bệnh</t>
  </si>
  <si>
    <t>Tỷ lệ chăm sóc theo cấp</t>
  </si>
  <si>
    <t>2. Bệnh phổ biến trong tháng cấp Tiểu học</t>
  </si>
  <si>
    <t xml:space="preserve">Lắp đặt mới </t>
  </si>
  <si>
    <t>Tháng 1</t>
  </si>
  <si>
    <t>% Thực tế và chỉ tiêu Tháng 2</t>
  </si>
  <si>
    <t>% Thực tế và chỉ tiêu Tháng 3</t>
  </si>
  <si>
    <t>% Thực tế và chỉ tiêu Tháng 5</t>
  </si>
  <si>
    <t>% Thực tế và chỉ tiêu Tháng4</t>
  </si>
  <si>
    <t>HS mầm non</t>
  </si>
  <si>
    <t>HS tiểu học</t>
  </si>
  <si>
    <t xml:space="preserve">HS THCS </t>
  </si>
  <si>
    <t xml:space="preserve">HS THPT </t>
  </si>
  <si>
    <t>Lượt khám Tiểu học</t>
  </si>
  <si>
    <t>Tăng điều tiết mắt</t>
  </si>
  <si>
    <t>Dập môi</t>
  </si>
  <si>
    <t>Viêm xoang</t>
  </si>
  <si>
    <t>Lật móng chân</t>
  </si>
  <si>
    <t xml:space="preserve">Học sinh tiểu học </t>
  </si>
  <si>
    <t>09F</t>
  </si>
  <si>
    <t>Nguyễn Thị Hạnh</t>
  </si>
  <si>
    <t>Phạm Thị Linh</t>
  </si>
  <si>
    <t>Yusifova Ayla</t>
  </si>
  <si>
    <t>06G</t>
  </si>
  <si>
    <t>Nguyễn Thị Thu Thảo</t>
  </si>
  <si>
    <t>NV0001262</t>
  </si>
  <si>
    <t>Cam Ngọc Đăng Thanh</t>
  </si>
  <si>
    <t>NV0001195</t>
  </si>
  <si>
    <t>Nguyễn Thị Lệ Thu</t>
  </si>
  <si>
    <t>NV0001114</t>
  </si>
  <si>
    <t>Lê Thị Anh</t>
  </si>
  <si>
    <t xml:space="preserve">Khám bệnh </t>
  </si>
  <si>
    <t>Tổ Quản Sinh</t>
  </si>
  <si>
    <t>NV0001204</t>
  </si>
  <si>
    <t>Nguyễn Phạm Thị Thuỷ Tiên</t>
  </si>
  <si>
    <t>Tổ xã hội, Khối THCS -THPT</t>
  </si>
  <si>
    <t>NV0000855</t>
  </si>
  <si>
    <t>Đỗ Ngọc Minh Thư</t>
  </si>
  <si>
    <t>NV0001353</t>
  </si>
  <si>
    <t>Lê Thị Ngọc Hân</t>
  </si>
  <si>
    <t>Đưa con đi khám bệnh</t>
  </si>
  <si>
    <t>NV0001066</t>
  </si>
  <si>
    <t>Lê Tuyết Nhi</t>
  </si>
  <si>
    <t>Nguyễn Trần Gia Hân</t>
  </si>
  <si>
    <t>NV0001230</t>
  </si>
  <si>
    <t>Vũ Bùi Mai Khanh</t>
  </si>
  <si>
    <t>NV0000722</t>
  </si>
  <si>
    <t>Rajamanickam Abhishek</t>
  </si>
  <si>
    <t>Tháng 3</t>
  </si>
  <si>
    <t>Kích ứng da</t>
  </si>
  <si>
    <t>Viêm phế quản</t>
  </si>
  <si>
    <t>Rụng răng sữa</t>
  </si>
  <si>
    <t>Viêm da vành tai</t>
  </si>
  <si>
    <t>Thần Kinh</t>
  </si>
  <si>
    <t>Rối loạn tiền đình</t>
  </si>
  <si>
    <t>Táo bón</t>
  </si>
  <si>
    <t>09E</t>
  </si>
  <si>
    <t>Trần Thị Như Vy</t>
  </si>
  <si>
    <t>HĐ Trải nghiệm GVBM</t>
  </si>
  <si>
    <t>Nguyễn Khánh Huyền</t>
  </si>
  <si>
    <t>Tin học</t>
  </si>
  <si>
    <t>Lê Thị Thanh Thủy</t>
  </si>
  <si>
    <t>Lê Thị Thanh Huyền</t>
  </si>
  <si>
    <t>Biện Thị Kim Thắm</t>
  </si>
  <si>
    <t>GV Mầm non</t>
  </si>
  <si>
    <t>Sinh hoạt</t>
  </si>
  <si>
    <t>Nguyễn Ngọc Thanh Vy</t>
  </si>
  <si>
    <t>NV0001386</t>
  </si>
  <si>
    <t>Phạm Thị Trà My</t>
  </si>
  <si>
    <t>NV0001221</t>
  </si>
  <si>
    <t>Phạm Thị Thu Hiền</t>
  </si>
  <si>
    <t>NV0001147</t>
  </si>
  <si>
    <t>Nguyễn Quang Tân</t>
  </si>
  <si>
    <t>Bận việc gia đình</t>
  </si>
  <si>
    <t>Tứ thân phụ mẫu, vợ (chồng), con: mất</t>
  </si>
  <si>
    <t>NV0001306</t>
  </si>
  <si>
    <t>Hoàng Thị Diễm Trang</t>
  </si>
  <si>
    <t>Ban Giám Hiệu</t>
  </si>
  <si>
    <t>NV0001207</t>
  </si>
  <si>
    <t>Bùi Thị Kim Cang</t>
  </si>
  <si>
    <t>NV0000837</t>
  </si>
  <si>
    <t>Pilita Bagnes</t>
  </si>
  <si>
    <t>NV0000379</t>
  </si>
  <si>
    <t>Dương Thị Gọn</t>
  </si>
  <si>
    <t>NV0000984</t>
  </si>
  <si>
    <t>Đồng Thị Kim Chi</t>
  </si>
  <si>
    <t>NV0000976</t>
  </si>
  <si>
    <t>Nguyễn Thị Kim Phượng</t>
  </si>
  <si>
    <t>NV0000337</t>
  </si>
  <si>
    <t>NV0001222</t>
  </si>
  <si>
    <t>Trần Thị Như Ngọc</t>
  </si>
  <si>
    <t>NV0001106</t>
  </si>
  <si>
    <t>Nguyễn An Di</t>
  </si>
  <si>
    <t>NV0000140</t>
  </si>
  <si>
    <t>Nguyễn Thị Thuật</t>
  </si>
  <si>
    <t>NV0000009</t>
  </si>
  <si>
    <t>Trương Thu Trang</t>
  </si>
  <si>
    <t>Nghỉ bệnh</t>
  </si>
  <si>
    <t>NV0000712</t>
  </si>
  <si>
    <t>NV0000741</t>
  </si>
  <si>
    <t>Trần Kim Oanh</t>
  </si>
  <si>
    <t>NV0001257</t>
  </si>
  <si>
    <t>Nguyễn Thu Hiền</t>
  </si>
  <si>
    <t>Làm việc trực tuyến tại nhà.</t>
  </si>
  <si>
    <t>Trần Thanh Hiền</t>
  </si>
  <si>
    <t>NV0001150</t>
  </si>
  <si>
    <t>Nguyễn Thị Thuý Hằng</t>
  </si>
  <si>
    <t>Tổ tự nhiên, Khối THCS -THPT</t>
  </si>
  <si>
    <t>NV0000368</t>
  </si>
  <si>
    <t>Nguyễn Thị Kim Liên</t>
  </si>
  <si>
    <t>Bộ phận Thư viện, Khối THCS -THPT</t>
  </si>
  <si>
    <t>NV0000546</t>
  </si>
  <si>
    <t>Phạm Thị Mười</t>
  </si>
  <si>
    <t>NV0001321</t>
  </si>
  <si>
    <t>Phạm Thị Kiều Hạnh</t>
  </si>
  <si>
    <t>Bận việc gđ</t>
  </si>
  <si>
    <t>NV0001396</t>
  </si>
  <si>
    <t>Trần Thị Thanh Tâm</t>
  </si>
  <si>
    <t>Làm việc tại nhà.</t>
  </si>
  <si>
    <t>NV0000018</t>
  </si>
  <si>
    <t>NV0001138</t>
  </si>
  <si>
    <t>Lộc Thị Thông</t>
  </si>
  <si>
    <t>NV0000736</t>
  </si>
  <si>
    <t>Huỳnh Trúc Lan Tuyên</t>
  </si>
  <si>
    <t>NV0001060</t>
  </si>
  <si>
    <t>Nguyễn Thị Bích Trâm</t>
  </si>
  <si>
    <t xml:space="preserve">Transfer out </t>
  </si>
  <si>
    <t xml:space="preserve">Số học sinh chỉ tiêu năm 26 - 27 </t>
  </si>
  <si>
    <t>8/2026</t>
  </si>
  <si>
    <t>9/2026</t>
  </si>
  <si>
    <t>10/2026</t>
  </si>
  <si>
    <t>11/2026</t>
  </si>
  <si>
    <t>12/2026</t>
  </si>
  <si>
    <t>1/2027</t>
  </si>
  <si>
    <t>2/2027</t>
  </si>
  <si>
    <t>3/2027</t>
  </si>
  <si>
    <t>4/2027</t>
  </si>
  <si>
    <t>5/2027</t>
  </si>
  <si>
    <t>6/2027</t>
  </si>
  <si>
    <t>Số học sinh 25 -26</t>
  </si>
  <si>
    <t>CLB Tiền tiểu học</t>
  </si>
  <si>
    <t>CLB Nhạc kịch</t>
  </si>
  <si>
    <t>CLB Tiếng Anh kịch nghệ - T3 &amp; 5</t>
  </si>
  <si>
    <t>CLB Tiếng Anh kịch nghệ - T2 &amp; 4</t>
  </si>
  <si>
    <t>CLB Aerobic - Nhà trẻ &amp; Mầm</t>
  </si>
  <si>
    <t>CLB Aerobic - Chồi &amp; Lá</t>
  </si>
  <si>
    <t xml:space="preserve">Chỉ tiêu </t>
  </si>
  <si>
    <t xml:space="preserve">CLB Aerobic </t>
  </si>
  <si>
    <t>CLB Bơi lội cơ bản</t>
  </si>
  <si>
    <t>CLB Bơi nâng cao</t>
  </si>
  <si>
    <t>CLB Bóng đá Nhí</t>
  </si>
  <si>
    <t>CLB Digital - Art</t>
  </si>
  <si>
    <t>CLB Hội hoạ cơ bản</t>
  </si>
  <si>
    <t>CLB Khoa học vui</t>
  </si>
  <si>
    <t xml:space="preserve">CLB Lập trình Game </t>
  </si>
  <si>
    <t>CLB Robotics - Plus (Khối 1)</t>
  </si>
  <si>
    <t>CLB Robotics Enrichment</t>
  </si>
  <si>
    <t>CLB Robotics Extended</t>
  </si>
  <si>
    <t>CLB Tiếng anh Lễ Hội Bốn Phương - Khối 2, 3</t>
  </si>
  <si>
    <t>CLB Tiếng anh Nhà Khám Phá Nhí- Khối 1</t>
  </si>
  <si>
    <t>CLB Tiếng anh Nói Hay Tự Tin</t>
  </si>
  <si>
    <t>CLB Võ Việt Nam</t>
  </si>
  <si>
    <t>CLB Advanced Robotics</t>
  </si>
  <si>
    <t>CLB Bơi nâng cao 2</t>
  </si>
  <si>
    <t>CLB Bóng chuyền</t>
  </si>
  <si>
    <t>CLB Bóng đá phát triển</t>
  </si>
  <si>
    <t>CLB Tiếng Trung</t>
  </si>
  <si>
    <t>Số liệu câu lạc bộ ngoại khóa trong tháng (khai giảng tháng 9/2026)</t>
  </si>
  <si>
    <t>Bỏng</t>
  </si>
  <si>
    <t xml:space="preserve">Mụn viêm </t>
  </si>
  <si>
    <t>Dị ứng do thức ăn</t>
  </si>
  <si>
    <t>Viêm da dị ứng</t>
  </si>
  <si>
    <t>Chính mé</t>
  </si>
  <si>
    <t>Viêm da cơ địa</t>
  </si>
  <si>
    <t>Viêm kết mạc mắt</t>
  </si>
  <si>
    <t>Viêm loét niêm mạc miệng (nhiệt miệng)</t>
  </si>
  <si>
    <t>Rớt mắc cài niềng răng</t>
  </si>
  <si>
    <t xml:space="preserve">Viêm nướu </t>
  </si>
  <si>
    <t xml:space="preserve">Đau tai </t>
  </si>
  <si>
    <t xml:space="preserve"> TD Viêm tai giữa </t>
  </si>
  <si>
    <t>Dị vật tai</t>
  </si>
  <si>
    <t>Hội chứng ruột kích thích</t>
  </si>
  <si>
    <t>TD Trào ngược dạ dày thực quản</t>
  </si>
  <si>
    <t>TD Rối loạn nhịp tim</t>
  </si>
  <si>
    <t>Viêm nhọt</t>
  </si>
  <si>
    <t xml:space="preserve">Áp xe </t>
  </si>
  <si>
    <t>Lật móng tay</t>
  </si>
  <si>
    <t>Vết thương vùng lưng</t>
  </si>
  <si>
    <t>Tim mạch</t>
  </si>
  <si>
    <t>27/08/2026</t>
  </si>
  <si>
    <t>06A</t>
  </si>
  <si>
    <t>Lopez Anne Julia Redor</t>
  </si>
  <si>
    <t>20/08/2026</t>
  </si>
  <si>
    <t>Chuyên đề HT Lý</t>
  </si>
  <si>
    <t>Đoàn Anh Hào</t>
  </si>
  <si>
    <t>17/08/2026</t>
  </si>
  <si>
    <t>Đinh Minh Đức</t>
  </si>
  <si>
    <t>11/08/2026</t>
  </si>
  <si>
    <t>10/08/2026</t>
  </si>
  <si>
    <t>08B</t>
  </si>
  <si>
    <t>Ngữ văn</t>
  </si>
  <si>
    <t>Lưu Gia Tuệ</t>
  </si>
  <si>
    <t>28/08/2026</t>
  </si>
  <si>
    <t>06E</t>
  </si>
  <si>
    <t>06H</t>
  </si>
  <si>
    <t>Nguyễn Quang Nam</t>
  </si>
  <si>
    <t>25/08/2026</t>
  </si>
  <si>
    <t>10C</t>
  </si>
  <si>
    <t>24/08/2026</t>
  </si>
  <si>
    <t>14/08/2026</t>
  </si>
  <si>
    <t>Nguyễn Thị Nga</t>
  </si>
  <si>
    <t>Ngô Phạm Ngọc Điệp</t>
  </si>
  <si>
    <t>Khoa học</t>
  </si>
  <si>
    <t>Lê Thị Ngọc Linh</t>
  </si>
  <si>
    <t>Nguyễn Thị Thanh Thùy</t>
  </si>
  <si>
    <t>Phan Thị Mỹ Uyên</t>
  </si>
  <si>
    <t>Trần Thị Phương Uyên</t>
  </si>
  <si>
    <t>13/08/2026</t>
  </si>
  <si>
    <t>12/08/2026</t>
  </si>
  <si>
    <t>Nguyễn Ngọc Bảo Trâm</t>
  </si>
  <si>
    <t>12C2</t>
  </si>
  <si>
    <t>Vật lí</t>
  </si>
  <si>
    <t>Trần Thị Bích Đào</t>
  </si>
  <si>
    <t>Hành chính</t>
  </si>
  <si>
    <t>Lê Văn Hải</t>
  </si>
  <si>
    <t>Nguyễn Quốc Việt</t>
  </si>
  <si>
    <t>07/08/2026</t>
  </si>
  <si>
    <t>Nguyễn Ngọc Mai Anh</t>
  </si>
  <si>
    <t>Hà Thị Kim Anh</t>
  </si>
  <si>
    <t>Nguyễn Vũ Kim Ngân</t>
  </si>
  <si>
    <t>06/08/2026</t>
  </si>
  <si>
    <t>05E</t>
  </si>
  <si>
    <t>05B</t>
  </si>
  <si>
    <t>05D</t>
  </si>
  <si>
    <t>05/08/2026</t>
  </si>
  <si>
    <t>04/08/2026</t>
  </si>
  <si>
    <t>03/08/2026</t>
  </si>
  <si>
    <t>NV0001104</t>
  </si>
  <si>
    <t>Bùi Thị Bích Trâm</t>
  </si>
  <si>
    <t xml:space="preserve">Nhân sự giải quyết phép năm tồn </t>
  </si>
  <si>
    <t>31/08/2026</t>
  </si>
  <si>
    <t>NV0000080</t>
  </si>
  <si>
    <t>Hoàng Văn Thanh</t>
  </si>
  <si>
    <t>29/08/2026</t>
  </si>
  <si>
    <t>NV0000108</t>
  </si>
  <si>
    <t>Hà Thị Kim Sang</t>
  </si>
  <si>
    <t>NV0000242</t>
  </si>
  <si>
    <t>Trần Thanh Bền</t>
  </si>
  <si>
    <t>NV0000145</t>
  </si>
  <si>
    <t>Trần Thị Thùy Trang</t>
  </si>
  <si>
    <t>Ứng phép của nảm 26-27</t>
  </si>
  <si>
    <t xml:space="preserve">Chăm má sau phẫu thuật </t>
  </si>
  <si>
    <t>NV0000928</t>
  </si>
  <si>
    <t>Ngô Thị Xuân Thủy</t>
  </si>
  <si>
    <t>NV0000902</t>
  </si>
  <si>
    <t>Dalumpines Obregon Kizzle Kaye</t>
  </si>
  <si>
    <t>NV0001089</t>
  </si>
  <si>
    <t xml:space="preserve">Đi khám răng </t>
  </si>
  <si>
    <t>NV0000122</t>
  </si>
  <si>
    <t>Phan Thị Ngọc Nga</t>
  </si>
  <si>
    <t>NV0001374</t>
  </si>
  <si>
    <t>Đăng kí nghỉ phép cả ngày 27/8/2026</t>
  </si>
  <si>
    <t>Nhân sự giải quyết phép nghỉ việc T7&amp;T8/2026</t>
  </si>
  <si>
    <t>Làm việc tại nhà</t>
  </si>
  <si>
    <t>NV0000226</t>
  </si>
  <si>
    <t>Nguyễn Thị Diễm Trang</t>
  </si>
  <si>
    <t>NV0000904</t>
  </si>
  <si>
    <t>NV0001292</t>
  </si>
  <si>
    <t>Võ Kim Ngân</t>
  </si>
  <si>
    <t>NV0000037</t>
  </si>
  <si>
    <t>Tập huấn lý luận chính trị hè năm 2026</t>
  </si>
  <si>
    <t>NV0000069</t>
  </si>
  <si>
    <t>Võ Thị Hồng Nhung</t>
  </si>
  <si>
    <t>NV0001390</t>
  </si>
  <si>
    <t>Nguyễn Thị Thanh Thuỷ</t>
  </si>
  <si>
    <t>Chăm con nằm viện</t>
  </si>
  <si>
    <t>26/08/2026</t>
  </si>
  <si>
    <t>NV0000155</t>
  </si>
  <si>
    <t>Khương Thị Ngọc Phụng</t>
  </si>
  <si>
    <t>Nhà có tang</t>
  </si>
  <si>
    <t>NV0000382</t>
  </si>
  <si>
    <t>Trịnh Văn Tiến</t>
  </si>
  <si>
    <t>ABDUL MAJID MARANI SWALLAH</t>
  </si>
  <si>
    <t>NV0000978</t>
  </si>
  <si>
    <t>Hà Thanh Hằng</t>
  </si>
  <si>
    <t>NV0000810</t>
  </si>
  <si>
    <t>Dương Hồng Thủy</t>
  </si>
  <si>
    <t xml:space="preserve">Nghỉ dưỡng sức sau sinh </t>
  </si>
  <si>
    <t>Phép năm (phép cũ)</t>
  </si>
  <si>
    <t>NV0001375</t>
  </si>
  <si>
    <t>Võ Thị Ngọc Trang</t>
  </si>
  <si>
    <t>Kính gửi chị Hoa, em xin nghỉ phép vì bị bệnh</t>
  </si>
  <si>
    <t>Bận việc riêng</t>
  </si>
  <si>
    <t>NV0001058</t>
  </si>
  <si>
    <t>Nghỉ khám thai ở phòng khám tư nên không có giấy nghỉ.</t>
  </si>
  <si>
    <t>NV0000342</t>
  </si>
  <si>
    <t>NV0000025</t>
  </si>
  <si>
    <t>Cổ vũ đội Robocon LHU thi đấu</t>
  </si>
  <si>
    <t>NV0000084</t>
  </si>
  <si>
    <t>Nguyễn Thị Trang Đài</t>
  </si>
  <si>
    <t>Công tác Hồng Kong - Trung Quốc học tập - trải nghiệm</t>
  </si>
  <si>
    <t>Đi công tác tại Hongkong - Trung Quốc</t>
  </si>
  <si>
    <t>Đi công tác tại Hồng Kông - Trung Quốc</t>
  </si>
  <si>
    <t>Nghỉ để chăm con nằm viện</t>
  </si>
  <si>
    <t>NV0000620</t>
  </si>
  <si>
    <t>Trịnh Thị Thu</t>
  </si>
  <si>
    <t>NV0000870</t>
  </si>
  <si>
    <t>Nguyễn Thị Mai Thanh</t>
  </si>
  <si>
    <t xml:space="preserve">Đưa con nhập học lớp 1 nhưng vẫn hoàn thành công việc trong ngày. </t>
  </si>
  <si>
    <t>NV0000410</t>
  </si>
  <si>
    <t>Nguyễn Thị Nhâm</t>
  </si>
  <si>
    <t xml:space="preserve">Nghỉ phép bù sau thai sản </t>
  </si>
  <si>
    <t>NV0000788</t>
  </si>
  <si>
    <t>Lê Thị Thúy Ly</t>
  </si>
  <si>
    <t>22/08/2026</t>
  </si>
  <si>
    <t>NV0001336</t>
  </si>
  <si>
    <t>Phạm Huỳnh Ny Na</t>
  </si>
  <si>
    <t>21/08/2026</t>
  </si>
  <si>
    <t>NV0001078</t>
  </si>
  <si>
    <t>Nguyễn Thị Hường</t>
  </si>
  <si>
    <t>NV0000739</t>
  </si>
  <si>
    <t>Tập huấn, công tác</t>
  </si>
  <si>
    <t>Kính gửi chị Hoa, em xin phép nghỉ ngày 21/6</t>
  </si>
  <si>
    <t>Tập huấn công tác</t>
  </si>
  <si>
    <t>NV0000256</t>
  </si>
  <si>
    <t>Võ Thị Ý</t>
  </si>
  <si>
    <t>Chở con đi tái khám</t>
  </si>
  <si>
    <t>Làm việc tại nhà, chiều họp NCC Tính Trước tại TP. HCM</t>
  </si>
  <si>
    <t>Công tác</t>
  </si>
  <si>
    <t>19/02/2027</t>
  </si>
  <si>
    <t>19/08/2026</t>
  </si>
  <si>
    <t>NV0001154</t>
  </si>
  <si>
    <t>Vi Thị Ngọc Nhi</t>
  </si>
  <si>
    <t xml:space="preserve">Làm việc tại nhà </t>
  </si>
  <si>
    <t>18/08/2026</t>
  </si>
  <si>
    <t>NV0000807</t>
  </si>
  <si>
    <t>Sốt cao</t>
  </si>
  <si>
    <t>NV0000448</t>
  </si>
  <si>
    <t>Ngô Thị Lan</t>
  </si>
  <si>
    <t>Bản thân bị ốm</t>
  </si>
  <si>
    <t>Đi khám mắt</t>
  </si>
  <si>
    <t>15/08/2026</t>
  </si>
  <si>
    <t>NV0000975</t>
  </si>
  <si>
    <t>Đi bệnh viện khám bệnh cho con (nhiễm trùng hô hấp)</t>
  </si>
  <si>
    <t>Đến Mầm non Long Khánh quay phim.</t>
  </si>
  <si>
    <t>NV0000367</t>
  </si>
  <si>
    <t>Chăm con nhỏ bị ốm.</t>
  </si>
  <si>
    <t>NV0000533</t>
  </si>
  <si>
    <t>Nghỉ nửa ngày buổi chiều ngày 14/08 phép học kỳ</t>
  </si>
  <si>
    <t>NV0000278</t>
  </si>
  <si>
    <t>Phạm Minh Trường</t>
  </si>
  <si>
    <t>Tổ thể dục - Quốc phòng - Nghệ thuật, Khối THCS -THPT</t>
  </si>
  <si>
    <t>Tập huấn sáo recorder tại ĐH Đồng Nai theo cv của Sở.</t>
  </si>
  <si>
    <t xml:space="preserve">Nghỉ phép năm 2025-2026 </t>
  </si>
  <si>
    <t>NV0001103</t>
  </si>
  <si>
    <t>Lữ Thị Thu Hiền</t>
  </si>
  <si>
    <t xml:space="preserve">Có lịch hẹn nhổ răng khôn của bác sĩ. 
Không có tiết dạy trong ngày. </t>
  </si>
  <si>
    <t>Đi Viện Pasteur lấy mẫu xét nghiệm nước.</t>
  </si>
  <si>
    <t>Khám măt</t>
  </si>
  <si>
    <t>Khám thai định kỳ (5 ngày/1 chu kỳ)</t>
  </si>
  <si>
    <t>SEAMEO Retrac Training Seminar with the Kindergarten team in Ho Chi Minh</t>
  </si>
  <si>
    <t>NV0000556</t>
  </si>
  <si>
    <t>Trịnh Thanh Yến</t>
  </si>
  <si>
    <t>SEAMEO Retrac Training Seminar with the Kindergarten Team in Ho Chi Minh</t>
  </si>
  <si>
    <t>NV0001271</t>
  </si>
  <si>
    <t>Linh Thị Lan Anh</t>
  </si>
  <si>
    <t>Đăng kí nghỉ phép năm - nửa ngày 10/8</t>
  </si>
  <si>
    <t>NV0001398</t>
  </si>
  <si>
    <t>Trần Duy Sang</t>
  </si>
  <si>
    <t>Kính gửi chị Hoa, em xin phép nghỉ ngày 10/8 vì có việc gia đình.</t>
  </si>
  <si>
    <t>NV0001402</t>
  </si>
  <si>
    <t>Đoàn Thị Mỹ Tiên</t>
  </si>
  <si>
    <t>Con bị bệnh</t>
  </si>
  <si>
    <t>NV0000957</t>
  </si>
  <si>
    <t>Nguyễn Trúc Linh</t>
  </si>
  <si>
    <t>NV0001417</t>
  </si>
  <si>
    <t>Nguyễn Thị Thanh Tâm</t>
  </si>
  <si>
    <t>Mượn phép năm 2026-2027</t>
  </si>
  <si>
    <t>08/08/2026</t>
  </si>
  <si>
    <t>Đi làm căn cước công dân</t>
  </si>
  <si>
    <t>Làm căn cước công dân</t>
  </si>
  <si>
    <t>Đi thi</t>
  </si>
  <si>
    <t>NV0001064</t>
  </si>
  <si>
    <t>Mượn phép 2026-2027</t>
  </si>
  <si>
    <t>Đi tiền trạm</t>
  </si>
  <si>
    <t>Đi tiền trạm cho HĐTN của HS.</t>
  </si>
  <si>
    <t xml:space="preserve">Đi tiền trạm cho các HĐTN </t>
  </si>
  <si>
    <t>NV0000631</t>
  </si>
  <si>
    <t>Đi đưa tang ông ngoại</t>
  </si>
  <si>
    <t>NV0000031</t>
  </si>
  <si>
    <t>Xin phép nghỉ khám bệnh.s</t>
  </si>
  <si>
    <t>Đi tiền trạm học tập, dã ngoại cấp THCS.</t>
  </si>
  <si>
    <t>Đi công tác  Long Khánh</t>
  </si>
  <si>
    <t xml:space="preserve">Kính gửi chị Hoa, em book phép công tác theo quyết định triệu tập V/v triệu tập đại biểu tham dự Hội thảo triển khai thí điểm GDMN mới năm học 2026-2027 của SGD. 
Địa điểm: Trường ĐH Đồng Nai </t>
  </si>
  <si>
    <t>Làm việc trực tuyến tại nhà.q</t>
  </si>
  <si>
    <t>Tập huấn tham dự Hội thảo triển khai thí điểm GDMN mới năm học 2026-2027 của SGD tại Trường ĐH Đồng Nai.</t>
  </si>
  <si>
    <t>Làm việc ở nhà</t>
  </si>
  <si>
    <t xml:space="preserve">Going to longkhanh campus for meeting and training </t>
  </si>
  <si>
    <t>Tham gia lễ bàn giao công trình giếng khoan tại ubnd xã Phú Vinh</t>
  </si>
  <si>
    <t>Đi từ thiện Mầm non Xã Phú Vinh - Tân Phú</t>
  </si>
  <si>
    <t>NV0000236</t>
  </si>
  <si>
    <t>Võ Thị Kiều Oanh</t>
  </si>
  <si>
    <t>NV0001393</t>
  </si>
  <si>
    <t>Nguyễn Duy Thanh Thảo</t>
  </si>
  <si>
    <t>Mượn phép năm 26-27</t>
  </si>
  <si>
    <t>NV0001380</t>
  </si>
  <si>
    <t>Trần Thị Hồng Sương</t>
  </si>
  <si>
    <t>01/08/2026</t>
  </si>
  <si>
    <t>NV0001354</t>
  </si>
  <si>
    <t>Lê Nguyễn Thanh Thảo</t>
  </si>
  <si>
    <t>Tập huấn - công tác</t>
  </si>
  <si>
    <t>NV0001130</t>
  </si>
  <si>
    <t>Nguyễn Thị Dịu Hiền</t>
  </si>
  <si>
    <t>Nhập viện.</t>
  </si>
  <si>
    <t>Đi thi học kỳ</t>
  </si>
  <si>
    <t>Mã NV</t>
  </si>
  <si>
    <t>Họ</t>
  </si>
  <si>
    <t>Tên</t>
  </si>
  <si>
    <t>Tình trạng</t>
  </si>
  <si>
    <t>Phòng ban</t>
  </si>
  <si>
    <t>Chức vụ</t>
  </si>
  <si>
    <t>Ngày HĐ</t>
  </si>
  <si>
    <t>Loại HĐ</t>
  </si>
  <si>
    <t>NV0001062</t>
  </si>
  <si>
    <t>Nguyễn Hoàng</t>
  </si>
  <si>
    <t>Nam</t>
  </si>
  <si>
    <t>Lao động vào làm trong tháng</t>
  </si>
  <si>
    <t>Hợp đồng chính thức có xác định thời hạn 1 năm</t>
  </si>
  <si>
    <t>NV0001383</t>
  </si>
  <si>
    <t>Đinh Minh</t>
  </si>
  <si>
    <t>Đức</t>
  </si>
  <si>
    <t>Trợ Giảng</t>
  </si>
  <si>
    <t xml:space="preserve">Hợp đồng thỉnh giảng </t>
  </si>
  <si>
    <t>NV0001384</t>
  </si>
  <si>
    <t>Nguyễn Đặng Khánh</t>
  </si>
  <si>
    <t>Vy</t>
  </si>
  <si>
    <t>NV0001425</t>
  </si>
  <si>
    <t>Hồ Thị Kim</t>
  </si>
  <si>
    <t>Liên</t>
  </si>
  <si>
    <t>Phó hiệu trưởng</t>
  </si>
  <si>
    <t xml:space="preserve">Hợp đồng thử việc </t>
  </si>
  <si>
    <t>NV0001426</t>
  </si>
  <si>
    <t>Nguyễn Cao Mỹ</t>
  </si>
  <si>
    <t>Phụng</t>
  </si>
  <si>
    <t>Nhân viên</t>
  </si>
  <si>
    <t>Hợp đồng khoán công việc</t>
  </si>
  <si>
    <t>NV0001427</t>
  </si>
  <si>
    <t>Nguyễn Hoàng Như</t>
  </si>
  <si>
    <t>Ngọc</t>
  </si>
  <si>
    <t>Tổ Hoạt động trải nghiệm, hướng nghiệp</t>
  </si>
  <si>
    <t>Nhân viên Tham vấn học đường</t>
  </si>
  <si>
    <t>NV0001430</t>
  </si>
  <si>
    <t>Trần Thị Hồng</t>
  </si>
  <si>
    <t>Thắm</t>
  </si>
  <si>
    <t>NV0001431</t>
  </si>
  <si>
    <t>Vũ Thị</t>
  </si>
  <si>
    <t>NV0001433</t>
  </si>
  <si>
    <t>MUEGNA REPONTE</t>
  </si>
  <si>
    <t>KRISTY JANE</t>
  </si>
  <si>
    <t>Tổ Ngoại Ngữ</t>
  </si>
  <si>
    <t>NV0001434</t>
  </si>
  <si>
    <t>Đặng Minh</t>
  </si>
  <si>
    <t>Hải</t>
  </si>
  <si>
    <t>NV0001435</t>
  </si>
  <si>
    <t>Nguyễn Việt</t>
  </si>
  <si>
    <t>Hiếu</t>
  </si>
  <si>
    <t>Tổ thể dục - Quốc phòng - Nghệ thuật</t>
  </si>
  <si>
    <t>Nguyễn Thị</t>
  </si>
  <si>
    <t>Hằng</t>
  </si>
  <si>
    <t>Lao động nghỉ làm trong tháng</t>
  </si>
  <si>
    <t>04/05/2023</t>
  </si>
  <si>
    <t>Hợp đồng chính thức không xác định thời hạn</t>
  </si>
  <si>
    <t>Bùi Thị Bích</t>
  </si>
  <si>
    <t>Trâm</t>
  </si>
  <si>
    <t>06/10/2025</t>
  </si>
  <si>
    <t>Trần Thị Thanh</t>
  </si>
  <si>
    <t>Tâm</t>
  </si>
  <si>
    <t>20/05/2026</t>
  </si>
  <si>
    <t>Count of Mã NV</t>
  </si>
  <si>
    <t xml:space="preserve">Tháng </t>
  </si>
  <si>
    <t>Ghế MOTO6 xám</t>
  </si>
  <si>
    <t>Tủ gỗ GV</t>
  </si>
  <si>
    <t>NV0001411</t>
  </si>
  <si>
    <t>NV0001412</t>
  </si>
  <si>
    <t>NV0001415</t>
  </si>
  <si>
    <t>Đoàn Anh</t>
  </si>
  <si>
    <t>Hào</t>
  </si>
  <si>
    <t>NV0001418</t>
  </si>
  <si>
    <t>Lê Bùi Trúc</t>
  </si>
  <si>
    <t>Linh</t>
  </si>
  <si>
    <t>Tổ ngữ văn</t>
  </si>
  <si>
    <t>NV0001422</t>
  </si>
  <si>
    <t>Lê Thị Thu</t>
  </si>
  <si>
    <t>Nga</t>
  </si>
  <si>
    <t>Oanh</t>
  </si>
  <si>
    <t>Lê Thị</t>
  </si>
  <si>
    <t>Lý</t>
  </si>
  <si>
    <t>Thuý</t>
  </si>
  <si>
    <t>06/07/2026</t>
  </si>
  <si>
    <t>13/07/2026</t>
  </si>
  <si>
    <t>14/07/2026</t>
  </si>
  <si>
    <t xml:space="preserve">4.1. Số lượng phản ánh của PHHS qua kênh CSKH </t>
  </si>
  <si>
    <t>Tiếp tục thúc đẩy và chăm sóc học sinh ăn sáng, xe đưa rước để duy trì sĩ số và doanh thu (Tháng 9 ghi nhận sụt giảm ở cả 2 dịch vụ)</t>
  </si>
  <si>
    <t>28/09/2026</t>
  </si>
  <si>
    <t>26CLB-BC_D1</t>
  </si>
  <si>
    <t>Câu lạc bộ</t>
  </si>
  <si>
    <t>Trần Đức Thanh</t>
  </si>
  <si>
    <t>26CLB-BD_B1</t>
  </si>
  <si>
    <t>Bóng đá</t>
  </si>
  <si>
    <t>Trần Đắc Mùi</t>
  </si>
  <si>
    <t>26CLB-BD_A1</t>
  </si>
  <si>
    <t>Dương Kim Cương</t>
  </si>
  <si>
    <t>25/09/2026</t>
  </si>
  <si>
    <t>11A</t>
  </si>
  <si>
    <t>Trần Thuỳ Dung</t>
  </si>
  <si>
    <t>24/09/2026</t>
  </si>
  <si>
    <t>23/09/2026</t>
  </si>
  <si>
    <t>26CLB-BR_B1</t>
  </si>
  <si>
    <t>Bóng rổ</t>
  </si>
  <si>
    <t>Nguyễn Quang Thịnh</t>
  </si>
  <si>
    <t>22/09/2026</t>
  </si>
  <si>
    <t>26CLB-BD_C2</t>
  </si>
  <si>
    <t>26CLB-Boi_C1</t>
  </si>
  <si>
    <t>Câu lạc bộ bơi</t>
  </si>
  <si>
    <t>Tống Mỹ Kiều Loan</t>
  </si>
  <si>
    <t>26CLB-Boi_B1</t>
  </si>
  <si>
    <t>26CLB-BD_C1</t>
  </si>
  <si>
    <t>14/09/2026</t>
  </si>
  <si>
    <t>06F</t>
  </si>
  <si>
    <t>Trịnh Văn Tự</t>
  </si>
  <si>
    <t>08/09/2026</t>
  </si>
  <si>
    <t>26CLBMNLK-TA-A1-TG</t>
  </si>
  <si>
    <t>04/09/2026</t>
  </si>
  <si>
    <t>La Gia Nghi</t>
  </si>
  <si>
    <t>10A</t>
  </si>
  <si>
    <t>Lê Thị Hạnh</t>
  </si>
  <si>
    <t>10B</t>
  </si>
  <si>
    <t>Hóa học</t>
  </si>
  <si>
    <t>30/09/2026</t>
  </si>
  <si>
    <t>10AV2</t>
  </si>
  <si>
    <t>04B</t>
  </si>
  <si>
    <t>05A</t>
  </si>
  <si>
    <t>Phạm Thị Mỹ Yến</t>
  </si>
  <si>
    <t>Phạm Lê Uyễn Nhi</t>
  </si>
  <si>
    <t>Thạch Thị Sa My</t>
  </si>
  <si>
    <t>Đoàn Ngọc Nhi</t>
  </si>
  <si>
    <t>Đỗ Thị Duyên</t>
  </si>
  <si>
    <t>06B</t>
  </si>
  <si>
    <t>29/09/2026</t>
  </si>
  <si>
    <t>Trịnh Ngọc Bảo Trân</t>
  </si>
  <si>
    <t>Nguyễn Thị Kiều Duyên</t>
  </si>
  <si>
    <t>JA</t>
  </si>
  <si>
    <t>Lê Thuỷ Tiên</t>
  </si>
  <si>
    <t>Trần Thanh Tâm</t>
  </si>
  <si>
    <t>03A</t>
  </si>
  <si>
    <t>Mai Kiều Anh Thư</t>
  </si>
  <si>
    <t>Trương Thị Mộng Thi</t>
  </si>
  <si>
    <t>Ngô Thị Tuyết Hải</t>
  </si>
  <si>
    <t>Nguyễn Thị Thu Mai</t>
  </si>
  <si>
    <t>07F</t>
  </si>
  <si>
    <t>PEÑAFLORIDA LACHICA CHRISTY MA. NATION</t>
  </si>
  <si>
    <t>Dinh Orestes</t>
  </si>
  <si>
    <t>12AV1</t>
  </si>
  <si>
    <t>06C</t>
  </si>
  <si>
    <t>Nguyễn Kim Bảo Khánh</t>
  </si>
  <si>
    <t>07D</t>
  </si>
  <si>
    <t>Đỗ Thị Thanh Huyền</t>
  </si>
  <si>
    <t>Triệu Quang Vĩnh</t>
  </si>
  <si>
    <t>Lê Thị Thanh Bình</t>
  </si>
  <si>
    <t>Nguyễn Thị Phương Nam</t>
  </si>
  <si>
    <t>Nguyễn Thị Trí</t>
  </si>
  <si>
    <t>Cao Thị Lan Hương</t>
  </si>
  <si>
    <t>06D</t>
  </si>
  <si>
    <t>07C</t>
  </si>
  <si>
    <t>Âm nhạc</t>
  </si>
  <si>
    <t>Võ Thị Lan Anh</t>
  </si>
  <si>
    <t>07A</t>
  </si>
  <si>
    <t>05C</t>
  </si>
  <si>
    <t>Trần Thị Thanh Dung</t>
  </si>
  <si>
    <t>01E</t>
  </si>
  <si>
    <t>Phan Hoàng Uyên Thy</t>
  </si>
  <si>
    <t>Bùi Dương Thảo Vy</t>
  </si>
  <si>
    <t>09H</t>
  </si>
  <si>
    <t>21/09/2026</t>
  </si>
  <si>
    <t>03E</t>
  </si>
  <si>
    <t>Đào Hồng Yến Nhi</t>
  </si>
  <si>
    <t>Tự nhiên xã hội</t>
  </si>
  <si>
    <t>11B2</t>
  </si>
  <si>
    <t>Nguyễn Mai Khanh</t>
  </si>
  <si>
    <t>12AV2</t>
  </si>
  <si>
    <t>08D</t>
  </si>
  <si>
    <t>STEM trải nghiệm</t>
  </si>
  <si>
    <t>17/09/2026</t>
  </si>
  <si>
    <t>Nguyễn Thị Bích Ngọc</t>
  </si>
  <si>
    <t>Phạm Phi Cường</t>
  </si>
  <si>
    <t>16/09/2026</t>
  </si>
  <si>
    <t>26DOLPHIN4</t>
  </si>
  <si>
    <t>26DOLPHIN2</t>
  </si>
  <si>
    <t>Nguyễn Thị Thảo Loan</t>
  </si>
  <si>
    <t>15/09/2026</t>
  </si>
  <si>
    <t>12B</t>
  </si>
  <si>
    <t>Chuyên đề HT Toán</t>
  </si>
  <si>
    <t>Hà Thị Hằng</t>
  </si>
  <si>
    <t>12C</t>
  </si>
  <si>
    <t>08A</t>
  </si>
  <si>
    <t>Nguyễn Thị Mai</t>
  </si>
  <si>
    <t>11/09/2026</t>
  </si>
  <si>
    <t>Lê Thị Thúy Hằng</t>
  </si>
  <si>
    <t>09A</t>
  </si>
  <si>
    <t>Trần Quốc Dũng</t>
  </si>
  <si>
    <t>Nguyễn Xuân Hưng</t>
  </si>
  <si>
    <t>10/09/2026</t>
  </si>
  <si>
    <t>Võ Hoàng Anh</t>
  </si>
  <si>
    <t>09/09/2026</t>
  </si>
  <si>
    <t>Chiêm Thu Hương</t>
  </si>
  <si>
    <t>07/09/2026</t>
  </si>
  <si>
    <t>Trần Văn Hạnh</t>
  </si>
  <si>
    <t>Nguyễn Hoài Giang</t>
  </si>
  <si>
    <t>05/09/2026</t>
  </si>
  <si>
    <t>Khoa học tự nhiên</t>
  </si>
  <si>
    <t>Phạm Thị Oanh</t>
  </si>
  <si>
    <t>03C</t>
  </si>
  <si>
    <t>Công nghệ</t>
  </si>
  <si>
    <t>Hoàng Thị Thùy Dung</t>
  </si>
  <si>
    <t>03/09/2026</t>
  </si>
  <si>
    <t>Tháng 9/ 2026</t>
  </si>
  <si>
    <t>Lũy kế HS đến - đi</t>
  </si>
  <si>
    <t>Tháng 10</t>
  </si>
  <si>
    <t>Tháng 2</t>
  </si>
  <si>
    <t>Tháng 4</t>
  </si>
  <si>
    <t>Tháng 5</t>
  </si>
  <si>
    <t xml:space="preserve">% chỉ tiêu Tháng 9 </t>
  </si>
  <si>
    <t>% chỉ tiêu Tháng 10</t>
  </si>
  <si>
    <t>% chỉ tiêu Tháng 11</t>
  </si>
  <si>
    <t>% chỉ tiêu Tháng 12</t>
  </si>
  <si>
    <t>% chỉ tiêu Tháng 1</t>
  </si>
  <si>
    <t>% chỉ tiêu Tháng 2</t>
  </si>
  <si>
    <t>% chỉ tiêu Tháng 3</t>
  </si>
  <si>
    <t>% chỉ tiêu Tháng 4</t>
  </si>
  <si>
    <t>% chỉ tiêu Tháng 5</t>
  </si>
  <si>
    <t>TD Tay chân miệng</t>
  </si>
  <si>
    <t>Sốt siêu vi</t>
  </si>
  <si>
    <t>TD Sốt siêu vi</t>
  </si>
  <si>
    <t>Căng cơ</t>
  </si>
  <si>
    <t>Đau mắc cá chân</t>
  </si>
  <si>
    <t>Ngứa mắt</t>
  </si>
  <si>
    <t xml:space="preserve">Mắc cài niềng răng bung </t>
  </si>
  <si>
    <t>Viêm amydan</t>
  </si>
  <si>
    <t>Ù  tai</t>
  </si>
  <si>
    <t>Thận - Tiết niệu</t>
  </si>
  <si>
    <t>TD Nhiễm trùng tiểu</t>
  </si>
  <si>
    <t>Sum of Lượt khám mầm non</t>
  </si>
  <si>
    <t>Sum of Lượt khám Tiểu học</t>
  </si>
  <si>
    <t xml:space="preserve">Sum of Lượt khám THCS </t>
  </si>
  <si>
    <t>Sum of Lượt khám THPT</t>
  </si>
  <si>
    <t xml:space="preserve">Bệnh lý chủ đạo: Tập trung vào nhóm Tổng hợp (đau đầu, đau bụng hoặc mệt chưa rõ nguyên nhân) với 135 lượt khám, Tai mũi họng 84 lượt và 53 ca sốt. Cuối tháng 9, cấp tiểu học ghi nhận nhiều ca bị Cúm A cần theo dõi và khử khuẩn tại khối 4 và 5.   </t>
  </si>
  <si>
    <t xml:space="preserve">Bệnh lý chủ đạo: Tập trung vào các bệnh tổng hợp (đau đầu, đau bụng và mệt không rõ nguyên nhân), tai mũi họng và chấn thương do chơi thể thao (hội thao chào mừng 15 năm thành lập trường) </t>
  </si>
  <si>
    <t xml:space="preserve">Bệnh lý chủ đạo: Viêm họng, Thống Kinh, Bệnh tổng hợp không rõ nguyên nhân </t>
  </si>
  <si>
    <t>Trường PTLC có 2 bài truyền thông về (1) Cúm A (2) Đau mắt đỏ (3) Bệnh Tay chân miệng (4) Bệnh Sốt Xuất huyết (5) Bệnh Viêm đường hô hấp
Trường Mầm non Long Khánh có 1 bài truyền thông về Bệnh Viêm phổi ở trẻ em 
Trường Mầm non Biên Hòa có 2 bài truyền thông (1) Bênh Tay Chân Miệng (2) Bệnh Đau mắt đỏ</t>
  </si>
  <si>
    <t>Giới tính</t>
  </si>
  <si>
    <t>Nữ</t>
  </si>
  <si>
    <r>
      <rPr>
        <u/>
        <sz val="10"/>
        <color rgb="FF000000"/>
        <rFont val="Arial"/>
        <family val="2"/>
      </rPr>
      <t xml:space="preserve">- </t>
    </r>
    <r>
      <rPr>
        <b/>
        <u/>
        <sz val="10"/>
        <color rgb="FF000000"/>
        <rFont val="Arial"/>
        <family val="2"/>
      </rPr>
      <t>Mầm non Biên Hòa</t>
    </r>
    <r>
      <rPr>
        <u/>
        <sz val="10"/>
        <color rgb="FF000000"/>
        <rFont val="Arial"/>
        <family val="2"/>
      </rPr>
      <t xml:space="preserve"> </t>
    </r>
    <r>
      <rPr>
        <sz val="10"/>
        <color rgb="FF000000"/>
        <rFont val="Arial"/>
        <family val="2"/>
      </rPr>
      <t xml:space="preserve">chỉ đạt 64% chỉ tiêu. Năm học tiếp theo cần cải thiện công tác dự báo và đặt chỉ tiêu/ số lớp phù hợp với số lượng học sinh khối Chồi Lá. Đồng thời cũng cải tiến công tác truyền thông, tổ chức giảng dạy để chương trình hấp dẫn, phù hợp với nhu cầu của PH, HS (cụ thể: Giảm nhu cầu lớp vẽ vì đã có trong tiết chính khóa). Câu lạc bộ Mầm non Biên Hòa thu hút đông học sinh gồm Tiếng Anh Kịch nghệ (thầy Abhi dạy) và Aerobic 
</t>
    </r>
    <r>
      <rPr>
        <u/>
        <sz val="10"/>
        <color rgb="FF000000"/>
        <rFont val="Arial"/>
        <family val="2"/>
      </rPr>
      <t xml:space="preserve">- </t>
    </r>
    <r>
      <rPr>
        <b/>
        <u/>
        <sz val="10"/>
        <color rgb="FF000000"/>
        <rFont val="Arial"/>
        <family val="2"/>
      </rPr>
      <t>Mầm non Long Khánh</t>
    </r>
    <r>
      <rPr>
        <sz val="10"/>
        <color rgb="FF000000"/>
        <rFont val="Arial"/>
        <family val="2"/>
      </rPr>
      <t xml:space="preserve"> gần cán đích mục tiêu tuyển sinh Câu lạc bộ với 93% học sinh. Một số CLB có số học sinh vượt 15 HS/ lớp gồm Tiền Tiểu học, Nhảy Hiện đại, Tiếng Anh.  
</t>
    </r>
    <r>
      <rPr>
        <b/>
        <sz val="10"/>
        <color rgb="FF000000"/>
        <rFont val="Arial"/>
        <family val="2"/>
      </rPr>
      <t>Đối với 2 trường mầm non</t>
    </r>
    <r>
      <rPr>
        <sz val="10"/>
        <color rgb="FF000000"/>
        <rFont val="Arial"/>
        <family val="2"/>
      </rPr>
      <t xml:space="preserve">, Câu lạc bộ Nhạc kịch là điểm mới của năm học này đã thu hút được lượng học sinh tham dự vượt kỳ vọng ban đầu (do phí thu CLB này cao gấp đôi so với các CLB khác).  
</t>
    </r>
    <r>
      <rPr>
        <b/>
        <u/>
        <sz val="10"/>
        <color rgb="FF000000"/>
        <rFont val="Arial"/>
        <family val="2"/>
      </rPr>
      <t>Tiểu học</t>
    </r>
    <r>
      <rPr>
        <sz val="10"/>
        <color rgb="FF000000"/>
        <rFont val="Arial"/>
        <family val="2"/>
      </rPr>
      <t xml:space="preserve"> đang vượt chỉ tiêu CLB Ngoại khóa . Hầu hết các CLB đều có sĩ số HS cao, tăng hơn 30 học sinh so với cùng kỳ năm trước. Không mở được lớp Khoa học vui do số lượng học sinh đăng ký không đủ chỉ tiêu mở lớp 
</t>
    </r>
    <r>
      <rPr>
        <b/>
        <u/>
        <sz val="10"/>
        <color rgb="FF000000"/>
        <rFont val="Arial"/>
        <family val="2"/>
      </rPr>
      <t>Trung học</t>
    </r>
    <r>
      <rPr>
        <sz val="10"/>
        <color rgb="FF000000"/>
        <rFont val="Arial"/>
        <family val="2"/>
      </rPr>
      <t xml:space="preserve"> 2 CLB không mở được gồm Lập trình Game và Cờ Vua, CLB có sĩ số thấp &lt; 10 HS gồm Advanced Robotics, Ẩm thực, Bóng Chuyền, Bóng rổ. Năm học 2026 - 2027 được sự tạo điều kiện của BGH, các CLB đã được sắp xếp sau giờ học vào tiết cuối nên số lượng CLB và học sinh tham dự đông hơn so với năm trước (tổ chức vào thứ 7). </t>
    </r>
  </si>
  <si>
    <t xml:space="preserve">Tháng 9, tổng cộng cơ sở 2 có 30 ca bị tay chân miệng tập trung ở lớp nhà trẻ (Kitty và Bee). Cần có giải pháp hiệu quả để dự phòng và ngăn ngừa dịch bệnh. </t>
  </si>
  <si>
    <t xml:space="preserve">6. Khám sức khỏe định kỳ của học sinh trường TH - THCS - THPT  </t>
  </si>
  <si>
    <t>6. Khám sức khỏe định kỳ của học sinh trường Mầm non Song ngữ Lạc Hồng</t>
  </si>
  <si>
    <t>(All)</t>
  </si>
  <si>
    <t xml:space="preserve">Sum of Số tiết chưa được bù </t>
  </si>
  <si>
    <t>Count of Tiet</t>
  </si>
  <si>
    <t xml:space="preserve">1. Tình hình vắng tiết, dạy thay theo môn </t>
  </si>
  <si>
    <t>2. Tình hình vắng tiết, dạy thay theo giáo viên</t>
  </si>
  <si>
    <t>Bản thân nằm viện</t>
  </si>
  <si>
    <t>NV0000195</t>
  </si>
  <si>
    <t>Tập huấn  lồng ghép nội dung giáo dục quốc phòng và an ninh trong trường tiểu học, trường trung học cơ sở năm 2026</t>
  </si>
  <si>
    <t>Nghỉ phép năm 2026-2027</t>
  </si>
  <si>
    <t>NV0000182</t>
  </si>
  <si>
    <t>Tập huấn lồng ghép nội dung giáo dục quốc phòng và an ninh trong trường tiểu học, trường trung học cơ sở năm 2026</t>
  </si>
  <si>
    <t>diarrhea, severe menstrual cramps, and unusually heavy menstrual bleeding.</t>
  </si>
  <si>
    <t>Con bệnh</t>
  </si>
  <si>
    <t>NV0001371</t>
  </si>
  <si>
    <t>Cao Thị Duyên</t>
  </si>
  <si>
    <t>NV0000593</t>
  </si>
  <si>
    <t>NV0000247</t>
  </si>
  <si>
    <t>Chở con đi khám bệnh</t>
  </si>
  <si>
    <t>NV0001122</t>
  </si>
  <si>
    <t>Trần Quang Trung</t>
  </si>
  <si>
    <t>NV0000860</t>
  </si>
  <si>
    <t>Hồ Thị Diệu Hiền</t>
  </si>
  <si>
    <t>NV0001023</t>
  </si>
  <si>
    <t>Kham thai dinh ki</t>
  </si>
  <si>
    <t>NV0000667</t>
  </si>
  <si>
    <t>Phạm Lan Anh</t>
  </si>
  <si>
    <t>NV0000486</t>
  </si>
  <si>
    <t>Đoàn Thị Minh Thu</t>
  </si>
  <si>
    <t>NV0000989</t>
  </si>
  <si>
    <t>Điều trị sốt xuất huyết</t>
  </si>
  <si>
    <t>NV0000076</t>
  </si>
  <si>
    <t>Khương Anh Tuấn</t>
  </si>
  <si>
    <t>Số hóa văn bằng, chứng chỉ tại Sở Giáo Dục TP. Đồng Nai</t>
  </si>
  <si>
    <t>NV0001182</t>
  </si>
  <si>
    <t xml:space="preserve">Nghỉ có BHXH ( bị té xe nứt xương cổ tay) </t>
  </si>
  <si>
    <t>02/10/2026</t>
  </si>
  <si>
    <t>01/10/2026</t>
  </si>
  <si>
    <t>NV0000091</t>
  </si>
  <si>
    <t>Trần Cảnh Phụng</t>
  </si>
  <si>
    <t>26/09/2026</t>
  </si>
  <si>
    <t>Số hóa văn bằng, chứng chỉ tại Sở giáo dục Đồng Nai.</t>
  </si>
  <si>
    <t>NV0000059</t>
  </si>
  <si>
    <t>Nguyễn Xuân Hùng</t>
  </si>
  <si>
    <t>Đám cưới người thân ở xa</t>
  </si>
  <si>
    <t>Võ Minh Tú</t>
  </si>
  <si>
    <t>Công việc gia đình</t>
  </si>
  <si>
    <t>NV0000825</t>
  </si>
  <si>
    <t>Tổ ngữ văn, Khối THCS -THPT</t>
  </si>
  <si>
    <t xml:space="preserve">Xin làm tại nhà do đau thắt lưng không di chuyển được nhiều. </t>
  </si>
  <si>
    <t>NV0001357</t>
  </si>
  <si>
    <t>Hoàng Thị Hồng Hải</t>
  </si>
  <si>
    <t>Đi công tác Long Khánh</t>
  </si>
  <si>
    <t>Nghỉ đi khám bệnh</t>
  </si>
  <si>
    <t>NV0001107</t>
  </si>
  <si>
    <t>Lê Nguyễn Hạ Ly</t>
  </si>
  <si>
    <t>NV0000134</t>
  </si>
  <si>
    <t>Nguyễn Trần Hải Yến</t>
  </si>
  <si>
    <t>Xin nghỉ 1 buổi lý do bị bệnh.</t>
  </si>
  <si>
    <t>NV0001203</t>
  </si>
  <si>
    <t>Nguyễn Thị Hồng Vân</t>
  </si>
  <si>
    <t>Làm việc từ xa tại nhà</t>
  </si>
  <si>
    <t>Tham dự buổi giới thiệu giáo dục Hoa Kì do Tổng Lãnh sự tổ chức (HS LHBS tham dự 41 em + 2 GV)</t>
  </si>
  <si>
    <t>Tham gia Ngày hội du học Mỹ tại TP.HCM cùng HS THPT.</t>
  </si>
  <si>
    <t xml:space="preserve">Dự HN tập huấn về công tác bảo đảm CLGD </t>
  </si>
  <si>
    <t>Tập huấn về công tác bảo đảm chất lượng giáo dục.</t>
  </si>
  <si>
    <t>Tập huấn công tác đảm bảo chất lượng do sở giáo dục tổ chức.</t>
  </si>
  <si>
    <t>NV0001187</t>
  </si>
  <si>
    <t>NV0001121</t>
  </si>
  <si>
    <t>Tập huấn công tác bảo đảm chất lượng giáo dục - ĐHĐN</t>
  </si>
  <si>
    <t>Kính gửi chị Hoa, ngày 23/9 em book phép công tác đi tập huấn tại trường ĐH Đồng Nai theo thư mời triệu tập từ ủy ban Phường và Sở giáo dục. Kính mong chị phê duyệt. Trân trọng./.</t>
  </si>
  <si>
    <t>NV0001186</t>
  </si>
  <si>
    <t>Amador Airel John</t>
  </si>
  <si>
    <t>Sick leave – I need to visit the hospital for a medical check-up.</t>
  </si>
  <si>
    <t>NV0001179</t>
  </si>
  <si>
    <t>Sức khoẻ</t>
  </si>
  <si>
    <t>NV0000477</t>
  </si>
  <si>
    <t>Nguyễn Thành Công</t>
  </si>
  <si>
    <t>Tham gia buổi họp mặt do Tổng lãnh sự Hoa Kì tổ chức kết nối các trường tại TP.HCM và Hoa Kì</t>
  </si>
  <si>
    <t>NV0001296</t>
  </si>
  <si>
    <t>Mai Thuỳ Mộng Trinh</t>
  </si>
  <si>
    <t xml:space="preserve">E xin phép nghỉ chăm con bệnh </t>
  </si>
  <si>
    <t>Bệnh viêm hô hấp trào ngược</t>
  </si>
  <si>
    <t>Cho con đi khám</t>
  </si>
  <si>
    <t>NV0000799</t>
  </si>
  <si>
    <t>Chăm người thân ốm, đã bàn giao công việc cho GV dạy thế</t>
  </si>
  <si>
    <t>Tham dự chương trình gặp mặt các trường ĐH, CĐ Hoa Kì do Tổng lãnh sự Hoa Kì tổ chức</t>
  </si>
  <si>
    <t>NV0000890</t>
  </si>
  <si>
    <t>Lý Lan Thanh</t>
  </si>
  <si>
    <t>Đám tang Bà ngoại.</t>
  </si>
  <si>
    <t>NV0000605</t>
  </si>
  <si>
    <t>Lê Thị Ngọc Điệp</t>
  </si>
  <si>
    <t>NV0001054</t>
  </si>
  <si>
    <t>Bản thân kết hôn</t>
  </si>
  <si>
    <t>Chăm con ốm</t>
  </si>
  <si>
    <t>NV0001314</t>
  </si>
  <si>
    <t>Nguyễn Sơn Phi Hoàng</t>
  </si>
  <si>
    <t>Due to fever and flu; home medication</t>
  </si>
  <si>
    <t>Nghỉ khám thai</t>
  </si>
  <si>
    <t>NV0000450</t>
  </si>
  <si>
    <t>Florenosos Delacerna Lloyd</t>
  </si>
  <si>
    <t>NV0000875</t>
  </si>
  <si>
    <t>Ngô Kim Phượng</t>
  </si>
  <si>
    <t>NV0000979</t>
  </si>
  <si>
    <t>Tổ Khoa học Tự nhiên và Công nghệ, Khối THCS -THPT</t>
  </si>
  <si>
    <t>GV bị sốt</t>
  </si>
  <si>
    <t>NV0001090</t>
  </si>
  <si>
    <t>Nguyễn Thị Sen</t>
  </si>
  <si>
    <t>Lễ khánh thành thư viện công nghệ STEMHUB</t>
  </si>
  <si>
    <t>19/09/2026</t>
  </si>
  <si>
    <t>NV0000524</t>
  </si>
  <si>
    <t>Tổ Toán, Khối THCS -THPT</t>
  </si>
  <si>
    <t>Tham gia lễ khánh thành thư viện STEMHub của LHU</t>
  </si>
  <si>
    <t>Ốm, bệnh</t>
  </si>
  <si>
    <t>18/09/2026</t>
  </si>
  <si>
    <t>Dự hội nghị triển khai nhiệm vụ năm học 26-27 của SGD</t>
  </si>
  <si>
    <t>Bận công việc gia đình</t>
  </si>
  <si>
    <t>Going to longkhanh for observation and training for IEYC</t>
  </si>
  <si>
    <t>Làm việc từ xa tại nhà.</t>
  </si>
  <si>
    <t>NV0000060</t>
  </si>
  <si>
    <t>Tiêu Trung Tín</t>
  </si>
  <si>
    <t>Em xin phép nghỉ đưa con khám bệnh</t>
  </si>
  <si>
    <t>NV0000971</t>
  </si>
  <si>
    <t>Phạm Thị Ngọc Trâm</t>
  </si>
  <si>
    <t xml:space="preserve">Tham gia tập huấn tại phường bình phước. </t>
  </si>
  <si>
    <t>NV0000594</t>
  </si>
  <si>
    <t>Phạm Thị Tươi</t>
  </si>
  <si>
    <t>NV0000907</t>
  </si>
  <si>
    <t>I have an online appointment in the U.S. regarding family paperwork. It was originally scheduled for the evening Vietnam time but was rescheduled to 7:15 a.m. Thank you to Ms. Thuy for kindly approvin</t>
  </si>
  <si>
    <t>NV0000750</t>
  </si>
  <si>
    <t>Đi tái khám</t>
  </si>
  <si>
    <t>Tham dự Hội nghị tập huấn công tác Phổ cập giáo dục – Xóa mù chữ (PCGD – XMC) trên địa bàn TP. Đồng Nai năm 2026</t>
  </si>
  <si>
    <t xml:space="preserve">Kính gửi chị Hoa, em book phép công tác ngày 17/9/2026 tham gia tập huấn tại trường ĐH Đồng Nai cơ sở 2 (P. Bình Phước cũ) theo yêu cầu từ Sở. Kính mong chị phê duyệt. </t>
  </si>
  <si>
    <t>Mua đồ dùng bếp</t>
  </si>
  <si>
    <t>Hồ Thị Kim Liên</t>
  </si>
  <si>
    <t>Tâph huấn chuyên môn theo công văn của sở GD&amp;ĐT Đồng Nai số 4976/SGĐT- GDMN</t>
  </si>
  <si>
    <t>NV0000679</t>
  </si>
  <si>
    <t>Phan Kim Tuyền</t>
  </si>
  <si>
    <t>Làm tại nhà</t>
  </si>
  <si>
    <t>Vũ Thị Ngọc</t>
  </si>
  <si>
    <t>Xin nghỉ đi khám bệnh</t>
  </si>
  <si>
    <t>NV0000871</t>
  </si>
  <si>
    <t>Lâm Thị Hằng</t>
  </si>
  <si>
    <t>NV0001116</t>
  </si>
  <si>
    <t>Võ Đình Mộng Thuý</t>
  </si>
  <si>
    <t>NV0000325</t>
  </si>
  <si>
    <t>Nguyễn Thanh Phong</t>
  </si>
  <si>
    <t>Ns</t>
  </si>
  <si>
    <t xml:space="preserve">Nghỉ phép năm 2026-2027 nửa buổi chiều  </t>
  </si>
  <si>
    <t>NV0001349</t>
  </si>
  <si>
    <t>Nguyễn Ngọc Thuận</t>
  </si>
  <si>
    <t>NV0000787</t>
  </si>
  <si>
    <t>Lê Hồng Linh</t>
  </si>
  <si>
    <t xml:space="preserve">GV đi khám định kì </t>
  </si>
  <si>
    <t>Tập huấn DQTV tại Nhơn Trạch</t>
  </si>
  <si>
    <t>Đau bụng, chóng mặt.</t>
  </si>
  <si>
    <t>NV0000123</t>
  </si>
  <si>
    <t>Trương Thị Minh</t>
  </si>
  <si>
    <t xml:space="preserve">Bị bệnh sốt cảm, nhức mỏi, đau họng. </t>
  </si>
  <si>
    <t>13/03/2027</t>
  </si>
  <si>
    <t>Lê Thị Thu Nga</t>
  </si>
  <si>
    <t>NV0000840</t>
  </si>
  <si>
    <t>Đưa 2 đội HS THPT đi thi Hùng biện tại Đại học Đồng Nai</t>
  </si>
  <si>
    <t>13/09/2026</t>
  </si>
  <si>
    <t>NV0000876</t>
  </si>
  <si>
    <t>Ngô Thị Kim Hương</t>
  </si>
  <si>
    <t>12/09/2026</t>
  </si>
  <si>
    <t>NV0001196</t>
  </si>
  <si>
    <t>Hoàng Khánh Dâng</t>
  </si>
  <si>
    <t>làm việc tại nhà</t>
  </si>
  <si>
    <t>Tổ Tin học, Khối THCS -THPT</t>
  </si>
  <si>
    <t>Công việc riêng</t>
  </si>
  <si>
    <t>NV0000888</t>
  </si>
  <si>
    <t>Đinh Thị Đoan Nhi</t>
  </si>
  <si>
    <t xml:space="preserve">Tham gia tập huấn chuyên môn do sở giáo dục tổ chức. </t>
  </si>
  <si>
    <t xml:space="preserve">Nha co việt </t>
  </si>
  <si>
    <t>Con ốm</t>
  </si>
  <si>
    <t>NV0001227</t>
  </si>
  <si>
    <t>Đặng Kim Yến</t>
  </si>
  <si>
    <t>Khám thai định kì</t>
  </si>
  <si>
    <t>NV0000661</t>
  </si>
  <si>
    <t>Lương Thị Bích Hạnh</t>
  </si>
  <si>
    <t>Tham dự Cambridge Orientation Day tại Royal School TPHCM</t>
  </si>
  <si>
    <t>NV0001178</t>
  </si>
  <si>
    <t>Đặng Hồng Nhung</t>
  </si>
  <si>
    <t>NV0001294</t>
  </si>
  <si>
    <t xml:space="preserve">Lí do: Em đi khám sức khoẻ và kiểm tra xương chân, do bị té xe ạ. </t>
  </si>
  <si>
    <t>NV0000873</t>
  </si>
  <si>
    <t>Nguyễn Khương Duy</t>
  </si>
  <si>
    <t>Dự hội thảo Cambridge</t>
  </si>
  <si>
    <t>Cảm sốt (Có giấy khám bệnh)</t>
  </si>
  <si>
    <t>dự Cambridge resource orientation day</t>
  </si>
  <si>
    <t>Khám bệnh</t>
  </si>
  <si>
    <t>Bồi dưỡng, tập huấn lý luận chính trị hè năm 2026</t>
  </si>
  <si>
    <t>Tham gia lớp Bồi dưỡng, tập huấn lí luận chính trị hè năm 2026 của Sở GDĐT</t>
  </si>
  <si>
    <t>NV0000898</t>
  </si>
  <si>
    <t>Nguyễn Thị Thanh Hương</t>
  </si>
  <si>
    <t>Bệnh, ốm (Có giấy bệnh)</t>
  </si>
  <si>
    <t>Tập huấn lý luận chính trị</t>
  </si>
  <si>
    <t>NV0001180</t>
  </si>
  <si>
    <t>NV0000786</t>
  </si>
  <si>
    <t>NV0001145</t>
  </si>
  <si>
    <t>Tăng Kim Hà</t>
  </si>
  <si>
    <t>NV0000625</t>
  </si>
  <si>
    <t>Trịnh Tuyết Nga</t>
  </si>
  <si>
    <t>NV0001026</t>
  </si>
  <si>
    <t>Huỳnh Thanh Trí</t>
  </si>
  <si>
    <t xml:space="preserve">Nghỉ nửa ngày phép học kỳ I </t>
  </si>
  <si>
    <t>HR</t>
  </si>
  <si>
    <t>NV0000479</t>
  </si>
  <si>
    <t>NV0000693</t>
  </si>
  <si>
    <t>Bị bệnh</t>
  </si>
  <si>
    <t>NV0001335</t>
  </si>
  <si>
    <t>Lê Thị Mỹ Huyền</t>
  </si>
  <si>
    <t>NV0000633</t>
  </si>
  <si>
    <t>Đỗ Anh Hào</t>
  </si>
  <si>
    <t>Công tác thiện nguyện phối hợp cùng LHU</t>
  </si>
  <si>
    <t xml:space="preserve">Kính gửi chị Hoa, em xin nghỉ phép ngày 03/9 vì lý do chăm con bệnh. </t>
  </si>
  <si>
    <t>NV0000952</t>
  </si>
  <si>
    <t>Huỳnh Thị Hồng Thy</t>
  </si>
  <si>
    <t>NV0000953</t>
  </si>
  <si>
    <t>Nguyễn Mạnh Cường</t>
  </si>
  <si>
    <t xml:space="preserve">Nghỉ phép theo loại </t>
  </si>
  <si>
    <t xml:space="preserve">Nghỉ </t>
  </si>
  <si>
    <t xml:space="preserve">Nhân viên bếp mổ sỏi thận </t>
  </si>
  <si>
    <t xml:space="preserve">Chồng mất, có tang chế </t>
  </si>
  <si>
    <t xml:space="preserve">Thực hiện nghĩa vụ quân sự </t>
  </si>
  <si>
    <t>Điều trị ung thư</t>
  </si>
  <si>
    <t xml:space="preserve">Mẹ mất, nhà có tang chế </t>
  </si>
  <si>
    <t>- Cô Nguyễn Thị Hồng Vân - GVMN Long Khánh nghỉ thai sản, giải quyết phép năm và nghỉ việc luôn do nhà neo người không có người hỗ trợ trông con nhỏ. 
- Thầy Majid _GV tiếng Anh Tiểu học nghỉ chế độ BHXH để điều trị ung thư trong tháng 9. Thầy kết thúc HĐLĐ ngày 23/9 tại trường để về nước 
- Lê Bá Quang Thắng - NV Marketing nghỉ thực hiện chế độ quân sự. 
- Nhân viên bếp Huỳnh Thanh Trí mổ sỏi thận
- Nhân viên giáo vụ Khương Anh Tuấn đi công tác nhập liệu theo điều động của Sở Giáo dục 
- Cô Hoàng Thị Diễm Trang nghỉ làm việc tại nhà 
- Cô Trần Thanh Hiền GV Tiểu học nghỉ khám thai
- Cô Trương Thu Trang và cô Nguyễn Thị Nga chăm con nằm viện óm 
- Cô Mai Anh - GVM Mầm non nghỉ do gãy tay, té xe bị thương và chồng ốm nằm viện 
- Các trường hợp còn lại nghỉ tang chế do mẹ mất (cô Tâm bếp), chồng mất (cô Thảo GVMN Long Khánh)</t>
  </si>
  <si>
    <t>Top 10 người lao động có số ngày nghỉ nhiều nhất trong tháng 9</t>
  </si>
  <si>
    <r>
      <rPr>
        <b/>
        <sz val="10"/>
        <color theme="1"/>
        <rFont val="Arial"/>
        <family val="2"/>
      </rPr>
      <t>Thời gian &amp; Quy mô:</t>
    </r>
    <r>
      <rPr>
        <sz val="10"/>
        <color theme="1"/>
        <rFont val="Arial"/>
        <family val="2"/>
      </rPr>
      <t xml:space="preserve"> Báo cáo ghi nhận dữ liệu trong 2 tháng đầu năm học (Tháng 8 &amp; Tháng 9/2026) với tổng cộng 470 lượt nghỉ và 551,0 ngày nghỉ từ 198 nhân viên thuộc 29 bộ phận/khối chuyên môn.
</t>
    </r>
    <r>
      <rPr>
        <b/>
        <sz val="10"/>
        <color theme="1"/>
        <rFont val="Arial"/>
        <family val="2"/>
      </rPr>
      <t xml:space="preserve">Mức độ ảnh hưởng trung bình: </t>
    </r>
    <r>
      <rPr>
        <sz val="10"/>
        <color theme="1"/>
        <rFont val="Arial"/>
        <family val="2"/>
      </rPr>
      <t>Bình quân mỗi nhân viên có phát sinh nghỉ khoảng 2,78 ngày trong 2 tháng;</t>
    </r>
    <r>
      <rPr>
        <b/>
        <sz val="10"/>
        <color rgb="FFFF0000"/>
        <rFont val="Arial"/>
        <family val="2"/>
      </rPr>
      <t xml:space="preserve"> thời lượng trung bình cho mỗi đợt nghỉ là 1,17 ngày/lượ</t>
    </r>
    <r>
      <rPr>
        <sz val="10"/>
        <color theme="1"/>
        <rFont val="Arial"/>
        <family val="2"/>
      </rPr>
      <t xml:space="preserve">t. Khối Mầm Non, Bộ phận Bếp và Khối Tiểu Học có khối lượng nghỉ cao. Cần điều tiết </t>
    </r>
    <r>
      <rPr>
        <b/>
        <sz val="10"/>
        <color rgb="FFFF0000"/>
        <rFont val="Arial"/>
        <family val="2"/>
      </rPr>
      <t xml:space="preserve">lực lượng dự phòng </t>
    </r>
    <r>
      <rPr>
        <sz val="10"/>
        <color theme="1"/>
        <rFont val="Arial"/>
        <family val="2"/>
      </rPr>
      <t xml:space="preserve">(nhân sự tăng cường/phụ bếp/giáo viên dạy thay) để tránh ảnh hưởng đến chất lượng chăm sóc và học tập của học sinh.
</t>
    </r>
    <r>
      <rPr>
        <b/>
        <sz val="10"/>
        <color theme="1"/>
        <rFont val="Arial"/>
        <family val="2"/>
      </rPr>
      <t>Đặc điểm thời lượng nghỉ:</t>
    </r>
    <r>
      <rPr>
        <sz val="10"/>
        <color theme="1"/>
        <rFont val="Arial"/>
        <family val="2"/>
      </rPr>
      <t xml:space="preserve"> Các đợt nghỉ ngắn ngày (=&lt;1 ngày) chiếm đa số 403/470 lượt (chiếm 85,7%) (trong đó có 162 lượt nghỉ 0,5 ngày và 241 lượt nghỉ 1 ngày).
</t>
    </r>
    <r>
      <rPr>
        <b/>
        <u/>
        <sz val="10"/>
        <color theme="1"/>
        <rFont val="Arial"/>
        <family val="2"/>
      </rPr>
      <t>Nhóm bộ phận có tổng số ngày nghỉ cao nhất:</t>
    </r>
    <r>
      <rPr>
        <sz val="10"/>
        <color theme="1"/>
        <rFont val="Arial"/>
        <family val="2"/>
      </rPr>
      <t xml:space="preserve">
</t>
    </r>
    <r>
      <rPr>
        <b/>
        <sz val="10"/>
        <color theme="1"/>
        <rFont val="Arial"/>
        <family val="2"/>
      </rPr>
      <t>Khối Mầm Non</t>
    </r>
    <r>
      <rPr>
        <sz val="10"/>
        <color theme="1"/>
        <rFont val="Arial"/>
        <family val="2"/>
      </rPr>
      <t xml:space="preserve">: Đứng đầu toàn trường với 82,5 ngày nghỉ (82 lượt, 38 nhân viên, chiếm 15,0% tổng số ngày nghỉ).
</t>
    </r>
    <r>
      <rPr>
        <b/>
        <sz val="10"/>
        <color theme="1"/>
        <rFont val="Arial"/>
        <family val="2"/>
      </rPr>
      <t>Đơn vị Long Khánh</t>
    </r>
    <r>
      <rPr>
        <sz val="10"/>
        <color theme="1"/>
        <rFont val="Arial"/>
        <family val="2"/>
      </rPr>
      <t xml:space="preserve">: Đứng thứ 2 với 68,0 ngày (64 lượt, 25 nhân viên, chiếm 12,3%).
</t>
    </r>
    <r>
      <rPr>
        <b/>
        <sz val="10"/>
        <color theme="1"/>
        <rFont val="Arial"/>
        <family val="2"/>
      </rPr>
      <t>Bộ Phận Bếp:</t>
    </r>
    <r>
      <rPr>
        <sz val="10"/>
        <color theme="1"/>
        <rFont val="Arial"/>
        <family val="2"/>
      </rPr>
      <t xml:space="preserve"> Đứng thứ 3 với 54,0 ngày (36 lượt, 21 nhân viên, chiếm 9,8%).
</t>
    </r>
    <r>
      <rPr>
        <b/>
        <sz val="10"/>
        <color theme="1"/>
        <rFont val="Arial"/>
        <family val="2"/>
      </rPr>
      <t>Khối Tiểu Học</t>
    </r>
    <r>
      <rPr>
        <sz val="10"/>
        <color theme="1"/>
        <rFont val="Arial"/>
        <family val="2"/>
      </rPr>
      <t xml:space="preserve">: 41,5 ngày (36 lượt, 19 nhân viên, chiếm 7,5%).
</t>
    </r>
  </si>
  <si>
    <t>Ngày hiệu lực HĐ</t>
  </si>
  <si>
    <t>Ghi chú</t>
  </si>
  <si>
    <t>Tháng</t>
  </si>
  <si>
    <t>Năm</t>
  </si>
  <si>
    <t>Nguyễn Sơn Phi</t>
  </si>
  <si>
    <t>Hoàng</t>
  </si>
  <si>
    <t xml:space="preserve">Hành chính chuyên môn </t>
  </si>
  <si>
    <t>Tăng</t>
  </si>
  <si>
    <t>NV0001432</t>
  </si>
  <si>
    <t>Đàm Thị</t>
  </si>
  <si>
    <t>Hương</t>
  </si>
  <si>
    <t>NV0001436</t>
  </si>
  <si>
    <t>Nguyễn Thị Kiều</t>
  </si>
  <si>
    <t>Duyên</t>
  </si>
  <si>
    <t>NV0001437</t>
  </si>
  <si>
    <t>Hồ Ngọc</t>
  </si>
  <si>
    <t xml:space="preserve">          </t>
  </si>
  <si>
    <t>NV0001438</t>
  </si>
  <si>
    <t>Trần Phương</t>
  </si>
  <si>
    <t>01/09/2026</t>
  </si>
  <si>
    <t>NV0001439</t>
  </si>
  <si>
    <t>NV0001440</t>
  </si>
  <si>
    <t>Trịnh Văn</t>
  </si>
  <si>
    <t>Tự</t>
  </si>
  <si>
    <t>NV0001441</t>
  </si>
  <si>
    <t>Trịnh Kiều</t>
  </si>
  <si>
    <t>NV0001442</t>
  </si>
  <si>
    <t>Ngô Nguyễn Trung</t>
  </si>
  <si>
    <t>Kiên</t>
  </si>
  <si>
    <t>NV0001443</t>
  </si>
  <si>
    <t>Nguyễn Trường</t>
  </si>
  <si>
    <t>Bảo</t>
  </si>
  <si>
    <t>Tổ Khoa học Tự nhiên và Công nghệ</t>
  </si>
  <si>
    <t>NV0001444</t>
  </si>
  <si>
    <t>Nguyễn Hồng</t>
  </si>
  <si>
    <t>Bếp Chính</t>
  </si>
  <si>
    <t>NV0001445</t>
  </si>
  <si>
    <t>Nguyễn Thị Kim</t>
  </si>
  <si>
    <t>NV0001446</t>
  </si>
  <si>
    <t>Nguyễn Văn</t>
  </si>
  <si>
    <t>Phòng IT</t>
  </si>
  <si>
    <t>Nhân viên tập sự IT</t>
  </si>
  <si>
    <t>NV0001447</t>
  </si>
  <si>
    <t>Nguyễn Hồng Thanh</t>
  </si>
  <si>
    <t>Trúc</t>
  </si>
  <si>
    <t>Thực tập sinh IT</t>
  </si>
  <si>
    <t>NV0001448</t>
  </si>
  <si>
    <t>Trần Ngô Đại</t>
  </si>
  <si>
    <t>Phước</t>
  </si>
  <si>
    <t>NV0001449</t>
  </si>
  <si>
    <t>Nhữ Thị</t>
  </si>
  <si>
    <t>ABDUL</t>
  </si>
  <si>
    <t>MAJID MARANI SWALLAH</t>
  </si>
  <si>
    <t>01/02/2026</t>
  </si>
  <si>
    <t>Giảm</t>
  </si>
  <si>
    <t>Đinh Thị Đoan</t>
  </si>
  <si>
    <t>Nhi</t>
  </si>
  <si>
    <t>01/09/2024</t>
  </si>
  <si>
    <t>Nguyễn Mạnh</t>
  </si>
  <si>
    <t>Cường</t>
  </si>
  <si>
    <t>19/11/2024</t>
  </si>
  <si>
    <t>Vi Thị Ngọc</t>
  </si>
  <si>
    <t>Nguyễn Thị Hồng</t>
  </si>
  <si>
    <t>Vân</t>
  </si>
  <si>
    <t>12/10/2025</t>
  </si>
  <si>
    <t>NV0001310</t>
  </si>
  <si>
    <t>Vũ Văn</t>
  </si>
  <si>
    <t>Phú</t>
  </si>
  <si>
    <t>NV0001311</t>
  </si>
  <si>
    <t>Trần Gia</t>
  </si>
  <si>
    <t>Huy</t>
  </si>
  <si>
    <t>NV0001312</t>
  </si>
  <si>
    <t>Chu Ngọc</t>
  </si>
  <si>
    <t>Sơn</t>
  </si>
  <si>
    <t>Phạm Thị Trà</t>
  </si>
  <si>
    <t>My</t>
  </si>
  <si>
    <t>25/04/2026</t>
  </si>
  <si>
    <t>Biến động nhân sự trong tháng và lũy kế</t>
  </si>
  <si>
    <t>Column1</t>
  </si>
  <si>
    <r>
      <t>Đa phần vẫn tập trung vào máy lạnh. Bộ phận Cơ sở vật chất đã đề xuất mua 20 máy lạnh mới thay thế tại khu B trong tháng 10</t>
    </r>
    <r>
      <rPr>
        <sz val="11"/>
        <color rgb="FF000000"/>
        <rFont val="Aptos Narrow"/>
        <scheme val="minor"/>
      </rPr>
      <t xml:space="preserve">. </t>
    </r>
  </si>
  <si>
    <t>Đèn đôi 1.2m</t>
  </si>
  <si>
    <t>Ghế MOTO5 cam</t>
  </si>
  <si>
    <t>Quạt treo tường</t>
  </si>
  <si>
    <t>Column2</t>
  </si>
  <si>
    <t>Column3</t>
  </si>
  <si>
    <t>Column4</t>
  </si>
  <si>
    <t>Column5</t>
  </si>
  <si>
    <t>Column6</t>
  </si>
  <si>
    <t>Column7</t>
  </si>
  <si>
    <t>Column8</t>
  </si>
  <si>
    <t>Column9</t>
  </si>
  <si>
    <t>Khu E</t>
  </si>
  <si>
    <t>Thống kê theo nhân viên xử lý</t>
  </si>
  <si>
    <t>Tống Anh Kha</t>
  </si>
  <si>
    <t>Trần Mai Minh Trí</t>
  </si>
  <si>
    <t>Mai Thanh Phương</t>
  </si>
  <si>
    <t>Lương Văn Tuấn</t>
  </si>
  <si>
    <t>Dương Thái Nguyên</t>
  </si>
  <si>
    <t>Bùi Đặng Quốc Khánh</t>
  </si>
  <si>
    <t>Hồ Văn Minh</t>
  </si>
  <si>
    <t>Phạm Đình Thịnh</t>
  </si>
  <si>
    <t>Column10</t>
  </si>
  <si>
    <t>Column11</t>
  </si>
  <si>
    <t>Column12</t>
  </si>
  <si>
    <t>Column13</t>
  </si>
  <si>
    <t>Column14</t>
  </si>
  <si>
    <t>Hạng mục bảo trì trong tháng</t>
  </si>
  <si>
    <t xml:space="preserve">Bảo trì phòng học khu B, C </t>
  </si>
  <si>
    <t>Bảo trì camera định kỳ mầm non</t>
  </si>
  <si>
    <t xml:space="preserve">Bảo trì phòng máy tính khu E và C </t>
  </si>
  <si>
    <t>Bảo trì máy lọc nước Coway</t>
  </si>
  <si>
    <t>Bảo trì thang máy mầm non Long Khánh</t>
  </si>
  <si>
    <t>2. Ăn sáng &amp; Xe đưa rước</t>
  </si>
  <si>
    <t>Hoàn thành kiểm thử phần mềm và checklist ISO 2200:2018 thực hiện hàng ngày</t>
  </si>
  <si>
    <t>Tháng 08/2026</t>
  </si>
  <si>
    <t>Tháng 09/2026</t>
  </si>
  <si>
    <t>Tháng 10/2026</t>
  </si>
  <si>
    <t>Tháng 11/2026</t>
  </si>
  <si>
    <t>Tháng 12/2026</t>
  </si>
  <si>
    <t>Tháng 01/2027</t>
  </si>
  <si>
    <t>Tháng 02/2027</t>
  </si>
  <si>
    <t>Tháng 03/2027</t>
  </si>
  <si>
    <t>Tháng 04/2027</t>
  </si>
  <si>
    <t>Tháng 05/2027</t>
  </si>
  <si>
    <t>Tháng 06/2027</t>
  </si>
  <si>
    <t>Tháng 07/2027</t>
  </si>
  <si>
    <t>Số lượng tiếp nhận Lead trên mỗi nhân sự</t>
  </si>
  <si>
    <t>Hiền Trang</t>
  </si>
  <si>
    <t>Thanh Hằng</t>
  </si>
  <si>
    <t>Mỹ Huyền</t>
  </si>
  <si>
    <t>Ny Na</t>
  </si>
  <si>
    <t>Thanh Thảo</t>
  </si>
  <si>
    <t>Số lượng Lead trên tháng</t>
  </si>
  <si>
    <t>PTLC</t>
  </si>
  <si>
    <t>MNBH</t>
  </si>
  <si>
    <t>MNLK</t>
  </si>
  <si>
    <t>Số lượng học sinh nhập học</t>
  </si>
  <si>
    <t>Tỷ lệ chuyển đổi trên học sinh nhập học</t>
  </si>
  <si>
    <t>Phụ huynh tham khảo trước</t>
  </si>
  <si>
    <t>Bảng điểm không đạt theo quy chế</t>
  </si>
  <si>
    <t>Từ chối khảo sát đầu vào</t>
  </si>
  <si>
    <t>Học phí cao</t>
  </si>
  <si>
    <t>Không còn nhu cầu</t>
  </si>
  <si>
    <t>Ngoài tuyến xe đưa đón</t>
  </si>
  <si>
    <t>Muốn tăng cường Tiếng Anh</t>
  </si>
  <si>
    <t>Chính sách ưu đãi thấp</t>
  </si>
  <si>
    <t>Đã gọi/nhắn tin 3 lần</t>
  </si>
  <si>
    <t>Chặn Facebook</t>
  </si>
  <si>
    <t>Trúng tuyển trường công</t>
  </si>
  <si>
    <t>Bé chưa đủ tuổi</t>
  </si>
  <si>
    <t>Lớp full</t>
  </si>
  <si>
    <t>Chính sách giữ Thứ 7</t>
  </si>
  <si>
    <t>Không đạt điều kiện Tuyển sinh</t>
  </si>
  <si>
    <t>Thời gian đưa đón</t>
  </si>
  <si>
    <t>Facebook</t>
  </si>
  <si>
    <t>Zalo</t>
  </si>
  <si>
    <t>Website</t>
  </si>
  <si>
    <t>Tiktok</t>
  </si>
  <si>
    <t>Người quen giới thiệu</t>
  </si>
  <si>
    <t>Nhận diện thương hiệu</t>
  </si>
  <si>
    <t>Phụ huynh LHBS</t>
  </si>
  <si>
    <t>Đại sứ cung cấp</t>
  </si>
  <si>
    <t>Sự kiện &amp; Trải nghiệm</t>
  </si>
  <si>
    <t>Giáo viên/Nhân viên</t>
  </si>
  <si>
    <r>
      <t xml:space="preserve">Lý do thất bại Trường </t>
    </r>
    <r>
      <rPr>
        <b/>
        <sz val="12"/>
        <color rgb="FF38761D"/>
        <rFont val="Arial"/>
        <family val="2"/>
      </rPr>
      <t>PTLC</t>
    </r>
  </si>
  <si>
    <r>
      <t xml:space="preserve">Lý do thất bại Trường </t>
    </r>
    <r>
      <rPr>
        <b/>
        <sz val="12"/>
        <color rgb="FF0B5394"/>
        <rFont val="Arial"/>
        <family val="2"/>
      </rPr>
      <t>Mầm Non</t>
    </r>
  </si>
  <si>
    <r>
      <t xml:space="preserve">Thống kê nguồn Phụ huynh biết đến </t>
    </r>
    <r>
      <rPr>
        <b/>
        <sz val="12"/>
        <color rgb="FF38761D"/>
        <rFont val="Arial"/>
        <family val="2"/>
      </rPr>
      <t>PTLC</t>
    </r>
  </si>
  <si>
    <r>
      <t>Thống kê nguồn Phụ huynh biết đến</t>
    </r>
    <r>
      <rPr>
        <b/>
        <sz val="12"/>
        <color rgb="FFFFE599"/>
        <rFont val="Arial"/>
        <family val="2"/>
      </rPr>
      <t xml:space="preserve"> </t>
    </r>
    <r>
      <rPr>
        <b/>
        <sz val="12"/>
        <color rgb="FF1155CC"/>
        <rFont val="Arial"/>
        <family val="2"/>
      </rPr>
      <t>MNBH</t>
    </r>
  </si>
  <si>
    <r>
      <t xml:space="preserve">Thống kê nguồn Phụ huynh biết đến </t>
    </r>
    <r>
      <rPr>
        <b/>
        <sz val="12"/>
        <color rgb="FFFF0000"/>
        <rFont val="Arial"/>
        <family val="2"/>
      </rPr>
      <t>MNLK</t>
    </r>
  </si>
  <si>
    <r>
      <t xml:space="preserve">Tỷ lệ chuyển đổi trên học sinh nhập học trên từng nguồn </t>
    </r>
    <r>
      <rPr>
        <b/>
        <sz val="12"/>
        <color rgb="FF38761D"/>
        <rFont val="Arial"/>
        <family val="2"/>
      </rPr>
      <t>PTLC</t>
    </r>
  </si>
  <si>
    <r>
      <t xml:space="preserve">Tỷ lệ chuyển đổi trên học sinh nhập học trên từng nguồn </t>
    </r>
    <r>
      <rPr>
        <b/>
        <sz val="12"/>
        <color rgb="FF1155CC"/>
        <rFont val="Arial"/>
        <family val="2"/>
      </rPr>
      <t>MNBH</t>
    </r>
  </si>
  <si>
    <r>
      <t xml:space="preserve">Tỷ lệ chuyển đổi trên học sinh nhập học trên từng nguồn </t>
    </r>
    <r>
      <rPr>
        <b/>
        <sz val="12"/>
        <color rgb="FFFF0000"/>
        <rFont val="Arial"/>
        <family val="2"/>
      </rPr>
      <t>MNLK</t>
    </r>
  </si>
  <si>
    <r>
      <t xml:space="preserve">Tỷ lệ chuyển đổi </t>
    </r>
    <r>
      <rPr>
        <b/>
        <sz val="12"/>
        <color rgb="FF38761D"/>
        <rFont val="Arial"/>
        <family val="2"/>
      </rPr>
      <t>Nguồn</t>
    </r>
    <r>
      <rPr>
        <b/>
        <sz val="12"/>
        <color rgb="FFB45F06"/>
        <rFont val="Arial"/>
        <family val="2"/>
      </rPr>
      <t xml:space="preserve"> trên </t>
    </r>
    <r>
      <rPr>
        <b/>
        <sz val="12"/>
        <color rgb="FF38761D"/>
        <rFont val="Arial"/>
        <family val="2"/>
      </rPr>
      <t>Lead</t>
    </r>
    <r>
      <rPr>
        <b/>
        <sz val="12"/>
        <color rgb="FFB45F06"/>
        <rFont val="Arial"/>
        <family val="2"/>
      </rPr>
      <t xml:space="preserve"> </t>
    </r>
    <r>
      <rPr>
        <b/>
        <sz val="12"/>
        <color rgb="FF38761D"/>
        <rFont val="Arial"/>
        <family val="2"/>
      </rPr>
      <t>PTLC</t>
    </r>
  </si>
  <si>
    <r>
      <t xml:space="preserve">Tỷ lệ chuyển đổi </t>
    </r>
    <r>
      <rPr>
        <b/>
        <sz val="12"/>
        <color rgb="FF38761D"/>
        <rFont val="Arial"/>
        <family val="2"/>
      </rPr>
      <t>Nguồn</t>
    </r>
    <r>
      <rPr>
        <b/>
        <sz val="12"/>
        <color rgb="FFB45F06"/>
        <rFont val="Arial"/>
        <family val="2"/>
      </rPr>
      <t xml:space="preserve"> trên </t>
    </r>
    <r>
      <rPr>
        <b/>
        <sz val="12"/>
        <color rgb="FF38761D"/>
        <rFont val="Arial"/>
        <family val="2"/>
      </rPr>
      <t>Lead</t>
    </r>
    <r>
      <rPr>
        <b/>
        <sz val="12"/>
        <color rgb="FFB45F06"/>
        <rFont val="Arial"/>
        <family val="2"/>
      </rPr>
      <t xml:space="preserve"> </t>
    </r>
    <r>
      <rPr>
        <b/>
        <sz val="12"/>
        <color rgb="FF1155CC"/>
        <rFont val="Arial"/>
        <family val="2"/>
      </rPr>
      <t>MNBH</t>
    </r>
  </si>
  <si>
    <r>
      <t xml:space="preserve">Tỷ lệ chuyển đổi </t>
    </r>
    <r>
      <rPr>
        <b/>
        <sz val="12"/>
        <color rgb="FF38761D"/>
        <rFont val="Arial"/>
        <family val="2"/>
      </rPr>
      <t>Nguồn</t>
    </r>
    <r>
      <rPr>
        <b/>
        <sz val="12"/>
        <color rgb="FFB45F06"/>
        <rFont val="Arial"/>
        <family val="2"/>
      </rPr>
      <t xml:space="preserve"> trên </t>
    </r>
    <r>
      <rPr>
        <b/>
        <sz val="12"/>
        <color rgb="FF38761D"/>
        <rFont val="Arial"/>
        <family val="2"/>
      </rPr>
      <t>Lead</t>
    </r>
    <r>
      <rPr>
        <b/>
        <sz val="12"/>
        <color rgb="FFB45F06"/>
        <rFont val="Arial"/>
        <family val="2"/>
      </rPr>
      <t xml:space="preserve"> </t>
    </r>
    <r>
      <rPr>
        <b/>
        <sz val="12"/>
        <color rgb="FFFF0000"/>
        <rFont val="Arial"/>
        <family val="2"/>
      </rPr>
      <t>MNLK</t>
    </r>
  </si>
  <si>
    <t xml:space="preserve">Ngân sách Voucher đã chi trong tháng </t>
  </si>
  <si>
    <t xml:space="preserve">PTLC </t>
  </si>
  <si>
    <t>MN TB</t>
  </si>
  <si>
    <t xml:space="preserve">MN LK </t>
  </si>
  <si>
    <t xml:space="preserve">Ngân sách Quảng cáo đã chi trong tháng </t>
  </si>
  <si>
    <t xml:space="preserve">Số bài đăng trong tháng </t>
  </si>
  <si>
    <t xml:space="preserve">Số Lead thu về </t>
  </si>
  <si>
    <t>Số HS nhập học thành công</t>
  </si>
  <si>
    <t xml:space="preserve">Chi phí/ Học sinh </t>
  </si>
  <si>
    <t>Chi phí/ lead</t>
  </si>
  <si>
    <t>Trong tháng 9 hệ thống ghi nhận 25 phản ánh theo các nhóm vấn đề như bên dưới. Các phản ánh đã được phản hồi và khắc phục ngay sau khi nhận được thông tin</t>
  </si>
  <si>
    <t>Tổng nguồn tiếp cận</t>
  </si>
  <si>
    <t>PHẦN 7. KẾ HOẠCH THÁNG 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</si>
</sst>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_(* \(#,##0.00\);_(* &quot;-&quot;??_);_(@_)"/>
    <numFmt numFmtId="164" formatCode="_(* #,##0_);_(* \(#,##0\);_(* &quot;-&quot;??_);_(@_)"/>
    <numFmt numFmtId="165" formatCode="[$-1010000]d/m/yyyy;@"/>
  </numFmts>
  <fonts count="79">
    <font>
      <sz val="11"/>
      <color theme="1"/>
      <name val="Aptos Narrow"/>
      <family val="2"/>
      <scheme val="minor"/>
    </font>
    <font>
      <sz val="11"/>
      <color theme="1"/>
      <name val="Aptos Display"/>
      <family val="2"/>
      <scheme val="major"/>
    </font>
    <font>
      <sz val="11"/>
      <color theme="1"/>
      <name val="Aptos Narrow"/>
      <family val="2"/>
      <scheme val="minor"/>
    </font>
    <font>
      <sz val="9"/>
      <color theme="1"/>
      <name val="Arial"/>
      <family val="2"/>
    </font>
    <font>
      <b/>
      <sz val="11"/>
      <color theme="1"/>
      <name val="Aptos Narrow"/>
      <family val="2"/>
      <scheme val="minor"/>
    </font>
    <font>
      <sz val="12"/>
      <color theme="1"/>
      <name val="Times New Roman"/>
      <family val="2"/>
    </font>
    <font>
      <sz val="10"/>
      <name val="Arial"/>
      <family val="2"/>
    </font>
    <font>
      <b/>
      <sz val="10"/>
      <name val="Arial"/>
      <family val="2"/>
    </font>
    <font>
      <b/>
      <sz val="10"/>
      <color rgb="FFFF0000"/>
      <name val="Arial"/>
      <family val="2"/>
    </font>
    <font>
      <sz val="10"/>
      <color rgb="FFFF0000"/>
      <name val="Arial"/>
      <family val="2"/>
    </font>
    <font>
      <sz val="8"/>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sz val="11"/>
      <color theme="0"/>
      <name val="Aptos Narrow"/>
      <family val="2"/>
      <scheme val="minor"/>
    </font>
    <font>
      <b/>
      <sz val="10"/>
      <color theme="1"/>
      <name val="Aptos Narrow"/>
      <family val="2"/>
      <scheme val="minor"/>
    </font>
    <font>
      <sz val="12"/>
      <color theme="1"/>
      <name val="Aptos Narrow"/>
      <family val="2"/>
      <scheme val="minor"/>
    </font>
    <font>
      <sz val="10"/>
      <color theme="1"/>
      <name val="Arial"/>
      <family val="2"/>
    </font>
    <font>
      <b/>
      <sz val="10"/>
      <color theme="1"/>
      <name val="Arial"/>
      <family val="2"/>
    </font>
    <font>
      <sz val="10"/>
      <color theme="1"/>
      <name val="Arial"/>
      <family val="1"/>
      <charset val="2"/>
    </font>
    <font>
      <sz val="10"/>
      <color rgb="FF180E3F"/>
      <name val="Arial"/>
      <family val="2"/>
    </font>
    <font>
      <b/>
      <sz val="10"/>
      <color rgb="FF180E3F"/>
      <name val="Arial"/>
      <family val="2"/>
    </font>
    <font>
      <b/>
      <u/>
      <sz val="10"/>
      <color theme="1"/>
      <name val="Arial"/>
      <family val="2"/>
    </font>
    <font>
      <i/>
      <sz val="10"/>
      <color rgb="FFFF0000"/>
      <name val="Arial"/>
      <family val="2"/>
    </font>
    <font>
      <sz val="9"/>
      <name val="Arial"/>
      <family val="2"/>
    </font>
    <font>
      <b/>
      <sz val="9"/>
      <name val="Arial"/>
      <family val="2"/>
    </font>
    <font>
      <b/>
      <sz val="9"/>
      <color theme="1"/>
      <name val="Arial"/>
      <family val="2"/>
    </font>
    <font>
      <sz val="10"/>
      <color theme="1"/>
      <name val="Arial"/>
      <family val="2"/>
    </font>
    <font>
      <sz val="10"/>
      <color theme="1"/>
      <name val="Aptos Display"/>
      <family val="2"/>
      <scheme val="major"/>
    </font>
    <font>
      <sz val="10"/>
      <color rgb="FF000000"/>
      <name val="Arial"/>
      <family val="2"/>
    </font>
    <font>
      <b/>
      <sz val="11"/>
      <color theme="1"/>
      <name val="Aptos Narrow"/>
      <scheme val="minor"/>
    </font>
    <font>
      <sz val="11"/>
      <color theme="1"/>
      <name val="Arial"/>
      <family val="2"/>
    </font>
    <font>
      <b/>
      <sz val="11"/>
      <color theme="1"/>
      <name val="Arial"/>
      <family val="2"/>
    </font>
    <font>
      <b/>
      <sz val="20"/>
      <color theme="1"/>
      <name val="Arial"/>
      <family val="2"/>
    </font>
    <font>
      <sz val="16"/>
      <color theme="1"/>
      <name val="Arial"/>
      <family val="2"/>
    </font>
    <font>
      <sz val="11"/>
      <color theme="1"/>
      <name val="Arial"/>
      <family val="2"/>
    </font>
    <font>
      <b/>
      <sz val="12"/>
      <color rgb="FF1867C0"/>
      <name val="Arial"/>
      <family val="2"/>
    </font>
    <font>
      <b/>
      <sz val="12"/>
      <color rgb="FF1867C0"/>
      <name val="Aptos Narrow"/>
      <family val="2"/>
      <scheme val="minor"/>
    </font>
    <font>
      <b/>
      <sz val="10"/>
      <color rgb="FF000000"/>
      <name val="Arial"/>
      <family val="2"/>
    </font>
    <font>
      <b/>
      <u/>
      <sz val="10"/>
      <color rgb="FF000000"/>
      <name val="Arial"/>
      <family val="2"/>
    </font>
    <font>
      <u/>
      <sz val="10"/>
      <color rgb="FF000000"/>
      <name val="Arial"/>
      <family val="2"/>
    </font>
    <font>
      <b/>
      <sz val="11"/>
      <color theme="1"/>
      <name val="Aptos Display"/>
      <family val="2"/>
      <scheme val="major"/>
    </font>
    <font>
      <sz val="11"/>
      <color rgb="FF000000"/>
      <name val="Calibri"/>
      <family val="2"/>
    </font>
    <font>
      <sz val="10"/>
      <color rgb="FF000000"/>
      <name val="Aptos Narrow"/>
      <family val="2"/>
      <scheme val="minor"/>
    </font>
    <font>
      <b/>
      <sz val="11"/>
      <color theme="4" tint="-0.249977111117893"/>
      <name val="Arial"/>
      <family val="2"/>
    </font>
    <font>
      <sz val="11"/>
      <color theme="4" tint="-0.249977111117893"/>
      <name val="Arial"/>
      <family val="2"/>
    </font>
    <font>
      <b/>
      <sz val="11"/>
      <color rgb="FF1867C0"/>
      <name val="Arial"/>
      <family val="2"/>
    </font>
    <font>
      <sz val="11"/>
      <color rgb="FF000000"/>
      <name val="Arial"/>
      <family val="2"/>
    </font>
    <font>
      <sz val="11"/>
      <color rgb="FF000000"/>
      <name val="Aptos Narrow"/>
      <scheme val="minor"/>
    </font>
    <font>
      <sz val="11"/>
      <name val="Arial"/>
      <family val="2"/>
    </font>
    <font>
      <sz val="12"/>
      <color rgb="FFFFFFFF"/>
      <name val="Arial"/>
      <family val="2"/>
    </font>
    <font>
      <b/>
      <i/>
      <sz val="12"/>
      <color rgb="FFB45F06"/>
      <name val="Arial"/>
      <family val="2"/>
    </font>
    <font>
      <sz val="12"/>
      <color theme="1"/>
      <name val="Arial"/>
      <family val="2"/>
    </font>
    <font>
      <b/>
      <sz val="12"/>
      <color rgb="FFFFFFFF"/>
      <name val="Arial"/>
      <family val="2"/>
    </font>
    <font>
      <b/>
      <sz val="12"/>
      <color rgb="FFB45F06"/>
      <name val="Arial"/>
      <family val="2"/>
    </font>
    <font>
      <b/>
      <sz val="12"/>
      <color rgb="FFEA4335"/>
      <name val="Arial"/>
      <family val="2"/>
    </font>
    <font>
      <b/>
      <sz val="12"/>
      <color rgb="FFFBBC04"/>
      <name val="Arial"/>
      <family val="2"/>
    </font>
    <font>
      <b/>
      <sz val="12"/>
      <color rgb="FF34A853"/>
      <name val="Arial"/>
      <family val="2"/>
    </font>
    <font>
      <b/>
      <sz val="12"/>
      <color rgb="FFFF6D01"/>
      <name val="Arial"/>
      <family val="2"/>
    </font>
    <font>
      <b/>
      <sz val="12"/>
      <color rgb="FF46BDC6"/>
      <name val="Arial"/>
      <family val="2"/>
    </font>
    <font>
      <sz val="12"/>
      <color rgb="FF38761D"/>
      <name val="Arial"/>
      <family val="2"/>
    </font>
    <font>
      <b/>
      <sz val="12"/>
      <color rgb="FF38761D"/>
      <name val="Arial"/>
      <family val="2"/>
    </font>
    <font>
      <b/>
      <sz val="12"/>
      <color rgb="FF0B5394"/>
      <name val="Arial"/>
      <family val="2"/>
    </font>
    <font>
      <b/>
      <sz val="12"/>
      <color rgb="FFFFE599"/>
      <name val="Arial"/>
      <family val="2"/>
    </font>
    <font>
      <b/>
      <sz val="12"/>
      <color rgb="FF1155CC"/>
      <name val="Arial"/>
      <family val="2"/>
    </font>
    <font>
      <b/>
      <sz val="12"/>
      <color rgb="FFFF0000"/>
      <name val="Arial"/>
      <family val="2"/>
    </font>
    <font>
      <sz val="12"/>
      <name val="Arial"/>
      <family val="2"/>
    </font>
    <font>
      <sz val="11"/>
      <name val="Aptos Narrow"/>
      <family val="2"/>
      <scheme val="minor"/>
    </font>
  </fonts>
  <fills count="44">
    <fill>
      <patternFill patternType="none"/>
    </fill>
    <fill>
      <patternFill patternType="gray125"/>
    </fill>
    <fill>
      <patternFill patternType="solid">
        <fgColor theme="5"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3" tint="0.89999084444715716"/>
        <bgColor indexed="64"/>
      </patternFill>
    </fill>
    <fill>
      <patternFill patternType="solid">
        <fgColor rgb="FFF5F5F5"/>
        <bgColor indexed="64"/>
      </patternFill>
    </fill>
    <fill>
      <patternFill patternType="solid">
        <fgColor rgb="FFFFFFFF"/>
        <bgColor indexed="64"/>
      </patternFill>
    </fill>
    <fill>
      <patternFill patternType="solid">
        <fgColor rgb="FFE0F7FA"/>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rgb="FFF7F2BE"/>
        <bgColor indexed="64"/>
      </patternFill>
    </fill>
    <fill>
      <patternFill patternType="solid">
        <fgColor rgb="FF6AA84F"/>
        <bgColor indexed="64"/>
      </patternFill>
    </fill>
    <fill>
      <patternFill patternType="solid">
        <fgColor rgb="FFD9EAD3"/>
        <bgColor indexed="64"/>
      </patternFill>
    </fill>
  </fills>
  <borders count="55">
    <border>
      <left/>
      <right/>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hair">
        <color indexed="64"/>
      </bottom>
      <diagonal/>
    </border>
    <border>
      <left style="thin">
        <color indexed="64"/>
      </left>
      <right style="medium">
        <color indexed="64"/>
      </right>
      <top style="thin">
        <color indexed="64"/>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medium">
        <color indexed="64"/>
      </left>
      <right/>
      <top style="thin">
        <color indexed="64"/>
      </top>
      <bottom style="medium">
        <color indexed="64"/>
      </bottom>
      <diagonal/>
    </border>
    <border>
      <left style="thin">
        <color rgb="FFFF0000"/>
      </left>
      <right/>
      <top style="thin">
        <color rgb="FFFF0000"/>
      </top>
      <bottom/>
      <diagonal/>
    </border>
    <border>
      <left/>
      <right style="thin">
        <color rgb="FFFF0000"/>
      </right>
      <top style="thin">
        <color rgb="FFFF0000"/>
      </top>
      <bottom/>
      <diagonal/>
    </border>
    <border>
      <left style="thin">
        <color rgb="FFFF0000"/>
      </left>
      <right/>
      <top/>
      <bottom/>
      <diagonal/>
    </border>
    <border>
      <left/>
      <right style="thin">
        <color rgb="FFFF0000"/>
      </right>
      <top/>
      <bottom/>
      <diagonal/>
    </border>
    <border>
      <left style="thin">
        <color rgb="FFFF0000"/>
      </left>
      <right/>
      <top/>
      <bottom style="thin">
        <color rgb="FFFF0000"/>
      </bottom>
      <diagonal/>
    </border>
    <border>
      <left/>
      <right style="thin">
        <color rgb="FFFF0000"/>
      </right>
      <top/>
      <bottom style="thin">
        <color rgb="FFFF0000"/>
      </bottom>
      <diagonal/>
    </border>
    <border>
      <left/>
      <right/>
      <top style="thin">
        <color theme="4" tint="0.39997558519241921"/>
      </top>
      <bottom/>
      <diagonal/>
    </border>
    <border>
      <left style="medium">
        <color indexed="64"/>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indexed="64"/>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right/>
      <top style="thin">
        <color theme="4"/>
      </top>
      <bottom style="thin">
        <color theme="4"/>
      </bottom>
      <diagonal/>
    </border>
    <border>
      <left style="medium">
        <color rgb="FF6AA84F"/>
      </left>
      <right style="medium">
        <color rgb="FF6AA84F"/>
      </right>
      <top/>
      <bottom/>
      <diagonal/>
    </border>
    <border>
      <left/>
      <right style="medium">
        <color rgb="FF6AA84F"/>
      </right>
      <top/>
      <bottom/>
      <diagonal/>
    </border>
  </borders>
  <cellStyleXfs count="53">
    <xf numFmtId="0" fontId="0" fillId="0" borderId="0"/>
    <xf numFmtId="43" fontId="2" fillId="0" borderId="0" applyFont="0" applyFill="0" applyBorder="0" applyAlignment="0" applyProtection="0"/>
    <xf numFmtId="0" fontId="5" fillId="0" borderId="0"/>
    <xf numFmtId="0" fontId="11" fillId="0" borderId="0" applyNumberFormat="0" applyFill="0" applyBorder="0" applyAlignment="0" applyProtection="0"/>
    <xf numFmtId="0" fontId="12" fillId="0" borderId="14" applyNumberFormat="0" applyFill="0" applyAlignment="0" applyProtection="0"/>
    <xf numFmtId="0" fontId="13" fillId="0" borderId="15" applyNumberFormat="0" applyFill="0" applyAlignment="0" applyProtection="0"/>
    <xf numFmtId="0" fontId="14" fillId="0" borderId="16" applyNumberFormat="0" applyFill="0" applyAlignment="0" applyProtection="0"/>
    <xf numFmtId="0" fontId="14" fillId="0" borderId="0" applyNumberFormat="0" applyFill="0" applyBorder="0" applyAlignment="0" applyProtection="0"/>
    <xf numFmtId="0" fontId="15" fillId="3" borderId="0" applyNumberFormat="0" applyBorder="0" applyAlignment="0" applyProtection="0"/>
    <xf numFmtId="0" fontId="16" fillId="4" borderId="0" applyNumberFormat="0" applyBorder="0" applyAlignment="0" applyProtection="0"/>
    <xf numFmtId="0" fontId="17" fillId="5" borderId="0" applyNumberFormat="0" applyBorder="0" applyAlignment="0" applyProtection="0"/>
    <xf numFmtId="0" fontId="18" fillId="6" borderId="17" applyNumberFormat="0" applyAlignment="0" applyProtection="0"/>
    <xf numFmtId="0" fontId="19" fillId="7" borderId="18" applyNumberFormat="0" applyAlignment="0" applyProtection="0"/>
    <xf numFmtId="0" fontId="20" fillId="7" borderId="17" applyNumberFormat="0" applyAlignment="0" applyProtection="0"/>
    <xf numFmtId="0" fontId="21" fillId="0" borderId="19" applyNumberFormat="0" applyFill="0" applyAlignment="0" applyProtection="0"/>
    <xf numFmtId="0" fontId="22" fillId="8" borderId="20" applyNumberFormat="0" applyAlignment="0" applyProtection="0"/>
    <xf numFmtId="0" fontId="23" fillId="0" borderId="0" applyNumberFormat="0" applyFill="0" applyBorder="0" applyAlignment="0" applyProtection="0"/>
    <xf numFmtId="0" fontId="2" fillId="9" borderId="21" applyNumberFormat="0" applyFont="0" applyAlignment="0" applyProtection="0"/>
    <xf numFmtId="0" fontId="24" fillId="0" borderId="0" applyNumberFormat="0" applyFill="0" applyBorder="0" applyAlignment="0" applyProtection="0"/>
    <xf numFmtId="0" fontId="4" fillId="0" borderId="22" applyNumberFormat="0" applyFill="0" applyAlignment="0" applyProtection="0"/>
    <xf numFmtId="0" fontId="25"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2" fillId="13" borderId="0" applyNumberFormat="0" applyBorder="0" applyAlignment="0" applyProtection="0"/>
    <xf numFmtId="0" fontId="25"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5"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5"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5"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5"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7" fillId="0" borderId="0"/>
    <xf numFmtId="9" fontId="2" fillId="0" borderId="0" applyFont="0" applyFill="0" applyBorder="0" applyAlignment="0" applyProtection="0"/>
    <xf numFmtId="0" fontId="53" fillId="0" borderId="0" applyBorder="0"/>
    <xf numFmtId="0" fontId="53" fillId="0" borderId="0" applyBorder="0"/>
    <xf numFmtId="0" fontId="53" fillId="0" borderId="0" applyBorder="0"/>
    <xf numFmtId="0" fontId="54" fillId="0" borderId="0"/>
    <xf numFmtId="0" fontId="2" fillId="0" borderId="0"/>
    <xf numFmtId="0" fontId="2" fillId="0" borderId="0"/>
    <xf numFmtId="43" fontId="54" fillId="0" borderId="0" applyFont="0" applyFill="0" applyBorder="0" applyAlignment="0" applyProtection="0"/>
  </cellStyleXfs>
  <cellXfs count="313">
    <xf numFmtId="0" fontId="0" fillId="0" borderId="0" xfId="0"/>
    <xf numFmtId="0" fontId="1" fillId="0" borderId="0" xfId="0" applyFont="1"/>
    <xf numFmtId="0" fontId="3" fillId="0" borderId="0" xfId="0" applyFont="1"/>
    <xf numFmtId="0" fontId="7" fillId="0" borderId="3" xfId="2" applyFont="1" applyBorder="1" applyAlignment="1">
      <alignment horizontal="center" vertical="center" wrapText="1" readingOrder="1"/>
    </xf>
    <xf numFmtId="0" fontId="7" fillId="2" borderId="3" xfId="2" applyFont="1" applyFill="1" applyBorder="1" applyAlignment="1">
      <alignment horizontal="center" vertical="center" wrapText="1" readingOrder="1"/>
    </xf>
    <xf numFmtId="0" fontId="7" fillId="0" borderId="2" xfId="2" applyFont="1" applyBorder="1" applyAlignment="1">
      <alignment horizontal="center" vertical="center" wrapText="1" readingOrder="1"/>
    </xf>
    <xf numFmtId="0" fontId="7" fillId="2" borderId="4" xfId="2" applyFont="1" applyFill="1" applyBorder="1" applyAlignment="1">
      <alignment horizontal="center" vertical="center" wrapText="1" readingOrder="1"/>
    </xf>
    <xf numFmtId="0" fontId="6" fillId="0" borderId="8" xfId="2" applyFont="1" applyBorder="1" applyAlignment="1">
      <alignment horizontal="center" vertical="center" wrapText="1" readingOrder="1"/>
    </xf>
    <xf numFmtId="0" fontId="6" fillId="2" borderId="8" xfId="2" applyFont="1" applyFill="1" applyBorder="1" applyAlignment="1">
      <alignment horizontal="center" vertical="center" wrapText="1" readingOrder="1"/>
    </xf>
    <xf numFmtId="0" fontId="6" fillId="0" borderId="9" xfId="2" applyFont="1" applyBorder="1" applyAlignment="1">
      <alignment horizontal="center" vertical="center" wrapText="1" readingOrder="1"/>
    </xf>
    <xf numFmtId="0" fontId="6" fillId="2" borderId="9" xfId="2" applyFont="1" applyFill="1" applyBorder="1" applyAlignment="1">
      <alignment horizontal="center" vertical="center" wrapText="1" readingOrder="1"/>
    </xf>
    <xf numFmtId="0" fontId="6" fillId="0" borderId="10" xfId="2" applyFont="1" applyBorder="1" applyAlignment="1">
      <alignment horizontal="center" vertical="center" wrapText="1" readingOrder="1"/>
    </xf>
    <xf numFmtId="0" fontId="6" fillId="2" borderId="10" xfId="2" applyFont="1" applyFill="1" applyBorder="1" applyAlignment="1">
      <alignment horizontal="center" vertical="center" wrapText="1" readingOrder="1"/>
    </xf>
    <xf numFmtId="0" fontId="0" fillId="0" borderId="0" xfId="0" applyAlignment="1">
      <alignment vertical="top"/>
    </xf>
    <xf numFmtId="0" fontId="0" fillId="0" borderId="0" xfId="0" applyAlignment="1">
      <alignment horizontal="center" vertical="top"/>
    </xf>
    <xf numFmtId="0" fontId="28" fillId="0" borderId="0" xfId="0" applyFont="1"/>
    <xf numFmtId="0" fontId="28" fillId="0" borderId="0" xfId="0" applyFont="1" applyAlignment="1">
      <alignment vertical="center"/>
    </xf>
    <xf numFmtId="0" fontId="29" fillId="34" borderId="0" xfId="0" applyFont="1" applyFill="1" applyAlignment="1">
      <alignment vertical="center"/>
    </xf>
    <xf numFmtId="0" fontId="29" fillId="0" borderId="0" xfId="0" applyFont="1"/>
    <xf numFmtId="0" fontId="30" fillId="0" borderId="0" xfId="0" applyFont="1"/>
    <xf numFmtId="0" fontId="8" fillId="0" borderId="0" xfId="0" applyFont="1"/>
    <xf numFmtId="0" fontId="0" fillId="0" borderId="0" xfId="0" pivotButton="1"/>
    <xf numFmtId="0" fontId="0" fillId="0" borderId="0" xfId="0" applyAlignment="1">
      <alignment horizontal="left"/>
    </xf>
    <xf numFmtId="0" fontId="29" fillId="0" borderId="0" xfId="0" applyFont="1" applyAlignment="1">
      <alignment vertical="center"/>
    </xf>
    <xf numFmtId="0" fontId="31" fillId="0" borderId="0" xfId="0" applyFont="1" applyAlignment="1">
      <alignment horizontal="left" vertical="center"/>
    </xf>
    <xf numFmtId="0" fontId="28" fillId="0" borderId="0" xfId="0" applyFont="1" applyAlignment="1">
      <alignment horizontal="center"/>
    </xf>
    <xf numFmtId="0" fontId="29" fillId="0" borderId="23" xfId="0" applyFont="1" applyBorder="1" applyAlignment="1">
      <alignment horizontal="center" vertical="center"/>
    </xf>
    <xf numFmtId="0" fontId="6" fillId="2" borderId="11" xfId="2" applyFont="1" applyFill="1" applyBorder="1" applyAlignment="1">
      <alignment horizontal="center" vertical="center" wrapText="1" readingOrder="1"/>
    </xf>
    <xf numFmtId="0" fontId="6" fillId="2" borderId="12" xfId="2" applyFont="1" applyFill="1" applyBorder="1" applyAlignment="1">
      <alignment horizontal="center" vertical="center" wrapText="1" readingOrder="1"/>
    </xf>
    <xf numFmtId="0" fontId="6" fillId="2" borderId="13" xfId="2" applyFont="1" applyFill="1" applyBorder="1" applyAlignment="1">
      <alignment horizontal="center" vertical="center" wrapText="1" readingOrder="1"/>
    </xf>
    <xf numFmtId="0" fontId="28" fillId="0" borderId="0" xfId="0" applyFont="1" applyAlignment="1">
      <alignment horizontal="left" vertical="center" wrapText="1"/>
    </xf>
    <xf numFmtId="0" fontId="28" fillId="0" borderId="0" xfId="0" applyFont="1" applyAlignment="1">
      <alignment horizontal="left" vertical="center"/>
    </xf>
    <xf numFmtId="0" fontId="29" fillId="0" borderId="0" xfId="0" applyFont="1" applyAlignment="1">
      <alignment horizontal="left" vertical="center"/>
    </xf>
    <xf numFmtId="0" fontId="26" fillId="0" borderId="0" xfId="0" applyFont="1" applyAlignment="1">
      <alignment horizontal="center" vertical="center" wrapText="1"/>
    </xf>
    <xf numFmtId="0" fontId="7" fillId="0" borderId="0" xfId="0" applyFont="1" applyAlignment="1">
      <alignment horizontal="left" vertical="center"/>
    </xf>
    <xf numFmtId="0" fontId="29" fillId="0" borderId="0" xfId="0" quotePrefix="1" applyFont="1" applyAlignment="1">
      <alignment vertical="center"/>
    </xf>
    <xf numFmtId="0" fontId="29" fillId="0" borderId="0" xfId="0" applyFont="1" applyAlignment="1">
      <alignment horizontal="left" vertical="center" wrapText="1"/>
    </xf>
    <xf numFmtId="9" fontId="3" fillId="0" borderId="0" xfId="45" applyFont="1"/>
    <xf numFmtId="164" fontId="7" fillId="2" borderId="1" xfId="1" applyNumberFormat="1" applyFont="1" applyFill="1" applyBorder="1" applyAlignment="1">
      <alignment horizontal="center" vertical="center" wrapText="1" readingOrder="1"/>
    </xf>
    <xf numFmtId="164" fontId="6" fillId="2" borderId="11" xfId="1" applyNumberFormat="1" applyFont="1" applyFill="1" applyBorder="1" applyAlignment="1">
      <alignment horizontal="center" vertical="center" wrapText="1" readingOrder="1"/>
    </xf>
    <xf numFmtId="164" fontId="6" fillId="2" borderId="12" xfId="1" applyNumberFormat="1" applyFont="1" applyFill="1" applyBorder="1" applyAlignment="1">
      <alignment horizontal="center" vertical="center" wrapText="1" readingOrder="1"/>
    </xf>
    <xf numFmtId="164" fontId="6" fillId="2" borderId="13" xfId="1" applyNumberFormat="1" applyFont="1" applyFill="1" applyBorder="1" applyAlignment="1">
      <alignment horizontal="center" vertical="center" wrapText="1" readingOrder="1"/>
    </xf>
    <xf numFmtId="164" fontId="28" fillId="0" borderId="0" xfId="1" applyNumberFormat="1" applyFont="1"/>
    <xf numFmtId="164" fontId="6" fillId="0" borderId="0" xfId="1" applyNumberFormat="1" applyFont="1"/>
    <xf numFmtId="164" fontId="29" fillId="0" borderId="0" xfId="0" applyNumberFormat="1" applyFont="1" applyAlignment="1">
      <alignment vertical="center"/>
    </xf>
    <xf numFmtId="164" fontId="28" fillId="0" borderId="0" xfId="0" applyNumberFormat="1" applyFont="1"/>
    <xf numFmtId="0" fontId="28" fillId="0" borderId="0" xfId="0" applyFont="1" applyAlignment="1">
      <alignment horizontal="center" vertical="top"/>
    </xf>
    <xf numFmtId="0" fontId="29" fillId="0" borderId="0" xfId="0" applyFont="1" applyAlignment="1">
      <alignment horizontal="center" vertical="top" wrapText="1"/>
    </xf>
    <xf numFmtId="164" fontId="7" fillId="0" borderId="0" xfId="1" applyNumberFormat="1" applyFont="1" applyAlignment="1">
      <alignment horizontal="center" vertical="top" wrapText="1"/>
    </xf>
    <xf numFmtId="9" fontId="8" fillId="2" borderId="3" xfId="2" applyNumberFormat="1" applyFont="1" applyFill="1" applyBorder="1" applyAlignment="1">
      <alignment horizontal="center" vertical="center" wrapText="1" readingOrder="1"/>
    </xf>
    <xf numFmtId="9" fontId="9" fillId="2" borderId="8" xfId="2" applyNumberFormat="1" applyFont="1" applyFill="1" applyBorder="1" applyAlignment="1">
      <alignment horizontal="center" vertical="center" wrapText="1" readingOrder="1"/>
    </xf>
    <xf numFmtId="9" fontId="9" fillId="2" borderId="9" xfId="2" applyNumberFormat="1" applyFont="1" applyFill="1" applyBorder="1" applyAlignment="1">
      <alignment horizontal="center" vertical="center" wrapText="1" readingOrder="1"/>
    </xf>
    <xf numFmtId="9" fontId="9" fillId="2" borderId="10" xfId="2" applyNumberFormat="1" applyFont="1" applyFill="1" applyBorder="1" applyAlignment="1">
      <alignment horizontal="center" vertical="center" wrapText="1" readingOrder="1"/>
    </xf>
    <xf numFmtId="164" fontId="7" fillId="2" borderId="6" xfId="1" applyNumberFormat="1" applyFont="1" applyFill="1" applyBorder="1" applyAlignment="1">
      <alignment horizontal="center" vertical="center" wrapText="1" readingOrder="1"/>
    </xf>
    <xf numFmtId="0" fontId="29" fillId="0" borderId="3" xfId="0" applyFont="1" applyBorder="1" applyAlignment="1">
      <alignment horizontal="center" vertical="top" wrapText="1"/>
    </xf>
    <xf numFmtId="0" fontId="29" fillId="0" borderId="3" xfId="0" applyFont="1" applyBorder="1" applyAlignment="1">
      <alignment vertical="center"/>
    </xf>
    <xf numFmtId="0" fontId="29" fillId="0" borderId="0" xfId="0" applyFont="1" applyAlignment="1">
      <alignment horizontal="center" vertical="center"/>
    </xf>
    <xf numFmtId="164" fontId="36" fillId="0" borderId="3" xfId="1" applyNumberFormat="1" applyFont="1" applyFill="1" applyBorder="1" applyAlignment="1">
      <alignment horizontal="center" vertical="top" wrapText="1" readingOrder="1"/>
    </xf>
    <xf numFmtId="0" fontId="35" fillId="0" borderId="3" xfId="2" applyFont="1" applyBorder="1" applyAlignment="1">
      <alignment horizontal="left" vertical="center" wrapText="1" readingOrder="1"/>
    </xf>
    <xf numFmtId="164" fontId="3" fillId="0" borderId="3" xfId="0" applyNumberFormat="1" applyFont="1" applyBorder="1" applyAlignment="1">
      <alignment vertical="center"/>
    </xf>
    <xf numFmtId="0" fontId="3" fillId="0" borderId="3" xfId="0" applyFont="1" applyBorder="1" applyAlignment="1">
      <alignment vertical="center"/>
    </xf>
    <xf numFmtId="9" fontId="3" fillId="0" borderId="3" xfId="0" applyNumberFormat="1" applyFont="1" applyBorder="1" applyAlignment="1">
      <alignment vertical="center"/>
    </xf>
    <xf numFmtId="0" fontId="28" fillId="0" borderId="0" xfId="0" applyFont="1" applyAlignment="1">
      <alignment vertical="top"/>
    </xf>
    <xf numFmtId="0" fontId="28" fillId="0" borderId="0" xfId="0" applyFont="1" applyAlignment="1">
      <alignment horizontal="center" vertical="top" wrapText="1"/>
    </xf>
    <xf numFmtId="0" fontId="29" fillId="35" borderId="8" xfId="0" applyFont="1" applyFill="1" applyBorder="1" applyAlignment="1">
      <alignment horizontal="center" vertical="center"/>
    </xf>
    <xf numFmtId="0" fontId="29" fillId="35" borderId="8" xfId="0" applyFont="1" applyFill="1" applyBorder="1" applyAlignment="1">
      <alignment vertical="center"/>
    </xf>
    <xf numFmtId="0" fontId="29" fillId="35" borderId="8" xfId="0" applyFont="1" applyFill="1" applyBorder="1" applyAlignment="1">
      <alignment horizontal="center" vertical="center" wrapText="1"/>
    </xf>
    <xf numFmtId="165" fontId="29" fillId="35" borderId="8" xfId="0" applyNumberFormat="1" applyFont="1" applyFill="1" applyBorder="1" applyAlignment="1">
      <alignment horizontal="center" vertical="center"/>
    </xf>
    <xf numFmtId="0" fontId="28" fillId="0" borderId="9" xfId="0" applyFont="1" applyBorder="1" applyAlignment="1">
      <alignment horizontal="center" vertical="center"/>
    </xf>
    <xf numFmtId="0" fontId="28" fillId="0" borderId="9" xfId="0" applyFont="1" applyBorder="1" applyAlignment="1">
      <alignment vertical="center"/>
    </xf>
    <xf numFmtId="0" fontId="28" fillId="0" borderId="25" xfId="0" applyFont="1" applyBorder="1" applyAlignment="1">
      <alignment horizontal="center" vertical="center"/>
    </xf>
    <xf numFmtId="0" fontId="28" fillId="0" borderId="25" xfId="0" applyFont="1" applyBorder="1" applyAlignment="1">
      <alignment vertical="center"/>
    </xf>
    <xf numFmtId="0" fontId="29" fillId="0" borderId="3" xfId="0" applyFont="1" applyBorder="1" applyAlignment="1">
      <alignment horizontal="center" vertical="center"/>
    </xf>
    <xf numFmtId="0" fontId="28" fillId="0" borderId="24" xfId="0" applyFont="1" applyBorder="1" applyAlignment="1">
      <alignment horizontal="center" vertical="center"/>
    </xf>
    <xf numFmtId="0" fontId="28" fillId="0" borderId="24" xfId="0" applyFont="1" applyBorder="1" applyAlignment="1">
      <alignment vertical="center"/>
    </xf>
    <xf numFmtId="3" fontId="28" fillId="0" borderId="9" xfId="0" applyNumberFormat="1" applyFont="1" applyBorder="1" applyAlignment="1">
      <alignment horizontal="center" vertical="center"/>
    </xf>
    <xf numFmtId="3" fontId="6" fillId="0" borderId="9" xfId="1" applyNumberFormat="1" applyFont="1" applyBorder="1" applyAlignment="1">
      <alignment horizontal="center" vertical="center"/>
    </xf>
    <xf numFmtId="3" fontId="28" fillId="0" borderId="25" xfId="0" applyNumberFormat="1" applyFont="1" applyBorder="1" applyAlignment="1">
      <alignment horizontal="center" vertical="center"/>
    </xf>
    <xf numFmtId="3" fontId="6" fillId="0" borderId="25" xfId="1" applyNumberFormat="1" applyFont="1" applyBorder="1" applyAlignment="1">
      <alignment horizontal="center" vertical="center"/>
    </xf>
    <xf numFmtId="3" fontId="29" fillId="0" borderId="3" xfId="0" applyNumberFormat="1" applyFont="1" applyBorder="1" applyAlignment="1">
      <alignment horizontal="center" vertical="center"/>
    </xf>
    <xf numFmtId="3" fontId="28" fillId="0" borderId="24" xfId="0" applyNumberFormat="1" applyFont="1" applyBorder="1" applyAlignment="1">
      <alignment horizontal="center" vertical="center"/>
    </xf>
    <xf numFmtId="3" fontId="6" fillId="0" borderId="24" xfId="1" applyNumberFormat="1" applyFont="1" applyBorder="1" applyAlignment="1">
      <alignment horizontal="center" vertical="center"/>
    </xf>
    <xf numFmtId="0" fontId="7" fillId="0" borderId="5" xfId="2" applyFont="1" applyBorder="1" applyAlignment="1">
      <alignment horizontal="center" vertical="center" wrapText="1" readingOrder="1"/>
    </xf>
    <xf numFmtId="0" fontId="7" fillId="0" borderId="6" xfId="2" applyFont="1" applyBorder="1" applyAlignment="1">
      <alignment horizontal="center" vertical="center" wrapText="1" readingOrder="1"/>
    </xf>
    <xf numFmtId="0" fontId="7" fillId="2" borderId="7" xfId="2" applyFont="1" applyFill="1" applyBorder="1" applyAlignment="1">
      <alignment horizontal="center" vertical="center" wrapText="1" readingOrder="1"/>
    </xf>
    <xf numFmtId="0" fontId="7" fillId="2" borderId="6" xfId="2" applyFont="1" applyFill="1" applyBorder="1" applyAlignment="1">
      <alignment horizontal="center" vertical="center" wrapText="1" readingOrder="1"/>
    </xf>
    <xf numFmtId="9" fontId="8" fillId="2" borderId="6" xfId="2" applyNumberFormat="1" applyFont="1" applyFill="1" applyBorder="1" applyAlignment="1">
      <alignment horizontal="center" vertical="center" wrapText="1" readingOrder="1"/>
    </xf>
    <xf numFmtId="164" fontId="6" fillId="0" borderId="0" xfId="1" applyNumberFormat="1" applyFont="1" applyAlignment="1">
      <alignment vertical="center"/>
    </xf>
    <xf numFmtId="164" fontId="7" fillId="0" borderId="0" xfId="1" applyNumberFormat="1" applyFont="1" applyAlignment="1">
      <alignment vertical="center"/>
    </xf>
    <xf numFmtId="0" fontId="34" fillId="0" borderId="0" xfId="0" applyFont="1" applyAlignment="1">
      <alignment vertical="center"/>
    </xf>
    <xf numFmtId="164" fontId="34" fillId="0" borderId="0" xfId="1" applyNumberFormat="1" applyFont="1" applyAlignment="1">
      <alignment vertical="center"/>
    </xf>
    <xf numFmtId="0" fontId="28" fillId="0" borderId="3" xfId="0" applyFont="1" applyBorder="1" applyAlignment="1">
      <alignment vertical="top"/>
    </xf>
    <xf numFmtId="0" fontId="29" fillId="35" borderId="3" xfId="0" applyFont="1" applyFill="1" applyBorder="1" applyAlignment="1">
      <alignment horizontal="center" vertical="top" wrapText="1"/>
    </xf>
    <xf numFmtId="165" fontId="29" fillId="35" borderId="3" xfId="0" applyNumberFormat="1" applyFont="1" applyFill="1" applyBorder="1" applyAlignment="1">
      <alignment horizontal="center" vertical="top"/>
    </xf>
    <xf numFmtId="0" fontId="34" fillId="0" borderId="3" xfId="0" applyFont="1" applyBorder="1" applyAlignment="1">
      <alignment vertical="center"/>
    </xf>
    <xf numFmtId="0" fontId="28" fillId="0" borderId="8" xfId="0" applyFont="1" applyBorder="1" applyAlignment="1">
      <alignment vertical="center"/>
    </xf>
    <xf numFmtId="164" fontId="28" fillId="0" borderId="8" xfId="1" applyNumberFormat="1" applyFont="1" applyBorder="1" applyAlignment="1">
      <alignment vertical="center"/>
    </xf>
    <xf numFmtId="164" fontId="28" fillId="0" borderId="9" xfId="1" applyNumberFormat="1" applyFont="1" applyBorder="1" applyAlignment="1">
      <alignment vertical="center"/>
    </xf>
    <xf numFmtId="0" fontId="28" fillId="0" borderId="10" xfId="0" applyFont="1" applyBorder="1" applyAlignment="1">
      <alignment vertical="center"/>
    </xf>
    <xf numFmtId="164" fontId="28" fillId="0" borderId="10" xfId="1" applyNumberFormat="1" applyFont="1" applyBorder="1" applyAlignment="1">
      <alignment vertical="center"/>
    </xf>
    <xf numFmtId="164" fontId="29" fillId="0" borderId="3" xfId="1" applyNumberFormat="1" applyFont="1" applyBorder="1" applyAlignment="1">
      <alignment vertical="center"/>
    </xf>
    <xf numFmtId="0" fontId="38" fillId="0" borderId="0" xfId="0" applyFont="1" applyAlignment="1">
      <alignment horizontal="center" vertical="center" wrapText="1"/>
    </xf>
    <xf numFmtId="9" fontId="38" fillId="0" borderId="0" xfId="0" applyNumberFormat="1" applyFont="1" applyAlignment="1">
      <alignment horizontal="center" vertical="center" wrapText="1"/>
    </xf>
    <xf numFmtId="9" fontId="0" fillId="0" borderId="0" xfId="0" applyNumberFormat="1" applyAlignment="1">
      <alignment vertical="top"/>
    </xf>
    <xf numFmtId="9" fontId="0" fillId="0" borderId="0" xfId="0" applyNumberFormat="1"/>
    <xf numFmtId="0" fontId="6" fillId="0" borderId="26" xfId="2" applyFont="1" applyBorder="1" applyAlignment="1">
      <alignment horizontal="center" vertical="top" wrapText="1" readingOrder="1"/>
    </xf>
    <xf numFmtId="0" fontId="7" fillId="0" borderId="27" xfId="2" applyFont="1" applyBorder="1" applyAlignment="1">
      <alignment horizontal="center" vertical="top" wrapText="1" readingOrder="1"/>
    </xf>
    <xf numFmtId="0" fontId="7" fillId="0" borderId="28" xfId="2" applyFont="1" applyBorder="1" applyAlignment="1">
      <alignment horizontal="center" vertical="top" wrapText="1" readingOrder="1"/>
    </xf>
    <xf numFmtId="0" fontId="7" fillId="2" borderId="29" xfId="2" applyFont="1" applyFill="1" applyBorder="1" applyAlignment="1">
      <alignment horizontal="center" vertical="top" wrapText="1" readingOrder="1"/>
    </xf>
    <xf numFmtId="165" fontId="7" fillId="2" borderId="28" xfId="2" applyNumberFormat="1" applyFont="1" applyFill="1" applyBorder="1" applyAlignment="1">
      <alignment horizontal="center" vertical="top" wrapText="1" readingOrder="1"/>
    </xf>
    <xf numFmtId="164" fontId="7" fillId="2" borderId="30" xfId="1" applyNumberFormat="1" applyFont="1" applyFill="1" applyBorder="1" applyAlignment="1">
      <alignment horizontal="center" vertical="top" wrapText="1" readingOrder="1"/>
    </xf>
    <xf numFmtId="9" fontId="8" fillId="2" borderId="28" xfId="2" applyNumberFormat="1" applyFont="1" applyFill="1" applyBorder="1" applyAlignment="1">
      <alignment horizontal="center" vertical="top" wrapText="1" readingOrder="1"/>
    </xf>
    <xf numFmtId="164" fontId="7" fillId="2" borderId="29" xfId="1" applyNumberFormat="1" applyFont="1" applyFill="1" applyBorder="1" applyAlignment="1">
      <alignment horizontal="center" vertical="top" wrapText="1" readingOrder="1"/>
    </xf>
    <xf numFmtId="0" fontId="7" fillId="0" borderId="31" xfId="2" applyFont="1" applyBorder="1" applyAlignment="1">
      <alignment horizontal="left" vertical="center" wrapText="1" readingOrder="1"/>
    </xf>
    <xf numFmtId="164" fontId="7" fillId="2" borderId="4" xfId="1" applyNumberFormat="1" applyFont="1" applyFill="1" applyBorder="1" applyAlignment="1">
      <alignment horizontal="center" vertical="center" wrapText="1" readingOrder="1"/>
    </xf>
    <xf numFmtId="0" fontId="6" fillId="0" borderId="32" xfId="2" applyFont="1" applyBorder="1" applyAlignment="1">
      <alignment horizontal="right" vertical="center" wrapText="1" readingOrder="1"/>
    </xf>
    <xf numFmtId="164" fontId="6" fillId="2" borderId="33" xfId="1" applyNumberFormat="1" applyFont="1" applyFill="1" applyBorder="1" applyAlignment="1">
      <alignment horizontal="center" vertical="center" wrapText="1" readingOrder="1"/>
    </xf>
    <xf numFmtId="0" fontId="6" fillId="0" borderId="34" xfId="2" applyFont="1" applyBorder="1" applyAlignment="1">
      <alignment horizontal="right" vertical="center" wrapText="1" readingOrder="1"/>
    </xf>
    <xf numFmtId="164" fontId="6" fillId="2" borderId="35" xfId="1" applyNumberFormat="1" applyFont="1" applyFill="1" applyBorder="1" applyAlignment="1">
      <alignment horizontal="center" vertical="center" wrapText="1" readingOrder="1"/>
    </xf>
    <xf numFmtId="0" fontId="6" fillId="0" borderId="36" xfId="2" applyFont="1" applyBorder="1" applyAlignment="1">
      <alignment horizontal="right" vertical="center" wrapText="1" readingOrder="1"/>
    </xf>
    <xf numFmtId="164" fontId="6" fillId="2" borderId="37" xfId="1" applyNumberFormat="1" applyFont="1" applyFill="1" applyBorder="1" applyAlignment="1">
      <alignment horizontal="center" vertical="center" wrapText="1" readingOrder="1"/>
    </xf>
    <xf numFmtId="0" fontId="7" fillId="0" borderId="38" xfId="2" applyFont="1" applyBorder="1" applyAlignment="1">
      <alignment horizontal="left" vertical="center" wrapText="1" readingOrder="1"/>
    </xf>
    <xf numFmtId="164" fontId="7" fillId="2" borderId="7" xfId="1" applyNumberFormat="1" applyFont="1" applyFill="1" applyBorder="1" applyAlignment="1">
      <alignment horizontal="center" vertical="center" wrapText="1" readingOrder="1"/>
    </xf>
    <xf numFmtId="0" fontId="28" fillId="2" borderId="40" xfId="0" applyFont="1" applyFill="1" applyBorder="1"/>
    <xf numFmtId="0" fontId="28" fillId="2" borderId="43" xfId="0" applyFont="1" applyFill="1" applyBorder="1"/>
    <xf numFmtId="0" fontId="28" fillId="2" borderId="44" xfId="0" applyFont="1" applyFill="1" applyBorder="1"/>
    <xf numFmtId="0" fontId="28" fillId="2" borderId="39" xfId="0" applyFont="1" applyFill="1" applyBorder="1"/>
    <xf numFmtId="0" fontId="28" fillId="2" borderId="41" xfId="0" applyFont="1" applyFill="1" applyBorder="1" applyAlignment="1">
      <alignment horizontal="left" indent="2"/>
    </xf>
    <xf numFmtId="0" fontId="28" fillId="2" borderId="42" xfId="0" applyFont="1" applyFill="1" applyBorder="1" applyAlignment="1">
      <alignment horizontal="center"/>
    </xf>
    <xf numFmtId="0" fontId="8" fillId="2" borderId="42" xfId="0" applyFont="1" applyFill="1" applyBorder="1" applyAlignment="1">
      <alignment horizontal="center"/>
    </xf>
    <xf numFmtId="0" fontId="30" fillId="2" borderId="42" xfId="0" applyFont="1" applyFill="1" applyBorder="1" applyAlignment="1">
      <alignment horizontal="center"/>
    </xf>
    <xf numFmtId="0" fontId="29" fillId="0" borderId="0" xfId="0" applyFont="1" applyAlignment="1">
      <alignment horizontal="left" vertical="top"/>
    </xf>
    <xf numFmtId="0" fontId="29" fillId="0" borderId="0" xfId="0" applyFont="1" applyAlignment="1">
      <alignment vertical="top"/>
    </xf>
    <xf numFmtId="9" fontId="8" fillId="2" borderId="42" xfId="0" applyNumberFormat="1" applyFont="1" applyFill="1" applyBorder="1" applyAlignment="1">
      <alignment horizontal="center"/>
    </xf>
    <xf numFmtId="0" fontId="39" fillId="0" borderId="0" xfId="0" applyFont="1" applyAlignment="1">
      <alignment horizontal="center"/>
    </xf>
    <xf numFmtId="0" fontId="39" fillId="0" borderId="0" xfId="0" applyFont="1"/>
    <xf numFmtId="0" fontId="28" fillId="0" borderId="0" xfId="0" applyFont="1" applyAlignment="1">
      <alignment horizontal="center" vertical="center" wrapText="1"/>
    </xf>
    <xf numFmtId="9" fontId="28" fillId="0" borderId="0" xfId="0" applyNumberFormat="1" applyFont="1" applyAlignment="1">
      <alignment horizontal="center" vertical="center" wrapText="1"/>
    </xf>
    <xf numFmtId="0" fontId="28" fillId="0" borderId="0" xfId="0" applyFont="1" applyAlignment="1">
      <alignment horizontal="right" vertical="center" wrapText="1" indent="1"/>
    </xf>
    <xf numFmtId="164" fontId="28" fillId="0" borderId="0" xfId="1" applyNumberFormat="1" applyFont="1" applyFill="1" applyAlignment="1">
      <alignment horizontal="right" vertical="center" wrapText="1" indent="1"/>
    </xf>
    <xf numFmtId="9" fontId="28" fillId="0" borderId="0" xfId="0" applyNumberFormat="1" applyFont="1" applyAlignment="1">
      <alignment horizontal="right" vertical="center" wrapText="1" indent="1"/>
    </xf>
    <xf numFmtId="0" fontId="28" fillId="0" borderId="0" xfId="0" applyFont="1" applyAlignment="1">
      <alignment vertical="top" wrapText="1"/>
    </xf>
    <xf numFmtId="164" fontId="28" fillId="0" borderId="0" xfId="1" applyNumberFormat="1" applyFont="1" applyAlignment="1">
      <alignment vertical="center"/>
    </xf>
    <xf numFmtId="0" fontId="40" fillId="0" borderId="0" xfId="0" applyFont="1"/>
    <xf numFmtId="0" fontId="0" fillId="0" borderId="0" xfId="0" applyAlignment="1">
      <alignment vertical="center"/>
    </xf>
    <xf numFmtId="0" fontId="3" fillId="0" borderId="0" xfId="0" applyFont="1" applyAlignment="1">
      <alignment vertical="center"/>
    </xf>
    <xf numFmtId="0" fontId="3" fillId="0" borderId="0" xfId="0" applyFont="1" applyAlignment="1">
      <alignment vertical="center" wrapText="1"/>
    </xf>
    <xf numFmtId="9" fontId="28" fillId="0" borderId="0" xfId="0" applyNumberFormat="1" applyFont="1" applyAlignment="1">
      <alignment vertical="center"/>
    </xf>
    <xf numFmtId="0" fontId="0" fillId="0" borderId="0" xfId="0" applyAlignment="1">
      <alignment horizontal="center" vertical="top" wrapText="1"/>
    </xf>
    <xf numFmtId="0" fontId="32" fillId="0" borderId="0" xfId="0" applyFont="1" applyAlignment="1">
      <alignment horizontal="left" vertical="center"/>
    </xf>
    <xf numFmtId="0" fontId="3" fillId="0" borderId="0" xfId="0" applyFont="1" applyAlignment="1">
      <alignment horizontal="center" vertical="top"/>
    </xf>
    <xf numFmtId="0" fontId="41" fillId="0" borderId="0" xfId="0" applyFont="1" applyAlignment="1">
      <alignment horizontal="center" vertical="top" wrapText="1"/>
    </xf>
    <xf numFmtId="0" fontId="0" fillId="35" borderId="0" xfId="0" applyFill="1" applyAlignment="1">
      <alignment vertical="center"/>
    </xf>
    <xf numFmtId="0" fontId="42" fillId="0" borderId="0" xfId="0" applyFont="1" applyAlignment="1">
      <alignment horizontal="center"/>
    </xf>
    <xf numFmtId="0" fontId="42" fillId="0" borderId="0" xfId="0" applyFont="1"/>
    <xf numFmtId="0" fontId="0" fillId="0" borderId="0" xfId="0" applyAlignment="1">
      <alignment horizontal="center" vertical="center"/>
    </xf>
    <xf numFmtId="0" fontId="28" fillId="0" borderId="10" xfId="0" applyFont="1" applyBorder="1" applyAlignment="1">
      <alignment horizontal="center" vertical="center"/>
    </xf>
    <xf numFmtId="3" fontId="28" fillId="0" borderId="10" xfId="0" applyNumberFormat="1" applyFont="1" applyBorder="1" applyAlignment="1">
      <alignment horizontal="center" vertical="center"/>
    </xf>
    <xf numFmtId="3" fontId="6" fillId="0" borderId="10" xfId="1" applyNumberFormat="1" applyFont="1" applyBorder="1" applyAlignment="1">
      <alignment horizontal="center" vertical="center"/>
    </xf>
    <xf numFmtId="164" fontId="29" fillId="0" borderId="0" xfId="1" applyNumberFormat="1" applyFont="1"/>
    <xf numFmtId="164" fontId="7" fillId="0" borderId="0" xfId="1" applyNumberFormat="1" applyFont="1"/>
    <xf numFmtId="9" fontId="28" fillId="0" borderId="0" xfId="0" applyNumberFormat="1" applyFont="1"/>
    <xf numFmtId="0" fontId="28" fillId="39" borderId="9" xfId="0" applyFont="1" applyFill="1" applyBorder="1" applyAlignment="1">
      <alignment horizontal="center" vertical="center"/>
    </xf>
    <xf numFmtId="0" fontId="28" fillId="39" borderId="24" xfId="0" applyFont="1" applyFill="1" applyBorder="1" applyAlignment="1">
      <alignment horizontal="center" vertical="center"/>
    </xf>
    <xf numFmtId="0" fontId="44" fillId="0" borderId="0" xfId="0" applyFont="1" applyAlignment="1">
      <alignment horizontal="right"/>
    </xf>
    <xf numFmtId="17" fontId="45" fillId="0" borderId="0" xfId="0" applyNumberFormat="1" applyFont="1" applyAlignment="1">
      <alignment horizontal="right"/>
    </xf>
    <xf numFmtId="0" fontId="43" fillId="34" borderId="0" xfId="0" applyFont="1" applyFill="1" applyAlignment="1">
      <alignment vertical="center"/>
    </xf>
    <xf numFmtId="9" fontId="3" fillId="0" borderId="0" xfId="0" applyNumberFormat="1" applyFont="1" applyAlignment="1">
      <alignment vertical="center"/>
    </xf>
    <xf numFmtId="0" fontId="35" fillId="0" borderId="3" xfId="2" applyFont="1" applyBorder="1" applyAlignment="1">
      <alignment horizontal="center" vertical="center" wrapText="1" readingOrder="1"/>
    </xf>
    <xf numFmtId="164" fontId="36" fillId="0" borderId="3" xfId="1" applyNumberFormat="1" applyFont="1" applyFill="1" applyBorder="1" applyAlignment="1">
      <alignment horizontal="center" vertical="center" wrapText="1" readingOrder="1"/>
    </xf>
    <xf numFmtId="0" fontId="37" fillId="0" borderId="3" xfId="0" applyFont="1" applyBorder="1" applyAlignment="1">
      <alignment horizontal="center" vertical="center"/>
    </xf>
    <xf numFmtId="0" fontId="37" fillId="0" borderId="0" xfId="0" applyFont="1" applyAlignment="1">
      <alignment horizontal="center" vertical="center"/>
    </xf>
    <xf numFmtId="0" fontId="3" fillId="0" borderId="8" xfId="0" applyFont="1" applyBorder="1" applyAlignment="1">
      <alignment vertical="center"/>
    </xf>
    <xf numFmtId="0" fontId="3" fillId="0" borderId="9" xfId="0" applyFont="1" applyBorder="1" applyAlignment="1">
      <alignment vertical="center"/>
    </xf>
    <xf numFmtId="3" fontId="0" fillId="0" borderId="0" xfId="0" applyNumberFormat="1" applyAlignment="1">
      <alignment vertical="center"/>
    </xf>
    <xf numFmtId="0" fontId="3" fillId="0" borderId="10" xfId="0" applyFont="1" applyBorder="1" applyAlignment="1">
      <alignment vertical="center"/>
    </xf>
    <xf numFmtId="0" fontId="37" fillId="0" borderId="0" xfId="0" applyFont="1" applyAlignment="1">
      <alignment vertical="center"/>
    </xf>
    <xf numFmtId="0" fontId="37" fillId="0" borderId="3" xfId="0" applyFont="1" applyBorder="1" applyAlignment="1">
      <alignment vertical="center"/>
    </xf>
    <xf numFmtId="0" fontId="3" fillId="0" borderId="25" xfId="0" applyFont="1" applyBorder="1" applyAlignment="1">
      <alignment vertical="center"/>
    </xf>
    <xf numFmtId="0" fontId="3" fillId="0" borderId="0" xfId="0" applyFont="1" applyAlignment="1">
      <alignment horizontal="center" vertical="center"/>
    </xf>
    <xf numFmtId="0" fontId="3" fillId="0" borderId="8" xfId="0" applyFont="1" applyBorder="1" applyAlignment="1">
      <alignment horizontal="center" vertical="center"/>
    </xf>
    <xf numFmtId="0" fontId="3" fillId="0" borderId="9" xfId="0" applyFont="1" applyBorder="1" applyAlignment="1">
      <alignment horizontal="center" vertical="center"/>
    </xf>
    <xf numFmtId="0" fontId="3" fillId="0" borderId="25" xfId="0" applyFont="1" applyBorder="1" applyAlignment="1">
      <alignment horizontal="center" vertical="center"/>
    </xf>
    <xf numFmtId="0" fontId="3" fillId="0" borderId="10" xfId="0" applyFont="1" applyBorder="1" applyAlignment="1">
      <alignment horizontal="center" vertical="center"/>
    </xf>
    <xf numFmtId="0" fontId="0" fillId="0" borderId="0" xfId="0" applyAlignment="1">
      <alignment horizontal="center"/>
    </xf>
    <xf numFmtId="0" fontId="0" fillId="0" borderId="0" xfId="0" applyAlignment="1">
      <alignment wrapText="1"/>
    </xf>
    <xf numFmtId="0" fontId="46" fillId="0" borderId="0" xfId="0" applyFont="1" applyAlignment="1">
      <alignment horizontal="center" vertical="center" wrapText="1"/>
    </xf>
    <xf numFmtId="0" fontId="42" fillId="36" borderId="0" xfId="0" applyFont="1" applyFill="1" applyAlignment="1">
      <alignment vertical="center" wrapText="1"/>
    </xf>
    <xf numFmtId="0" fontId="42" fillId="37" borderId="0" xfId="0" applyFont="1" applyFill="1" applyAlignment="1">
      <alignment vertical="center" wrapText="1"/>
    </xf>
    <xf numFmtId="0" fontId="42" fillId="38" borderId="0" xfId="0" applyFont="1" applyFill="1" applyAlignment="1">
      <alignment vertical="center" wrapText="1"/>
    </xf>
    <xf numFmtId="0" fontId="42" fillId="36" borderId="0" xfId="0" applyFont="1" applyFill="1" applyAlignment="1">
      <alignment horizontal="left" vertical="center" wrapText="1"/>
    </xf>
    <xf numFmtId="0" fontId="42" fillId="36" borderId="0" xfId="0" applyFont="1" applyFill="1" applyAlignment="1">
      <alignment horizontal="center" vertical="center" wrapText="1"/>
    </xf>
    <xf numFmtId="0" fontId="42" fillId="37" borderId="0" xfId="0" applyFont="1" applyFill="1" applyAlignment="1">
      <alignment horizontal="left" vertical="center" wrapText="1"/>
    </xf>
    <xf numFmtId="0" fontId="42" fillId="37" borderId="0" xfId="0" applyFont="1" applyFill="1" applyAlignment="1">
      <alignment horizontal="center" vertical="center" wrapText="1"/>
    </xf>
    <xf numFmtId="0" fontId="47" fillId="0" borderId="0" xfId="0" applyFont="1" applyAlignment="1">
      <alignment vertical="center"/>
    </xf>
    <xf numFmtId="0" fontId="4" fillId="40" borderId="45" xfId="0" applyFont="1" applyFill="1" applyBorder="1" applyAlignment="1">
      <alignment vertical="top"/>
    </xf>
    <xf numFmtId="0" fontId="4" fillId="40" borderId="45" xfId="0" applyFont="1" applyFill="1" applyBorder="1" applyAlignment="1">
      <alignment horizontal="center" vertical="top" wrapText="1"/>
    </xf>
    <xf numFmtId="0" fontId="3" fillId="39" borderId="9" xfId="0" applyFont="1" applyFill="1" applyBorder="1" applyAlignment="1">
      <alignment horizontal="center" vertical="center"/>
    </xf>
    <xf numFmtId="0" fontId="37" fillId="0" borderId="0" xfId="0" applyFont="1" applyAlignment="1">
      <alignment horizontal="center" vertical="top"/>
    </xf>
    <xf numFmtId="0" fontId="28" fillId="0" borderId="34" xfId="0" applyFont="1" applyBorder="1" applyAlignment="1">
      <alignment vertical="center"/>
    </xf>
    <xf numFmtId="9" fontId="28" fillId="0" borderId="9" xfId="0" applyNumberFormat="1" applyFont="1" applyBorder="1" applyAlignment="1">
      <alignment vertical="center"/>
    </xf>
    <xf numFmtId="9" fontId="28" fillId="0" borderId="35" xfId="0" applyNumberFormat="1" applyFont="1" applyBorder="1" applyAlignment="1">
      <alignment vertical="center"/>
    </xf>
    <xf numFmtId="0" fontId="28" fillId="0" borderId="49" xfId="0" applyFont="1" applyBorder="1" applyAlignment="1">
      <alignment vertical="center"/>
    </xf>
    <xf numFmtId="0" fontId="28" fillId="0" borderId="50" xfId="0" applyFont="1" applyBorder="1" applyAlignment="1">
      <alignment vertical="center"/>
    </xf>
    <xf numFmtId="0" fontId="28" fillId="0" borderId="51" xfId="0" applyFont="1" applyBorder="1" applyAlignment="1">
      <alignment vertical="center"/>
    </xf>
    <xf numFmtId="0" fontId="37" fillId="0" borderId="46" xfId="0" applyFont="1" applyBorder="1" applyAlignment="1">
      <alignment horizontal="center" vertical="top"/>
    </xf>
    <xf numFmtId="0" fontId="4" fillId="0" borderId="47" xfId="0" applyFont="1" applyBorder="1" applyAlignment="1">
      <alignment horizontal="center" vertical="top" wrapText="1"/>
    </xf>
    <xf numFmtId="0" fontId="4" fillId="0" borderId="48" xfId="0" applyFont="1" applyBorder="1" applyAlignment="1">
      <alignment horizontal="center" vertical="top" wrapText="1"/>
    </xf>
    <xf numFmtId="0" fontId="41" fillId="0" borderId="0" xfId="0" applyFont="1" applyAlignment="1">
      <alignment horizontal="center" vertical="center"/>
    </xf>
    <xf numFmtId="0" fontId="1" fillId="0" borderId="0" xfId="0" applyFont="1" applyAlignment="1">
      <alignment horizontal="center"/>
    </xf>
    <xf numFmtId="0" fontId="43" fillId="0" borderId="0" xfId="0" applyFont="1" applyAlignment="1">
      <alignment horizontal="center"/>
    </xf>
    <xf numFmtId="0" fontId="43" fillId="0" borderId="0" xfId="0" applyFont="1"/>
    <xf numFmtId="0" fontId="52" fillId="0" borderId="0" xfId="0" applyFont="1" applyAlignment="1">
      <alignment horizontal="center"/>
    </xf>
    <xf numFmtId="0" fontId="52" fillId="0" borderId="0" xfId="0" applyFont="1"/>
    <xf numFmtId="0" fontId="4" fillId="0" borderId="0" xfId="0" applyFont="1"/>
    <xf numFmtId="0" fontId="28" fillId="0" borderId="0" xfId="0" applyFont="1" applyAlignment="1">
      <alignment horizontal="left" vertical="top" wrapText="1"/>
    </xf>
    <xf numFmtId="0" fontId="28" fillId="0" borderId="0" xfId="0" quotePrefix="1" applyFont="1" applyAlignment="1">
      <alignment horizontal="left" vertical="center" wrapText="1"/>
    </xf>
    <xf numFmtId="0" fontId="4" fillId="0" borderId="0" xfId="0" applyFont="1" applyAlignment="1">
      <alignment vertical="top"/>
    </xf>
    <xf numFmtId="0" fontId="4" fillId="0" borderId="0" xfId="0" applyFont="1" applyAlignment="1">
      <alignment horizontal="center" vertical="top" wrapText="1"/>
    </xf>
    <xf numFmtId="0" fontId="57" fillId="0" borderId="0" xfId="0" applyFont="1" applyAlignment="1">
      <alignment vertical="center"/>
    </xf>
    <xf numFmtId="0" fontId="56" fillId="0" borderId="0" xfId="0" applyFont="1" applyAlignment="1">
      <alignment horizontal="left" vertical="center" wrapText="1"/>
    </xf>
    <xf numFmtId="0" fontId="55" fillId="0" borderId="0" xfId="0" applyFont="1" applyAlignment="1">
      <alignment horizontal="center" vertical="center" wrapText="1"/>
    </xf>
    <xf numFmtId="0" fontId="33" fillId="0" borderId="0" xfId="0" applyFont="1" applyAlignment="1">
      <alignment vertical="center"/>
    </xf>
    <xf numFmtId="0" fontId="58" fillId="0" borderId="0" xfId="0" applyFont="1" applyAlignment="1">
      <alignment vertical="center"/>
    </xf>
    <xf numFmtId="0" fontId="42" fillId="0" borderId="0" xfId="0" applyFont="1" applyAlignment="1">
      <alignment horizontal="center" vertical="center" wrapText="1"/>
    </xf>
    <xf numFmtId="0" fontId="48" fillId="0" borderId="52" xfId="0" applyFont="1" applyBorder="1" applyAlignment="1">
      <alignment vertical="center"/>
    </xf>
    <xf numFmtId="0" fontId="60" fillId="0" borderId="0" xfId="0" applyFont="1" applyAlignment="1">
      <alignment horizontal="left" vertical="center"/>
    </xf>
    <xf numFmtId="0" fontId="6" fillId="0" borderId="0" xfId="0" applyFont="1" applyAlignment="1">
      <alignment vertical="center"/>
    </xf>
    <xf numFmtId="0" fontId="7" fillId="0" borderId="0" xfId="0" applyFont="1" applyAlignment="1">
      <alignment vertical="center"/>
    </xf>
    <xf numFmtId="0" fontId="28" fillId="42" borderId="53" xfId="50" applyFont="1" applyFill="1" applyBorder="1" applyAlignment="1">
      <alignment wrapText="1"/>
    </xf>
    <xf numFmtId="0" fontId="61" fillId="42" borderId="54" xfId="50" applyFont="1" applyFill="1" applyBorder="1" applyAlignment="1">
      <alignment horizontal="center" wrapText="1"/>
    </xf>
    <xf numFmtId="0" fontId="61" fillId="42" borderId="0" xfId="50" applyFont="1" applyFill="1" applyAlignment="1">
      <alignment horizontal="center" wrapText="1"/>
    </xf>
    <xf numFmtId="0" fontId="2" fillId="0" borderId="0" xfId="50"/>
    <xf numFmtId="0" fontId="29" fillId="42" borderId="3" xfId="50" applyFont="1" applyFill="1" applyBorder="1" applyAlignment="1">
      <alignment horizontal="center" vertical="top" wrapText="1"/>
    </xf>
    <xf numFmtId="0" fontId="64" fillId="42" borderId="3" xfId="50" applyFont="1" applyFill="1" applyBorder="1" applyAlignment="1">
      <alignment horizontal="center" vertical="top" wrapText="1"/>
    </xf>
    <xf numFmtId="0" fontId="4" fillId="0" borderId="0" xfId="50" applyFont="1" applyAlignment="1">
      <alignment horizontal="center" vertical="top"/>
    </xf>
    <xf numFmtId="0" fontId="65" fillId="43" borderId="3" xfId="50" applyFont="1" applyFill="1" applyBorder="1" applyAlignment="1">
      <alignment horizontal="left" wrapText="1"/>
    </xf>
    <xf numFmtId="0" fontId="62" fillId="43" borderId="3" xfId="50" applyFont="1" applyFill="1" applyBorder="1" applyAlignment="1">
      <alignment horizontal="center" wrapText="1"/>
    </xf>
    <xf numFmtId="0" fontId="66" fillId="41" borderId="8" xfId="50" applyFont="1" applyFill="1" applyBorder="1" applyAlignment="1">
      <alignment wrapText="1"/>
    </xf>
    <xf numFmtId="0" fontId="63" fillId="0" borderId="8" xfId="50" applyFont="1" applyBorder="1" applyAlignment="1">
      <alignment horizontal="center" wrapText="1"/>
    </xf>
    <xf numFmtId="0" fontId="67" fillId="41" borderId="9" xfId="50" applyFont="1" applyFill="1" applyBorder="1" applyAlignment="1">
      <alignment wrapText="1"/>
    </xf>
    <xf numFmtId="0" fontId="63" fillId="0" borderId="9" xfId="50" applyFont="1" applyBorder="1" applyAlignment="1">
      <alignment horizontal="center" wrapText="1"/>
    </xf>
    <xf numFmtId="0" fontId="68" fillId="41" borderId="9" xfId="50" applyFont="1" applyFill="1" applyBorder="1" applyAlignment="1">
      <alignment wrapText="1"/>
    </xf>
    <xf numFmtId="0" fontId="69" fillId="41" borderId="9" xfId="50" applyFont="1" applyFill="1" applyBorder="1" applyAlignment="1">
      <alignment wrapText="1"/>
    </xf>
    <xf numFmtId="0" fontId="70" fillId="41" borderId="10" xfId="50" applyFont="1" applyFill="1" applyBorder="1" applyAlignment="1">
      <alignment wrapText="1"/>
    </xf>
    <xf numFmtId="0" fontId="63" fillId="0" borderId="10" xfId="50" applyFont="1" applyBorder="1" applyAlignment="1">
      <alignment horizontal="center" wrapText="1"/>
    </xf>
    <xf numFmtId="0" fontId="65" fillId="43" borderId="3" xfId="50" applyFont="1" applyFill="1" applyBorder="1" applyAlignment="1">
      <alignment horizontal="center" wrapText="1"/>
    </xf>
    <xf numFmtId="0" fontId="71" fillId="41" borderId="8" xfId="50" applyFont="1" applyFill="1" applyBorder="1" applyAlignment="1">
      <alignment wrapText="1"/>
    </xf>
    <xf numFmtId="0" fontId="71" fillId="41" borderId="9" xfId="50" applyFont="1" applyFill="1" applyBorder="1" applyAlignment="1">
      <alignment wrapText="1"/>
    </xf>
    <xf numFmtId="0" fontId="71" fillId="41" borderId="10" xfId="50" applyFont="1" applyFill="1" applyBorder="1" applyAlignment="1">
      <alignment wrapText="1"/>
    </xf>
    <xf numFmtId="10" fontId="63" fillId="0" borderId="8" xfId="50" applyNumberFormat="1" applyFont="1" applyBorder="1" applyAlignment="1">
      <alignment horizontal="center" wrapText="1"/>
    </xf>
    <xf numFmtId="9" fontId="63" fillId="0" borderId="8" xfId="50" applyNumberFormat="1" applyFont="1" applyBorder="1" applyAlignment="1">
      <alignment horizontal="center" wrapText="1"/>
    </xf>
    <xf numFmtId="0" fontId="28" fillId="0" borderId="8" xfId="50" applyFont="1" applyBorder="1" applyAlignment="1">
      <alignment wrapText="1"/>
    </xf>
    <xf numFmtId="10" fontId="63" fillId="0" borderId="9" xfId="50" applyNumberFormat="1" applyFont="1" applyBorder="1" applyAlignment="1">
      <alignment horizontal="center" wrapText="1"/>
    </xf>
    <xf numFmtId="9" fontId="63" fillId="0" borderId="9" xfId="50" applyNumberFormat="1" applyFont="1" applyBorder="1" applyAlignment="1">
      <alignment horizontal="center" wrapText="1"/>
    </xf>
    <xf numFmtId="0" fontId="28" fillId="0" borderId="9" xfId="50" applyFont="1" applyBorder="1" applyAlignment="1">
      <alignment wrapText="1"/>
    </xf>
    <xf numFmtId="0" fontId="71" fillId="41" borderId="25" xfId="50" applyFont="1" applyFill="1" applyBorder="1" applyAlignment="1">
      <alignment wrapText="1"/>
    </xf>
    <xf numFmtId="10" fontId="63" fillId="0" borderId="25" xfId="50" applyNumberFormat="1" applyFont="1" applyBorder="1" applyAlignment="1">
      <alignment horizontal="center" wrapText="1"/>
    </xf>
    <xf numFmtId="9" fontId="63" fillId="0" borderId="25" xfId="50" applyNumberFormat="1" applyFont="1" applyBorder="1" applyAlignment="1">
      <alignment horizontal="center" wrapText="1"/>
    </xf>
    <xf numFmtId="0" fontId="28" fillId="0" borderId="25" xfId="50" applyFont="1" applyBorder="1" applyAlignment="1">
      <alignment wrapText="1"/>
    </xf>
    <xf numFmtId="0" fontId="28" fillId="0" borderId="10" xfId="50" applyFont="1" applyBorder="1" applyAlignment="1">
      <alignment wrapText="1"/>
    </xf>
    <xf numFmtId="10" fontId="63" fillId="0" borderId="10" xfId="50" applyNumberFormat="1" applyFont="1" applyBorder="1" applyAlignment="1">
      <alignment horizontal="center" wrapText="1"/>
    </xf>
    <xf numFmtId="0" fontId="71" fillId="0" borderId="0" xfId="50" applyFont="1" applyAlignment="1">
      <alignment wrapText="1"/>
    </xf>
    <xf numFmtId="10" fontId="63" fillId="0" borderId="0" xfId="50" applyNumberFormat="1" applyFont="1" applyAlignment="1">
      <alignment horizontal="center" wrapText="1"/>
    </xf>
    <xf numFmtId="0" fontId="28" fillId="0" borderId="0" xfId="50" applyFont="1" applyAlignment="1">
      <alignment wrapText="1"/>
    </xf>
    <xf numFmtId="164" fontId="2" fillId="0" borderId="0" xfId="52" applyNumberFormat="1" applyFont="1" applyFill="1" applyBorder="1"/>
    <xf numFmtId="164" fontId="2" fillId="0" borderId="0" xfId="52" applyNumberFormat="1" applyFont="1" applyFill="1" applyBorder="1" applyAlignment="1"/>
    <xf numFmtId="0" fontId="4" fillId="0" borderId="3" xfId="50" applyFont="1" applyBorder="1" applyAlignment="1">
      <alignment vertical="top"/>
    </xf>
    <xf numFmtId="0" fontId="2" fillId="0" borderId="3" xfId="50" applyBorder="1"/>
    <xf numFmtId="164" fontId="2" fillId="0" borderId="3" xfId="52" applyNumberFormat="1" applyFont="1" applyBorder="1"/>
    <xf numFmtId="0" fontId="2" fillId="0" borderId="3" xfId="50" applyBorder="1" applyAlignment="1">
      <alignment horizontal="left"/>
    </xf>
    <xf numFmtId="164" fontId="2" fillId="0" borderId="3" xfId="52" applyNumberFormat="1" applyFont="1" applyFill="1" applyBorder="1"/>
    <xf numFmtId="0" fontId="2" fillId="0" borderId="8" xfId="50" applyBorder="1" applyAlignment="1">
      <alignment horizontal="left" indent="2"/>
    </xf>
    <xf numFmtId="164" fontId="2" fillId="0" borderId="8" xfId="52" applyNumberFormat="1" applyFont="1" applyBorder="1"/>
    <xf numFmtId="0" fontId="2" fillId="0" borderId="9" xfId="50" applyBorder="1" applyAlignment="1">
      <alignment horizontal="left" indent="2"/>
    </xf>
    <xf numFmtId="164" fontId="2" fillId="0" borderId="9" xfId="52" applyNumberFormat="1" applyFont="1" applyBorder="1"/>
    <xf numFmtId="0" fontId="2" fillId="0" borderId="10" xfId="50" applyBorder="1" applyAlignment="1">
      <alignment horizontal="left" indent="2"/>
    </xf>
    <xf numFmtId="164" fontId="2" fillId="0" borderId="10" xfId="52" applyNumberFormat="1" applyFont="1" applyBorder="1"/>
    <xf numFmtId="164" fontId="2" fillId="0" borderId="8" xfId="52" applyNumberFormat="1" applyFont="1" applyFill="1" applyBorder="1"/>
    <xf numFmtId="164" fontId="2" fillId="0" borderId="9" xfId="52" applyNumberFormat="1" applyFont="1" applyFill="1" applyBorder="1"/>
    <xf numFmtId="164" fontId="2" fillId="0" borderId="10" xfId="52" applyNumberFormat="1" applyFont="1" applyFill="1" applyBorder="1"/>
    <xf numFmtId="164" fontId="2" fillId="0" borderId="8" xfId="52" applyNumberFormat="1" applyFont="1" applyFill="1" applyBorder="1" applyAlignment="1"/>
    <xf numFmtId="164" fontId="2" fillId="0" borderId="9" xfId="52" applyNumberFormat="1" applyFont="1" applyFill="1" applyBorder="1" applyAlignment="1"/>
    <xf numFmtId="164" fontId="2" fillId="0" borderId="10" xfId="52" applyNumberFormat="1" applyFont="1" applyFill="1" applyBorder="1" applyAlignment="1"/>
    <xf numFmtId="0" fontId="2" fillId="0" borderId="8" xfId="50" applyBorder="1"/>
    <xf numFmtId="0" fontId="2" fillId="0" borderId="9" xfId="50" applyBorder="1"/>
    <xf numFmtId="0" fontId="2" fillId="0" borderId="10" xfId="50" applyBorder="1"/>
    <xf numFmtId="0" fontId="64" fillId="42" borderId="0" xfId="50" applyFont="1" applyFill="1" applyAlignment="1">
      <alignment horizontal="center" vertical="top" wrapText="1"/>
    </xf>
    <xf numFmtId="164" fontId="2" fillId="0" borderId="0" xfId="52" applyNumberFormat="1" applyFont="1" applyBorder="1"/>
    <xf numFmtId="164" fontId="2" fillId="0" borderId="3" xfId="1" applyNumberFormat="1" applyBorder="1"/>
    <xf numFmtId="164" fontId="2" fillId="0" borderId="8" xfId="1" applyNumberFormat="1" applyBorder="1"/>
    <xf numFmtId="164" fontId="2" fillId="0" borderId="9" xfId="1" applyNumberFormat="1" applyBorder="1"/>
    <xf numFmtId="164" fontId="2" fillId="0" borderId="10" xfId="1" applyNumberFormat="1" applyBorder="1"/>
    <xf numFmtId="0" fontId="0" fillId="0" borderId="3" xfId="50" applyFont="1" applyBorder="1"/>
    <xf numFmtId="0" fontId="78" fillId="0" borderId="0" xfId="50" applyFont="1"/>
    <xf numFmtId="0" fontId="78" fillId="0" borderId="8" xfId="50" applyFont="1" applyBorder="1"/>
    <xf numFmtId="0" fontId="78" fillId="0" borderId="9" xfId="50" applyFont="1" applyBorder="1"/>
    <xf numFmtId="0" fontId="78" fillId="0" borderId="10" xfId="50" applyFont="1" applyBorder="1"/>
    <xf numFmtId="0" fontId="77" fillId="0" borderId="8" xfId="50" applyFont="1" applyBorder="1" applyAlignment="1">
      <alignment horizontal="left" wrapText="1" indent="2"/>
    </xf>
    <xf numFmtId="0" fontId="77" fillId="0" borderId="9" xfId="50" applyFont="1" applyBorder="1" applyAlignment="1">
      <alignment horizontal="left" wrapText="1" indent="2"/>
    </xf>
    <xf numFmtId="0" fontId="77" fillId="0" borderId="10" xfId="50" applyFont="1" applyBorder="1" applyAlignment="1">
      <alignment horizontal="left" wrapText="1" indent="2"/>
    </xf>
    <xf numFmtId="0" fontId="28" fillId="0" borderId="0" xfId="0" applyFont="1" applyAlignment="1">
      <alignment horizontal="left" vertical="top" wrapText="1"/>
    </xf>
    <xf numFmtId="0" fontId="28" fillId="0" borderId="0" xfId="0" applyFont="1" applyAlignment="1">
      <alignment horizontal="left" vertical="center" wrapText="1"/>
    </xf>
    <xf numFmtId="0" fontId="31" fillId="0" borderId="0" xfId="0" applyFont="1" applyAlignment="1">
      <alignment horizontal="left" vertical="center" wrapText="1"/>
    </xf>
    <xf numFmtId="0" fontId="28" fillId="0" borderId="0" xfId="0" quotePrefix="1" applyFont="1" applyAlignment="1">
      <alignment horizontal="left" vertical="center" wrapText="1"/>
    </xf>
    <xf numFmtId="0" fontId="28" fillId="0" borderId="0" xfId="0" quotePrefix="1" applyFont="1" applyAlignment="1">
      <alignment horizontal="left" vertical="top" wrapText="1"/>
    </xf>
    <xf numFmtId="0" fontId="36" fillId="0" borderId="3" xfId="2" applyFont="1" applyBorder="1" applyAlignment="1">
      <alignment horizontal="center" vertical="top" wrapText="1" readingOrder="1"/>
    </xf>
    <xf numFmtId="0" fontId="35" fillId="0" borderId="3" xfId="2" applyFont="1" applyBorder="1" applyAlignment="1">
      <alignment horizontal="left" vertical="center" wrapText="1" readingOrder="1"/>
    </xf>
    <xf numFmtId="0" fontId="40" fillId="2" borderId="3" xfId="0" quotePrefix="1" applyFont="1" applyFill="1" applyBorder="1" applyAlignment="1">
      <alignment horizontal="left" vertical="center" wrapText="1"/>
    </xf>
    <xf numFmtId="0" fontId="40" fillId="2" borderId="3" xfId="0" applyFont="1" applyFill="1" applyBorder="1" applyAlignment="1">
      <alignment horizontal="left" vertical="center" wrapText="1"/>
    </xf>
    <xf numFmtId="0" fontId="3" fillId="0" borderId="0" xfId="0" applyFont="1" applyAlignment="1">
      <alignment horizontal="left" vertical="center" wrapText="1"/>
    </xf>
    <xf numFmtId="0" fontId="28" fillId="2" borderId="0" xfId="0" applyFont="1" applyFill="1" applyAlignment="1">
      <alignment horizontal="left" vertical="center" wrapText="1"/>
    </xf>
    <xf numFmtId="0" fontId="0" fillId="0" borderId="0" xfId="0" applyNumberFormat="1"/>
  </cellXfs>
  <cellStyles count="53">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Comma 2" xfId="52" xr:uid="{7CA05F3A-7ECA-4C0A-BD9D-4B88D5348655}"/>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rmal 2" xfId="44" xr:uid="{E94AAFF1-15CF-464E-AED1-5F3A07E121B1}"/>
    <cellStyle name="Normal 2 2" xfId="50" xr:uid="{CEBE933C-6DD0-4475-B24A-E11C5EBBC115}"/>
    <cellStyle name="Normal 2 3" xfId="51" xr:uid="{410236E3-AB75-4EFD-83E3-53349E7830E7}"/>
    <cellStyle name="Normal 2 4" xfId="48" xr:uid="{0EB529F9-F3FF-42A6-AD10-E9D21C9AA3F6}"/>
    <cellStyle name="Normal 3" xfId="2" xr:uid="{4A589891-9AAB-4AB4-A05E-6EFBE4760DDA}"/>
    <cellStyle name="Normal 3 2" xfId="47" xr:uid="{1731923B-3A7E-4EED-A928-C384FB28126D}"/>
    <cellStyle name="Normal 4" xfId="49" xr:uid="{BE382B2E-300B-4EF1-812B-C0C3764F42BE}"/>
    <cellStyle name="Normal 5" xfId="46" xr:uid="{2AA3B214-E5E6-4012-8E48-68976C8FB660}"/>
    <cellStyle name="Note" xfId="17" builtinId="10" customBuiltin="1"/>
    <cellStyle name="Output" xfId="12" builtinId="21" customBuiltin="1"/>
    <cellStyle name="Percent" xfId="45" builtinId="5"/>
    <cellStyle name="Title" xfId="3" builtinId="15" customBuiltin="1"/>
    <cellStyle name="Total" xfId="19" builtinId="25" customBuiltin="1"/>
    <cellStyle name="Warning Text" xfId="16" builtinId="11" customBuiltin="1"/>
  </cellStyles>
  <dxfs count="86">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Aptos Narrow"/>
        <family val="2"/>
        <scheme val="minor"/>
      </font>
      <alignment horizontal="left" vertical="bottom" textRotation="0" wrapText="0" indent="2"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font>
        <b/>
      </font>
      <alignment vertical="top"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family val="2"/>
        <scheme val="none"/>
      </font>
      <numFmt numFmtId="14" formatCode="0.00%"/>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Arial"/>
        <family val="2"/>
        <scheme val="none"/>
      </font>
      <numFmt numFmtId="14" formatCode="0.00%"/>
      <alignment horizontal="center" vertical="bottom"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2"/>
        <color rgb="FF38761D"/>
        <name val="Arial"/>
        <family val="2"/>
        <scheme val="none"/>
      </font>
      <fill>
        <patternFill patternType="solid">
          <fgColor indexed="64"/>
          <bgColor rgb="FFF7F2BE"/>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right style="medium">
          <color rgb="FF6AA84F"/>
        </right>
        <bottom style="medium">
          <color rgb="FF6AA84F"/>
        </bottom>
      </border>
    </dxf>
    <dxf>
      <font>
        <b val="0"/>
        <i val="0"/>
        <strike val="0"/>
        <condense val="0"/>
        <extend val="0"/>
        <outline val="0"/>
        <shadow val="0"/>
        <u val="none"/>
        <vertAlign val="baseline"/>
        <sz val="10"/>
        <color theme="1"/>
        <name val="Arial"/>
        <family val="2"/>
        <scheme val="none"/>
      </font>
      <alignment horizontal="general" vertical="bottom" textRotation="0" wrapText="1" indent="0" justifyLastLine="0" shrinkToFit="0" readingOrder="0"/>
    </dxf>
    <dxf>
      <border outline="0">
        <bottom style="medium">
          <color rgb="FF6AA84F"/>
        </bottom>
      </border>
    </dxf>
    <dxf>
      <font>
        <b val="0"/>
        <i val="0"/>
        <strike val="0"/>
        <condense val="0"/>
        <extend val="0"/>
        <outline val="0"/>
        <shadow val="0"/>
        <u val="none"/>
        <vertAlign val="baseline"/>
        <sz val="12"/>
        <color rgb="FFFFFFFF"/>
        <name val="Arial"/>
        <family val="2"/>
        <scheme val="none"/>
      </font>
      <fill>
        <patternFill patternType="solid">
          <fgColor indexed="64"/>
          <bgColor rgb="FF6AA84F"/>
        </patternFill>
      </fill>
      <alignment horizontal="center" vertical="bottom" textRotation="0" wrapText="1" indent="0" justifyLastLine="0" shrinkToFit="0" readingOrder="0"/>
      <border diagonalUp="0" diagonalDown="0" outline="0">
        <left style="medium">
          <color rgb="FF6AA84F"/>
        </left>
        <right style="medium">
          <color rgb="FF6AA84F"/>
        </right>
        <top/>
        <bottom/>
      </border>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F5F5F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F5F5F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F5F5F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F5F5F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F5F5F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F5F5F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F5F5F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F5F5F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F5F5F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F5F5F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F5F5F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F5F5F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F5F5F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F5F5F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F5F5F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F5F5F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F5F5F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F5F5F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F5F5F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F5F5F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F5F5F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F5F5F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F5F5F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F5F5F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F5F5F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F5F5F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F5F5F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F5F5F5"/>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fill>
        <patternFill patternType="solid">
          <fgColor indexed="64"/>
          <bgColor rgb="FFF5F5F5"/>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val="0"/>
        <i val="0"/>
        <strike val="0"/>
        <condense val="0"/>
        <extend val="0"/>
        <outline val="0"/>
        <shadow val="0"/>
        <u val="none"/>
        <vertAlign val="baseline"/>
        <sz val="9"/>
        <color theme="1"/>
        <name val="Arial"/>
        <family val="2"/>
        <scheme val="none"/>
      </font>
    </dxf>
    <dxf>
      <font>
        <b/>
        <i val="0"/>
        <strike val="0"/>
        <condense val="0"/>
        <extend val="0"/>
        <outline val="0"/>
        <shadow val="0"/>
        <u val="none"/>
        <vertAlign val="baseline"/>
        <sz val="11"/>
        <color theme="1"/>
        <name val="Aptos Narrow"/>
        <scheme val="minor"/>
      </font>
      <alignment horizontal="center" vertical="top" textRotation="0" wrapText="1" indent="0" justifyLastLine="0" shrinkToFit="0" readingOrder="0"/>
    </dxf>
    <dxf>
      <font>
        <b val="0"/>
        <i val="0"/>
        <strike val="0"/>
        <condense val="0"/>
        <extend val="0"/>
        <outline val="0"/>
        <shadow val="0"/>
        <u val="none"/>
        <vertAlign val="baseline"/>
        <sz val="11"/>
        <color theme="1"/>
        <name val="Aptos Display"/>
        <family val="2"/>
        <scheme val="major"/>
      </font>
      <alignment horizontal="center" vertical="bottom" textRotation="0" wrapText="0" indent="0" justifyLastLine="0" shrinkToFit="0" readingOrder="0"/>
    </dxf>
    <dxf>
      <font>
        <b val="0"/>
        <i val="0"/>
        <strike val="0"/>
        <condense val="0"/>
        <extend val="0"/>
        <outline val="0"/>
        <shadow val="0"/>
        <u val="none"/>
        <vertAlign val="baseline"/>
        <sz val="10"/>
        <color theme="1"/>
        <name val="Aptos Display"/>
        <family val="2"/>
        <scheme val="major"/>
      </font>
      <alignment horizontal="center" vertical="bottom" textRotation="0" wrapText="0" indent="0" justifyLastLine="0" shrinkToFit="0" readingOrder="0"/>
    </dxf>
    <dxf>
      <font>
        <b/>
        <i val="0"/>
        <strike val="0"/>
        <condense val="0"/>
        <extend val="0"/>
        <outline val="0"/>
        <shadow val="0"/>
        <u val="none"/>
        <vertAlign val="baseline"/>
        <sz val="11"/>
        <color theme="1"/>
        <name val="Arial"/>
        <family val="2"/>
        <scheme val="none"/>
      </font>
    </dxf>
    <dxf>
      <font>
        <b val="0"/>
        <i val="0"/>
        <sz val="8"/>
        <name val="Arial"/>
        <family val="2"/>
      </font>
    </dxf>
    <dxf>
      <font>
        <b val="0"/>
        <i val="0"/>
        <sz val="6"/>
        <name val="Arial"/>
        <family val="2"/>
      </font>
    </dxf>
  </dxfs>
  <tableStyles count="2" defaultTableStyle="TableStyleMedium2" defaultPivotStyle="PivotStyleLight16">
    <tableStyle name="Slicer Style 1" pivot="0" table="0" count="1" xr9:uid="{E502F86F-CD5B-442F-AC8E-416B8089C5AB}">
      <tableStyleElement type="wholeTable" dxfId="85"/>
    </tableStyle>
    <tableStyle name="Slicer Style 2" pivot="0" table="0" count="1" xr9:uid="{6E64EBCB-8FBB-4B1C-A6B9-15CC3EB90F9C}">
      <tableStyleElement type="wholeTable" dxfId="84"/>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microsoft.com/office/2007/relationships/slicerCache" Target="slicerCaches/slicerCache5.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8.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microsoft.com/office/2007/relationships/slicerCache" Target="slicerCaches/slicerCache4.xml"/><Relationship Id="rId25" Type="http://schemas.openxmlformats.org/officeDocument/2006/relationships/connections" Target="connections.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theme" Target="theme/theme1.xml"/><Relationship Id="rId5" Type="http://schemas.openxmlformats.org/officeDocument/2006/relationships/worksheet" Target="worksheets/sheet5.xml"/><Relationship Id="rId15" Type="http://schemas.microsoft.com/office/2007/relationships/slicerCache" Target="slicerCaches/slicerCache2.xml"/><Relationship Id="rId23" Type="http://schemas.microsoft.com/office/2007/relationships/slicerCache" Target="slicerCaches/slicerCache10.xml"/><Relationship Id="rId28" Type="http://schemas.openxmlformats.org/officeDocument/2006/relationships/calcChain" Target="calcChain.xml"/><Relationship Id="rId10" Type="http://schemas.openxmlformats.org/officeDocument/2006/relationships/pivotCacheDefinition" Target="pivotCache/pivotCacheDefinition1.xml"/><Relationship Id="rId19" Type="http://schemas.microsoft.com/office/2007/relationships/slicerCache" Target="slicerCaches/slicerCache6.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microsoft.com/office/2007/relationships/slicerCache" Target="slicerCaches/slicerCache9.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Ex1.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2.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1015851113042178E-2"/>
          <c:y val="5.9071718182321369E-2"/>
          <c:w val="0.92898414888695779"/>
          <c:h val="0.66333027741846362"/>
        </c:manualLayout>
      </c:layout>
      <c:barChart>
        <c:barDir val="col"/>
        <c:grouping val="clustered"/>
        <c:varyColors val="0"/>
        <c:ser>
          <c:idx val="0"/>
          <c:order val="0"/>
          <c:tx>
            <c:strRef>
              <c:f>'2. Câu lạc bộ'!$D$1</c:f>
              <c:strCache>
                <c:ptCount val="1"/>
                <c:pt idx="0">
                  <c:v> Chỉ tiêu CLB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 Câu lạc bộ'!$C$2:$C$5</c:f>
              <c:strCache>
                <c:ptCount val="4"/>
                <c:pt idx="0">
                  <c:v>Mầm non Biên Hòa </c:v>
                </c:pt>
                <c:pt idx="1">
                  <c:v>Mầm non Long Khánh</c:v>
                </c:pt>
                <c:pt idx="2">
                  <c:v>Tiểu học </c:v>
                </c:pt>
                <c:pt idx="3">
                  <c:v>Trung học </c:v>
                </c:pt>
              </c:strCache>
            </c:strRef>
          </c:cat>
          <c:val>
            <c:numRef>
              <c:f>'2. Câu lạc bộ'!$D$2:$D$5</c:f>
              <c:numCache>
                <c:formatCode>_(* #,##0_);_(* \(#,##0\);_(* "-"??_);_(@_)</c:formatCode>
                <c:ptCount val="4"/>
                <c:pt idx="0">
                  <c:v>120</c:v>
                </c:pt>
                <c:pt idx="1">
                  <c:v>75</c:v>
                </c:pt>
                <c:pt idx="2">
                  <c:v>300</c:v>
                </c:pt>
                <c:pt idx="3" formatCode="General">
                  <c:v>150</c:v>
                </c:pt>
              </c:numCache>
            </c:numRef>
          </c:val>
          <c:extLst>
            <c:ext xmlns:c16="http://schemas.microsoft.com/office/drawing/2014/chart" uri="{C3380CC4-5D6E-409C-BE32-E72D297353CC}">
              <c16:uniqueId val="{00000000-2816-474F-A903-1C9D868AAFB3}"/>
            </c:ext>
          </c:extLst>
        </c:ser>
        <c:ser>
          <c:idx val="1"/>
          <c:order val="1"/>
          <c:tx>
            <c:strRef>
              <c:f>'2. Câu lạc bộ'!$E$1</c:f>
              <c:strCache>
                <c:ptCount val="1"/>
                <c:pt idx="0">
                  <c:v> Tháng 9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'2. Câu lạc bộ'!$C$2:$C$5</c:f>
              <c:strCache>
                <c:ptCount val="4"/>
                <c:pt idx="0">
                  <c:v>Mầm non Biên Hòa </c:v>
                </c:pt>
                <c:pt idx="1">
                  <c:v>Mầm non Long Khánh</c:v>
                </c:pt>
                <c:pt idx="2">
                  <c:v>Tiểu học </c:v>
                </c:pt>
                <c:pt idx="3">
                  <c:v>Trung học </c:v>
                </c:pt>
              </c:strCache>
            </c:strRef>
          </c:cat>
          <c:val>
            <c:numRef>
              <c:f>'2. Câu lạc bộ'!$E$2:$E$5</c:f>
              <c:numCache>
                <c:formatCode>_(* #,##0_);_(* \(#,##0\);_(* "-"??_);_(@_)</c:formatCode>
                <c:ptCount val="4"/>
                <c:pt idx="0">
                  <c:v>77</c:v>
                </c:pt>
                <c:pt idx="1">
                  <c:v>70</c:v>
                </c:pt>
                <c:pt idx="2">
                  <c:v>353</c:v>
                </c:pt>
                <c:pt idx="3" formatCode="General">
                  <c:v>96</c:v>
                </c:pt>
              </c:numCache>
            </c:numRef>
          </c:val>
          <c:extLst>
            <c:ext xmlns:c16="http://schemas.microsoft.com/office/drawing/2014/chart" uri="{C3380CC4-5D6E-409C-BE32-E72D297353CC}">
              <c16:uniqueId val="{00000000-D88B-41E8-AE0E-AE3485836FE2}"/>
            </c:ext>
          </c:extLst>
        </c:ser>
        <c:dLbls>
          <c:dLblPos val="outEnd"/>
          <c:showLegendKey val="0"/>
          <c:showVal val="1"/>
          <c:showCatName val="0"/>
          <c:showSerName val="0"/>
          <c:showPercent val="0"/>
          <c:showBubbleSize val="0"/>
        </c:dLbls>
        <c:gapWidth val="219"/>
        <c:overlap val="-27"/>
        <c:axId val="2069009184"/>
        <c:axId val="2069008224"/>
        <c:extLst>
          <c:ext xmlns:c15="http://schemas.microsoft.com/office/drawing/2012/chart" uri="{02D57815-91ED-43cb-92C2-25804820EDAC}">
            <c15:filteredBarSeries>
              <c15:ser>
                <c:idx val="2"/>
                <c:order val="2"/>
                <c:tx>
                  <c:strRef>
                    <c:extLst>
                      <c:ext uri="{02D57815-91ED-43cb-92C2-25804820EDAC}">
                        <c15:formulaRef>
                          <c15:sqref>'2. Câu lạc bộ'!$F$1</c15:sqref>
                        </c15:formulaRef>
                      </c:ext>
                    </c:extLst>
                    <c:strCache>
                      <c:ptCount val="1"/>
                      <c:pt idx="0">
                        <c:v> Tháng 10 </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'2. Câu lạc bộ'!$C$2:$C$5</c15:sqref>
                        </c15:formulaRef>
                      </c:ext>
                    </c:extLst>
                    <c:strCache>
                      <c:ptCount val="4"/>
                      <c:pt idx="0">
                        <c:v>Mầm non Biên Hòa </c:v>
                      </c:pt>
                      <c:pt idx="1">
                        <c:v>Mầm non Long Khánh</c:v>
                      </c:pt>
                      <c:pt idx="2">
                        <c:v>Tiểu học </c:v>
                      </c:pt>
                      <c:pt idx="3">
                        <c:v>Trung học </c:v>
                      </c:pt>
                    </c:strCache>
                  </c:strRef>
                </c:cat>
                <c:val>
                  <c:numRef>
                    <c:extLst>
                      <c:ext uri="{02D57815-91ED-43cb-92C2-25804820EDAC}">
                        <c15:formulaRef>
                          <c15:sqref>'2. Câu lạc bộ'!$F$2:$F$5</c15:sqref>
                        </c15:formulaRef>
                      </c:ext>
                    </c:extLst>
                    <c:numCache>
                      <c:formatCode>_(* #,##0_);_(* \(#,##0\);_(* "-"??_);_(@_)</c:formatCode>
                      <c:ptCount val="4"/>
                      <c:pt idx="0">
                        <c:v>0</c:v>
                      </c:pt>
                      <c:pt idx="1">
                        <c:v>0</c:v>
                      </c:pt>
                      <c:pt idx="2">
                        <c:v>0</c:v>
                      </c:pt>
                      <c:pt idx="3" formatCode="General">
                        <c:v>0</c:v>
                      </c:pt>
                    </c:numCache>
                  </c:numRef>
                </c:val>
                <c:extLst>
                  <c:ext xmlns:c16="http://schemas.microsoft.com/office/drawing/2014/chart" uri="{C3380CC4-5D6E-409C-BE32-E72D297353CC}">
                    <c16:uniqueId val="{00000000-992A-4645-BF91-615A8386B2E3}"/>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'2. Câu lạc bộ'!$G$1</c15:sqref>
                        </c15:formulaRef>
                      </c:ext>
                    </c:extLst>
                    <c:strCache>
                      <c:ptCount val="1"/>
                      <c:pt idx="0">
                        <c:v> Tháng 11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'2. Câu lạc bộ'!$C$2:$C$5</c15:sqref>
                        </c15:formulaRef>
                      </c:ext>
                    </c:extLst>
                    <c:strCache>
                      <c:ptCount val="4"/>
                      <c:pt idx="0">
                        <c:v>Mầm non Biên Hòa </c:v>
                      </c:pt>
                      <c:pt idx="1">
                        <c:v>Mầm non Long Khánh</c:v>
                      </c:pt>
                      <c:pt idx="2">
                        <c:v>Tiểu học </c:v>
                      </c:pt>
                      <c:pt idx="3">
                        <c:v>Trung học </c:v>
                      </c:pt>
                    </c:strCache>
                  </c:strRef>
                </c:cat>
                <c:val>
                  <c:numRef>
                    <c:extLst xmlns:c15="http://schemas.microsoft.com/office/drawing/2012/chart">
                      <c:ext xmlns:c15="http://schemas.microsoft.com/office/drawing/2012/chart" uri="{02D57815-91ED-43cb-92C2-25804820EDAC}">
                        <c15:formulaRef>
                          <c15:sqref>'2. Câu lạc bộ'!$G$2:$G$5</c15:sqref>
                        </c15:formulaRef>
                      </c:ext>
                    </c:extLst>
                    <c:numCache>
                      <c:formatCode>_(* #,##0_);_(* \(#,##0\);_(* "-"??_);_(@_)</c:formatCode>
                      <c:ptCount val="4"/>
                      <c:pt idx="0">
                        <c:v>0</c:v>
                      </c:pt>
                      <c:pt idx="1">
                        <c:v>0</c:v>
                      </c:pt>
                      <c:pt idx="2">
                        <c:v>0</c:v>
                      </c:pt>
                      <c:pt idx="3" formatCode="General">
                        <c:v>0</c:v>
                      </c:pt>
                    </c:numCache>
                  </c:numRef>
                </c:val>
                <c:extLst xmlns:c15="http://schemas.microsoft.com/office/drawing/2012/chart">
                  <c:ext xmlns:c16="http://schemas.microsoft.com/office/drawing/2014/chart" uri="{C3380CC4-5D6E-409C-BE32-E72D297353CC}">
                    <c16:uniqueId val="{00000001-992A-4645-BF91-615A8386B2E3}"/>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'2. Câu lạc bộ'!$H$1</c15:sqref>
                        </c15:formulaRef>
                      </c:ext>
                    </c:extLst>
                    <c:strCache>
                      <c:ptCount val="1"/>
                      <c:pt idx="0">
                        <c:v> Tháng 12 </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'2. Câu lạc bộ'!$C$2:$C$5</c15:sqref>
                        </c15:formulaRef>
                      </c:ext>
                    </c:extLst>
                    <c:strCache>
                      <c:ptCount val="4"/>
                      <c:pt idx="0">
                        <c:v>Mầm non Biên Hòa </c:v>
                      </c:pt>
                      <c:pt idx="1">
                        <c:v>Mầm non Long Khánh</c:v>
                      </c:pt>
                      <c:pt idx="2">
                        <c:v>Tiểu học </c:v>
                      </c:pt>
                      <c:pt idx="3">
                        <c:v>Trung học </c:v>
                      </c:pt>
                    </c:strCache>
                  </c:strRef>
                </c:cat>
                <c:val>
                  <c:numRef>
                    <c:extLst xmlns:c15="http://schemas.microsoft.com/office/drawing/2012/chart">
                      <c:ext xmlns:c15="http://schemas.microsoft.com/office/drawing/2012/chart" uri="{02D57815-91ED-43cb-92C2-25804820EDAC}">
                        <c15:formulaRef>
                          <c15:sqref>'2. Câu lạc bộ'!$H$2:$H$5</c15:sqref>
                        </c15:formulaRef>
                      </c:ext>
                    </c:extLst>
                    <c:numCache>
                      <c:formatCode>_(* #,##0_);_(* \(#,##0\);_(* "-"??_);_(@_)</c:formatCode>
                      <c:ptCount val="4"/>
                      <c:pt idx="0">
                        <c:v>0</c:v>
                      </c:pt>
                      <c:pt idx="1">
                        <c:v>0</c:v>
                      </c:pt>
                      <c:pt idx="2">
                        <c:v>0</c:v>
                      </c:pt>
                      <c:pt idx="3" formatCode="General">
                        <c:v>0</c:v>
                      </c:pt>
                    </c:numCache>
                  </c:numRef>
                </c:val>
                <c:extLst xmlns:c15="http://schemas.microsoft.com/office/drawing/2012/chart">
                  <c:ext xmlns:c16="http://schemas.microsoft.com/office/drawing/2014/chart" uri="{C3380CC4-5D6E-409C-BE32-E72D297353CC}">
                    <c16:uniqueId val="{00000002-992A-4645-BF91-615A8386B2E3}"/>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'2. Câu lạc bộ'!$I$1</c15:sqref>
                        </c15:formulaRef>
                      </c:ext>
                    </c:extLst>
                    <c:strCache>
                      <c:ptCount val="1"/>
                      <c:pt idx="0">
                        <c:v> Tháng 1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'2. Câu lạc bộ'!$C$2:$C$5</c15:sqref>
                        </c15:formulaRef>
                      </c:ext>
                    </c:extLst>
                    <c:strCache>
                      <c:ptCount val="4"/>
                      <c:pt idx="0">
                        <c:v>Mầm non Biên Hòa </c:v>
                      </c:pt>
                      <c:pt idx="1">
                        <c:v>Mầm non Long Khánh</c:v>
                      </c:pt>
                      <c:pt idx="2">
                        <c:v>Tiểu học </c:v>
                      </c:pt>
                      <c:pt idx="3">
                        <c:v>Trung học </c:v>
                      </c:pt>
                    </c:strCache>
                  </c:strRef>
                </c:cat>
                <c:val>
                  <c:numRef>
                    <c:extLst xmlns:c15="http://schemas.microsoft.com/office/drawing/2012/chart">
                      <c:ext xmlns:c15="http://schemas.microsoft.com/office/drawing/2012/chart" uri="{02D57815-91ED-43cb-92C2-25804820EDAC}">
                        <c15:formulaRef>
                          <c15:sqref>'2. Câu lạc bộ'!$I$2:$I$5</c15:sqref>
                        </c15:formulaRef>
                      </c:ext>
                    </c:extLst>
                    <c:numCache>
                      <c:formatCode>_(* #,##0_);_(* \(#,##0\);_(* "-"??_);_(@_)</c:formatCode>
                      <c:ptCount val="4"/>
                      <c:pt idx="0">
                        <c:v>0</c:v>
                      </c:pt>
                      <c:pt idx="1">
                        <c:v>0</c:v>
                      </c:pt>
                      <c:pt idx="2">
                        <c:v>0</c:v>
                      </c:pt>
                      <c:pt idx="3" formatCode="General">
                        <c:v>0</c:v>
                      </c:pt>
                    </c:numCache>
                  </c:numRef>
                </c:val>
                <c:extLst xmlns:c15="http://schemas.microsoft.com/office/drawing/2012/chart">
                  <c:ext xmlns:c16="http://schemas.microsoft.com/office/drawing/2014/chart" uri="{C3380CC4-5D6E-409C-BE32-E72D297353CC}">
                    <c16:uniqueId val="{00000003-992A-4645-BF91-615A8386B2E3}"/>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'2. Câu lạc bộ'!$J$1</c15:sqref>
                        </c15:formulaRef>
                      </c:ext>
                    </c:extLst>
                    <c:strCache>
                      <c:ptCount val="1"/>
                      <c:pt idx="0">
                        <c:v> Tháng 2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'2. Câu lạc bộ'!$C$2:$C$5</c15:sqref>
                        </c15:formulaRef>
                      </c:ext>
                    </c:extLst>
                    <c:strCache>
                      <c:ptCount val="4"/>
                      <c:pt idx="0">
                        <c:v>Mầm non Biên Hòa </c:v>
                      </c:pt>
                      <c:pt idx="1">
                        <c:v>Mầm non Long Khánh</c:v>
                      </c:pt>
                      <c:pt idx="2">
                        <c:v>Tiểu học </c:v>
                      </c:pt>
                      <c:pt idx="3">
                        <c:v>Trung học </c:v>
                      </c:pt>
                    </c:strCache>
                  </c:strRef>
                </c:cat>
                <c:val>
                  <c:numRef>
                    <c:extLst xmlns:c15="http://schemas.microsoft.com/office/drawing/2012/chart">
                      <c:ext xmlns:c15="http://schemas.microsoft.com/office/drawing/2012/chart" uri="{02D57815-91ED-43cb-92C2-25804820EDAC}">
                        <c15:formulaRef>
                          <c15:sqref>'2. Câu lạc bộ'!$J$2:$J$5</c15:sqref>
                        </c15:formulaRef>
                      </c:ext>
                    </c:extLst>
                    <c:numCache>
                      <c:formatCode>_(* #,##0_);_(* \(#,##0\);_(* "-"??_);_(@_)</c:formatCode>
                      <c:ptCount val="4"/>
                      <c:pt idx="0">
                        <c:v>0</c:v>
                      </c:pt>
                      <c:pt idx="1">
                        <c:v>0</c:v>
                      </c:pt>
                      <c:pt idx="2">
                        <c:v>0</c:v>
                      </c:pt>
                      <c:pt idx="3" formatCode="General">
                        <c:v>0</c:v>
                      </c:pt>
                    </c:numCache>
                  </c:numRef>
                </c:val>
                <c:extLst xmlns:c15="http://schemas.microsoft.com/office/drawing/2012/chart">
                  <c:ext xmlns:c16="http://schemas.microsoft.com/office/drawing/2014/chart" uri="{C3380CC4-5D6E-409C-BE32-E72D297353CC}">
                    <c16:uniqueId val="{00000004-992A-4645-BF91-615A8386B2E3}"/>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'2. Câu lạc bộ'!$K$1</c15:sqref>
                        </c15:formulaRef>
                      </c:ext>
                    </c:extLst>
                    <c:strCache>
                      <c:ptCount val="1"/>
                      <c:pt idx="0">
                        <c:v> Tháng 3 </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'2. Câu lạc bộ'!$C$2:$C$5</c15:sqref>
                        </c15:formulaRef>
                      </c:ext>
                    </c:extLst>
                    <c:strCache>
                      <c:ptCount val="4"/>
                      <c:pt idx="0">
                        <c:v>Mầm non Biên Hòa </c:v>
                      </c:pt>
                      <c:pt idx="1">
                        <c:v>Mầm non Long Khánh</c:v>
                      </c:pt>
                      <c:pt idx="2">
                        <c:v>Tiểu học </c:v>
                      </c:pt>
                      <c:pt idx="3">
                        <c:v>Trung học </c:v>
                      </c:pt>
                    </c:strCache>
                  </c:strRef>
                </c:cat>
                <c:val>
                  <c:numRef>
                    <c:extLst xmlns:c15="http://schemas.microsoft.com/office/drawing/2012/chart">
                      <c:ext xmlns:c15="http://schemas.microsoft.com/office/drawing/2012/chart" uri="{02D57815-91ED-43cb-92C2-25804820EDAC}">
                        <c15:formulaRef>
                          <c15:sqref>'2. Câu lạc bộ'!$K$2:$K$5</c15:sqref>
                        </c15:formulaRef>
                      </c:ext>
                    </c:extLst>
                    <c:numCache>
                      <c:formatCode>_(* #,##0_);_(* \(#,##0\);_(* "-"??_);_(@_)</c:formatCode>
                      <c:ptCount val="4"/>
                      <c:pt idx="0">
                        <c:v>0</c:v>
                      </c:pt>
                      <c:pt idx="1">
                        <c:v>0</c:v>
                      </c:pt>
                      <c:pt idx="2">
                        <c:v>0</c:v>
                      </c:pt>
                      <c:pt idx="3" formatCode="General">
                        <c:v>0</c:v>
                      </c:pt>
                    </c:numCache>
                  </c:numRef>
                </c:val>
                <c:extLst xmlns:c15="http://schemas.microsoft.com/office/drawing/2012/chart">
                  <c:ext xmlns:c16="http://schemas.microsoft.com/office/drawing/2014/chart" uri="{C3380CC4-5D6E-409C-BE32-E72D297353CC}">
                    <c16:uniqueId val="{00000005-992A-4645-BF91-615A8386B2E3}"/>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'2. Câu lạc bộ'!$L$1</c15:sqref>
                        </c15:formulaRef>
                      </c:ext>
                    </c:extLst>
                    <c:strCache>
                      <c:ptCount val="1"/>
                      <c:pt idx="0">
                        <c:v> Tháng 4 </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'2. Câu lạc bộ'!$C$2:$C$5</c15:sqref>
                        </c15:formulaRef>
                      </c:ext>
                    </c:extLst>
                    <c:strCache>
                      <c:ptCount val="4"/>
                      <c:pt idx="0">
                        <c:v>Mầm non Biên Hòa </c:v>
                      </c:pt>
                      <c:pt idx="1">
                        <c:v>Mầm non Long Khánh</c:v>
                      </c:pt>
                      <c:pt idx="2">
                        <c:v>Tiểu học </c:v>
                      </c:pt>
                      <c:pt idx="3">
                        <c:v>Trung học </c:v>
                      </c:pt>
                    </c:strCache>
                  </c:strRef>
                </c:cat>
                <c:val>
                  <c:numRef>
                    <c:extLst xmlns:c15="http://schemas.microsoft.com/office/drawing/2012/chart">
                      <c:ext xmlns:c15="http://schemas.microsoft.com/office/drawing/2012/chart" uri="{02D57815-91ED-43cb-92C2-25804820EDAC}">
                        <c15:formulaRef>
                          <c15:sqref>'2. Câu lạc bộ'!$L$2:$L$5</c15:sqref>
                        </c15:formulaRef>
                      </c:ext>
                    </c:extLst>
                    <c:numCache>
                      <c:formatCode>_(* #,##0_);_(* \(#,##0\);_(* "-"??_);_(@_)</c:formatCode>
                      <c:ptCount val="4"/>
                      <c:pt idx="0">
                        <c:v>0</c:v>
                      </c:pt>
                      <c:pt idx="1">
                        <c:v>0</c:v>
                      </c:pt>
                      <c:pt idx="2">
                        <c:v>0</c:v>
                      </c:pt>
                      <c:pt idx="3" formatCode="General">
                        <c:v>0</c:v>
                      </c:pt>
                    </c:numCache>
                  </c:numRef>
                </c:val>
                <c:extLst xmlns:c15="http://schemas.microsoft.com/office/drawing/2012/chart">
                  <c:ext xmlns:c16="http://schemas.microsoft.com/office/drawing/2014/chart" uri="{C3380CC4-5D6E-409C-BE32-E72D297353CC}">
                    <c16:uniqueId val="{00000006-992A-4645-BF91-615A8386B2E3}"/>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'2. Câu lạc bộ'!$M$1</c15:sqref>
                        </c15:formulaRef>
                      </c:ext>
                    </c:extLst>
                    <c:strCache>
                      <c:ptCount val="1"/>
                      <c:pt idx="0">
                        <c:v> Tháng 5 </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'2. Câu lạc bộ'!$C$2:$C$5</c15:sqref>
                        </c15:formulaRef>
                      </c:ext>
                    </c:extLst>
                    <c:strCache>
                      <c:ptCount val="4"/>
                      <c:pt idx="0">
                        <c:v>Mầm non Biên Hòa </c:v>
                      </c:pt>
                      <c:pt idx="1">
                        <c:v>Mầm non Long Khánh</c:v>
                      </c:pt>
                      <c:pt idx="2">
                        <c:v>Tiểu học </c:v>
                      </c:pt>
                      <c:pt idx="3">
                        <c:v>Trung học </c:v>
                      </c:pt>
                    </c:strCache>
                  </c:strRef>
                </c:cat>
                <c:val>
                  <c:numRef>
                    <c:extLst xmlns:c15="http://schemas.microsoft.com/office/drawing/2012/chart">
                      <c:ext xmlns:c15="http://schemas.microsoft.com/office/drawing/2012/chart" uri="{02D57815-91ED-43cb-92C2-25804820EDAC}">
                        <c15:formulaRef>
                          <c15:sqref>'2. Câu lạc bộ'!$M$2:$M$5</c15:sqref>
                        </c15:formulaRef>
                      </c:ext>
                    </c:extLst>
                    <c:numCache>
                      <c:formatCode>_(* #,##0_);_(* \(#,##0\);_(* "-"??_);_(@_)</c:formatCode>
                      <c:ptCount val="4"/>
                      <c:pt idx="0">
                        <c:v>0</c:v>
                      </c:pt>
                      <c:pt idx="1">
                        <c:v>0</c:v>
                      </c:pt>
                      <c:pt idx="2">
                        <c:v>0</c:v>
                      </c:pt>
                      <c:pt idx="3" formatCode="General">
                        <c:v>0</c:v>
                      </c:pt>
                    </c:numCache>
                  </c:numRef>
                </c:val>
                <c:extLst xmlns:c15="http://schemas.microsoft.com/office/drawing/2012/chart">
                  <c:ext xmlns:c16="http://schemas.microsoft.com/office/drawing/2014/chart" uri="{C3380CC4-5D6E-409C-BE32-E72D297353CC}">
                    <c16:uniqueId val="{00000007-992A-4645-BF91-615A8386B2E3}"/>
                  </c:ext>
                </c:extLst>
              </c15:ser>
            </c15:filteredBarSeries>
          </c:ext>
        </c:extLst>
      </c:barChart>
      <c:catAx>
        <c:axId val="20690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069008224"/>
        <c:crosses val="autoZero"/>
        <c:auto val="1"/>
        <c:lblAlgn val="ctr"/>
        <c:lblOffset val="100"/>
        <c:noMultiLvlLbl val="0"/>
      </c:catAx>
      <c:valAx>
        <c:axId val="2069008224"/>
        <c:scaling>
          <c:orientation val="minMax"/>
        </c:scaling>
        <c:delete val="0"/>
        <c:axPos val="l"/>
        <c:majorGridlines>
          <c:spPr>
            <a:ln w="9525" cap="flat" cmpd="sng" algn="ctr">
              <a:no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9009184"/>
        <c:crosses val="autoZero"/>
        <c:crossBetween val="between"/>
      </c:valAx>
      <c:spPr>
        <a:noFill/>
        <a:ln>
          <a:noFill/>
        </a:ln>
        <a:effectLst/>
      </c:spPr>
    </c:plotArea>
    <c:legend>
      <c:legendPos val="b"/>
      <c:layout>
        <c:manualLayout>
          <c:xMode val="edge"/>
          <c:yMode val="edge"/>
          <c:x val="0.24210952336736946"/>
          <c:y val="0.89259586410760949"/>
          <c:w val="0.27535560707128376"/>
          <c:h val="0.107404584519817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paperSize="9"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Số lượng học sinh CLB mầm non Biên Hòa </a:t>
            </a:r>
          </a:p>
        </c:rich>
      </c:tx>
      <c:layout>
        <c:manualLayout>
          <c:xMode val="edge"/>
          <c:yMode val="edge"/>
          <c:x val="0.26573652917937174"/>
          <c:y val="6.4803008492425762E-2"/>
        </c:manualLayout>
      </c:layout>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8.7656530751715391E-3"/>
          <c:y val="0.18464594467442147"/>
          <c:w val="0.99123434692482848"/>
          <c:h val="0.59601449726309408"/>
        </c:manualLayout>
      </c:layout>
      <c:barChart>
        <c:barDir val="col"/>
        <c:grouping val="clustered"/>
        <c:varyColors val="0"/>
        <c:ser>
          <c:idx val="0"/>
          <c:order val="0"/>
          <c:tx>
            <c:strRef>
              <c:f>'2. Câu lạc bộ'!$B$43</c:f>
              <c:strCache>
                <c:ptCount val="1"/>
                <c:pt idx="0">
                  <c:v>CLB Võ Cổ truyền</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bộ'!$D$42:$M$42</c15:sqref>
                  </c15:fullRef>
                </c:ext>
              </c:extLst>
              <c:f>'2. Câu lạc bộ'!$E$42</c:f>
              <c:strCache>
                <c:ptCount val="1"/>
                <c:pt idx="0">
                  <c:v> Tháng 9 </c:v>
                </c:pt>
              </c:strCache>
            </c:strRef>
          </c:cat>
          <c:val>
            <c:numRef>
              <c:extLst>
                <c:ext xmlns:c15="http://schemas.microsoft.com/office/drawing/2012/chart" uri="{02D57815-91ED-43cb-92C2-25804820EDAC}">
                  <c15:fullRef>
                    <c15:sqref>'2. Câu lạc bộ'!$D$43:$M$43</c15:sqref>
                  </c15:fullRef>
                </c:ext>
              </c:extLst>
              <c:f>'2. Câu lạc bộ'!$E$43</c:f>
              <c:numCache>
                <c:formatCode>General</c:formatCode>
                <c:ptCount val="1"/>
                <c:pt idx="0">
                  <c:v>7</c:v>
                </c:pt>
              </c:numCache>
            </c:numRef>
          </c:val>
          <c:extLst>
            <c:ext xmlns:c16="http://schemas.microsoft.com/office/drawing/2014/chart" uri="{C3380CC4-5D6E-409C-BE32-E72D297353CC}">
              <c16:uniqueId val="{00000000-611B-4044-93E0-A1691976A8E1}"/>
            </c:ext>
          </c:extLst>
        </c:ser>
        <c:ser>
          <c:idx val="1"/>
          <c:order val="1"/>
          <c:tx>
            <c:strRef>
              <c:f>'2. Câu lạc bộ'!$B$44</c:f>
              <c:strCache>
                <c:ptCount val="1"/>
                <c:pt idx="0">
                  <c:v>CLB Tiếng Anh kịch nghệ - T3 &amp; 5</c:v>
                </c:pt>
              </c:strCache>
            </c:strRef>
          </c:tx>
          <c:spPr>
            <a:solidFill>
              <a:schemeClr val="accent2"/>
            </a:solidFill>
            <a:ln>
              <a:noFill/>
            </a:ln>
            <a:effectLst/>
          </c:spPr>
          <c:invertIfNegative val="0"/>
          <c:dLbls>
            <c:delete val="1"/>
          </c:dLbls>
          <c:cat>
            <c:strRef>
              <c:extLst>
                <c:ext xmlns:c15="http://schemas.microsoft.com/office/drawing/2012/chart" uri="{02D57815-91ED-43cb-92C2-25804820EDAC}">
                  <c15:fullRef>
                    <c15:sqref>'2. Câu lạc bộ'!$D$42:$M$42</c15:sqref>
                  </c15:fullRef>
                </c:ext>
              </c:extLst>
              <c:f>'2. Câu lạc bộ'!$E$42</c:f>
              <c:strCache>
                <c:ptCount val="1"/>
                <c:pt idx="0">
                  <c:v> Tháng 9 </c:v>
                </c:pt>
              </c:strCache>
            </c:strRef>
          </c:cat>
          <c:val>
            <c:numRef>
              <c:extLst>
                <c:ext xmlns:c15="http://schemas.microsoft.com/office/drawing/2012/chart" uri="{02D57815-91ED-43cb-92C2-25804820EDAC}">
                  <c15:fullRef>
                    <c15:sqref>'2. Câu lạc bộ'!$D$44:$M$44</c15:sqref>
                  </c15:fullRef>
                </c:ext>
              </c:extLst>
              <c:f>'2. Câu lạc bộ'!$E$44</c:f>
              <c:numCache>
                <c:formatCode>General</c:formatCode>
                <c:ptCount val="1"/>
                <c:pt idx="0">
                  <c:v>10</c:v>
                </c:pt>
              </c:numCache>
            </c:numRef>
          </c:val>
          <c:extLst>
            <c:ext xmlns:c16="http://schemas.microsoft.com/office/drawing/2014/chart" uri="{C3380CC4-5D6E-409C-BE32-E72D297353CC}">
              <c16:uniqueId val="{0000000E-6FA9-43F5-9C0B-2DD3D8F7E1D3}"/>
            </c:ext>
          </c:extLst>
        </c:ser>
        <c:ser>
          <c:idx val="2"/>
          <c:order val="2"/>
          <c:tx>
            <c:strRef>
              <c:f>'2. Câu lạc bộ'!$B$45</c:f>
              <c:strCache>
                <c:ptCount val="1"/>
                <c:pt idx="0">
                  <c:v>CLB Tiếng Anh kịch nghệ - T2 &amp; 4</c:v>
                </c:pt>
              </c:strCache>
            </c:strRef>
          </c:tx>
          <c:spPr>
            <a:solidFill>
              <a:schemeClr val="accent3"/>
            </a:solidFill>
            <a:ln>
              <a:noFill/>
            </a:ln>
            <a:effectLst/>
          </c:spPr>
          <c:invertIfNegative val="0"/>
          <c:dLbls>
            <c:delete val="1"/>
          </c:dLbls>
          <c:cat>
            <c:strRef>
              <c:extLst>
                <c:ext xmlns:c15="http://schemas.microsoft.com/office/drawing/2012/chart" uri="{02D57815-91ED-43cb-92C2-25804820EDAC}">
                  <c15:fullRef>
                    <c15:sqref>'2. Câu lạc bộ'!$D$42:$M$42</c15:sqref>
                  </c15:fullRef>
                </c:ext>
              </c:extLst>
              <c:f>'2. Câu lạc bộ'!$E$42</c:f>
              <c:strCache>
                <c:ptCount val="1"/>
                <c:pt idx="0">
                  <c:v> Tháng 9 </c:v>
                </c:pt>
              </c:strCache>
            </c:strRef>
          </c:cat>
          <c:val>
            <c:numRef>
              <c:extLst>
                <c:ext xmlns:c15="http://schemas.microsoft.com/office/drawing/2012/chart" uri="{02D57815-91ED-43cb-92C2-25804820EDAC}">
                  <c15:fullRef>
                    <c15:sqref>'2. Câu lạc bộ'!$D$45:$M$45</c15:sqref>
                  </c15:fullRef>
                </c:ext>
              </c:extLst>
              <c:f>'2. Câu lạc bộ'!$E$45</c:f>
              <c:numCache>
                <c:formatCode>General</c:formatCode>
                <c:ptCount val="1"/>
                <c:pt idx="0">
                  <c:v>16</c:v>
                </c:pt>
              </c:numCache>
            </c:numRef>
          </c:val>
          <c:extLst>
            <c:ext xmlns:c16="http://schemas.microsoft.com/office/drawing/2014/chart" uri="{C3380CC4-5D6E-409C-BE32-E72D297353CC}">
              <c16:uniqueId val="{0000000F-6FA9-43F5-9C0B-2DD3D8F7E1D3}"/>
            </c:ext>
          </c:extLst>
        </c:ser>
        <c:ser>
          <c:idx val="3"/>
          <c:order val="3"/>
          <c:tx>
            <c:strRef>
              <c:f>'2. Câu lạc bộ'!$B$46</c:f>
              <c:strCache>
                <c:ptCount val="1"/>
                <c:pt idx="0">
                  <c:v>CLB Bơi</c:v>
                </c:pt>
              </c:strCache>
            </c:strRef>
          </c:tx>
          <c:spPr>
            <a:solidFill>
              <a:schemeClr val="accent4"/>
            </a:solidFill>
            <a:ln>
              <a:noFill/>
            </a:ln>
            <a:effectLst/>
          </c:spPr>
          <c:invertIfNegative val="0"/>
          <c:dLbls>
            <c:delete val="1"/>
          </c:dLbls>
          <c:cat>
            <c:strRef>
              <c:extLst>
                <c:ext xmlns:c15="http://schemas.microsoft.com/office/drawing/2012/chart" uri="{02D57815-91ED-43cb-92C2-25804820EDAC}">
                  <c15:fullRef>
                    <c15:sqref>'2. Câu lạc bộ'!$D$42:$M$42</c15:sqref>
                  </c15:fullRef>
                </c:ext>
              </c:extLst>
              <c:f>'2. Câu lạc bộ'!$E$42</c:f>
              <c:strCache>
                <c:ptCount val="1"/>
                <c:pt idx="0">
                  <c:v> Tháng 9 </c:v>
                </c:pt>
              </c:strCache>
            </c:strRef>
          </c:cat>
          <c:val>
            <c:numRef>
              <c:extLst>
                <c:ext xmlns:c15="http://schemas.microsoft.com/office/drawing/2012/chart" uri="{02D57815-91ED-43cb-92C2-25804820EDAC}">
                  <c15:fullRef>
                    <c15:sqref>'2. Câu lạc bộ'!$D$46:$M$46</c15:sqref>
                  </c15:fullRef>
                </c:ext>
              </c:extLst>
              <c:f>'2. Câu lạc bộ'!$E$46</c:f>
              <c:numCache>
                <c:formatCode>General</c:formatCode>
                <c:ptCount val="1"/>
                <c:pt idx="0">
                  <c:v>11</c:v>
                </c:pt>
              </c:numCache>
            </c:numRef>
          </c:val>
          <c:extLst>
            <c:ext xmlns:c16="http://schemas.microsoft.com/office/drawing/2014/chart" uri="{C3380CC4-5D6E-409C-BE32-E72D297353CC}">
              <c16:uniqueId val="{00000010-6FA9-43F5-9C0B-2DD3D8F7E1D3}"/>
            </c:ext>
          </c:extLst>
        </c:ser>
        <c:ser>
          <c:idx val="5"/>
          <c:order val="5"/>
          <c:tx>
            <c:strRef>
              <c:f>'2. Câu lạc bộ'!$B$48</c:f>
              <c:strCache>
                <c:ptCount val="1"/>
                <c:pt idx="0">
                  <c:v>CLB Aerobic - Nhà trẻ &amp; Mầm</c:v>
                </c:pt>
              </c:strCache>
            </c:strRef>
          </c:tx>
          <c:spPr>
            <a:solidFill>
              <a:schemeClr val="accent6"/>
            </a:solidFill>
            <a:ln>
              <a:noFill/>
            </a:ln>
            <a:effectLst/>
          </c:spPr>
          <c:invertIfNegative val="0"/>
          <c:dLbls>
            <c:delete val="1"/>
          </c:dLbls>
          <c:cat>
            <c:strRef>
              <c:extLst>
                <c:ext xmlns:c15="http://schemas.microsoft.com/office/drawing/2012/chart" uri="{02D57815-91ED-43cb-92C2-25804820EDAC}">
                  <c15:fullRef>
                    <c15:sqref>'2. Câu lạc bộ'!$D$42:$M$42</c15:sqref>
                  </c15:fullRef>
                </c:ext>
              </c:extLst>
              <c:f>'2. Câu lạc bộ'!$E$42</c:f>
              <c:strCache>
                <c:ptCount val="1"/>
                <c:pt idx="0">
                  <c:v> Tháng 9 </c:v>
                </c:pt>
              </c:strCache>
            </c:strRef>
          </c:cat>
          <c:val>
            <c:numRef>
              <c:extLst>
                <c:ext xmlns:c15="http://schemas.microsoft.com/office/drawing/2012/chart" uri="{02D57815-91ED-43cb-92C2-25804820EDAC}">
                  <c15:fullRef>
                    <c15:sqref>'2. Câu lạc bộ'!$D$48:$M$48</c15:sqref>
                  </c15:fullRef>
                </c:ext>
              </c:extLst>
              <c:f>'2. Câu lạc bộ'!$E$48</c:f>
              <c:numCache>
                <c:formatCode>General</c:formatCode>
                <c:ptCount val="1"/>
                <c:pt idx="0">
                  <c:v>10</c:v>
                </c:pt>
              </c:numCache>
            </c:numRef>
          </c:val>
          <c:extLst>
            <c:ext xmlns:c16="http://schemas.microsoft.com/office/drawing/2014/chart" uri="{C3380CC4-5D6E-409C-BE32-E72D297353CC}">
              <c16:uniqueId val="{00000012-6FA9-43F5-9C0B-2DD3D8F7E1D3}"/>
            </c:ext>
          </c:extLst>
        </c:ser>
        <c:ser>
          <c:idx val="6"/>
          <c:order val="6"/>
          <c:tx>
            <c:strRef>
              <c:f>'2. Câu lạc bộ'!$B$49</c:f>
              <c:strCache>
                <c:ptCount val="1"/>
                <c:pt idx="0">
                  <c:v>CLB Aerobic - Chồi &amp; Lá</c:v>
                </c:pt>
              </c:strCache>
            </c:strRef>
          </c:tx>
          <c:spPr>
            <a:solidFill>
              <a:schemeClr val="accent1">
                <a:lumMod val="60000"/>
              </a:schemeClr>
            </a:solidFill>
            <a:ln>
              <a:noFill/>
            </a:ln>
            <a:effectLst/>
          </c:spPr>
          <c:invertIfNegative val="0"/>
          <c:dLbls>
            <c:delete val="1"/>
          </c:dLbls>
          <c:cat>
            <c:strRef>
              <c:extLst>
                <c:ext xmlns:c15="http://schemas.microsoft.com/office/drawing/2012/chart" uri="{02D57815-91ED-43cb-92C2-25804820EDAC}">
                  <c15:fullRef>
                    <c15:sqref>'2. Câu lạc bộ'!$D$42:$M$42</c15:sqref>
                  </c15:fullRef>
                </c:ext>
              </c:extLst>
              <c:f>'2. Câu lạc bộ'!$E$42</c:f>
              <c:strCache>
                <c:ptCount val="1"/>
                <c:pt idx="0">
                  <c:v> Tháng 9 </c:v>
                </c:pt>
              </c:strCache>
            </c:strRef>
          </c:cat>
          <c:val>
            <c:numRef>
              <c:extLst>
                <c:ext xmlns:c15="http://schemas.microsoft.com/office/drawing/2012/chart" uri="{02D57815-91ED-43cb-92C2-25804820EDAC}">
                  <c15:fullRef>
                    <c15:sqref>'2. Câu lạc bộ'!$D$49:$M$49</c15:sqref>
                  </c15:fullRef>
                </c:ext>
              </c:extLst>
              <c:f>'2. Câu lạc bộ'!$E$49</c:f>
              <c:numCache>
                <c:formatCode>General</c:formatCode>
                <c:ptCount val="1"/>
                <c:pt idx="0">
                  <c:v>16</c:v>
                </c:pt>
              </c:numCache>
            </c:numRef>
          </c:val>
          <c:extLst>
            <c:ext xmlns:c16="http://schemas.microsoft.com/office/drawing/2014/chart" uri="{C3380CC4-5D6E-409C-BE32-E72D297353CC}">
              <c16:uniqueId val="{00000013-6FA9-43F5-9C0B-2DD3D8F7E1D3}"/>
            </c:ext>
          </c:extLst>
        </c:ser>
        <c:ser>
          <c:idx val="7"/>
          <c:order val="7"/>
          <c:tx>
            <c:strRef>
              <c:f>'2. Câu lạc bộ'!$B$50</c:f>
              <c:strCache>
                <c:ptCount val="1"/>
                <c:pt idx="0">
                  <c:v>CLB Rèn chữ</c:v>
                </c:pt>
              </c:strCache>
            </c:strRef>
          </c:tx>
          <c:spPr>
            <a:solidFill>
              <a:schemeClr val="accent2">
                <a:lumMod val="60000"/>
              </a:schemeClr>
            </a:solidFill>
            <a:ln>
              <a:noFill/>
            </a:ln>
            <a:effectLst/>
          </c:spPr>
          <c:invertIfNegative val="0"/>
          <c:dLbls>
            <c:delete val="1"/>
          </c:dLbls>
          <c:cat>
            <c:strRef>
              <c:extLst>
                <c:ext xmlns:c15="http://schemas.microsoft.com/office/drawing/2012/chart" uri="{02D57815-91ED-43cb-92C2-25804820EDAC}">
                  <c15:fullRef>
                    <c15:sqref>'2. Câu lạc bộ'!$D$42:$M$42</c15:sqref>
                  </c15:fullRef>
                </c:ext>
              </c:extLst>
              <c:f>'2. Câu lạc bộ'!$E$42</c:f>
              <c:strCache>
                <c:ptCount val="1"/>
                <c:pt idx="0">
                  <c:v> Tháng 9 </c:v>
                </c:pt>
              </c:strCache>
            </c:strRef>
          </c:cat>
          <c:val>
            <c:numRef>
              <c:extLst>
                <c:ext xmlns:c15="http://schemas.microsoft.com/office/drawing/2012/chart" uri="{02D57815-91ED-43cb-92C2-25804820EDAC}">
                  <c15:fullRef>
                    <c15:sqref>'2. Câu lạc bộ'!$D$50:$M$50</c15:sqref>
                  </c15:fullRef>
                </c:ext>
              </c:extLst>
              <c:f>'2. Câu lạc bộ'!$E$50</c:f>
              <c:numCache>
                <c:formatCode>General</c:formatCode>
                <c:ptCount val="1"/>
                <c:pt idx="0">
                  <c:v>7</c:v>
                </c:pt>
              </c:numCache>
            </c:numRef>
          </c:val>
          <c:extLst>
            <c:ext xmlns:c16="http://schemas.microsoft.com/office/drawing/2014/chart" uri="{C3380CC4-5D6E-409C-BE32-E72D297353CC}">
              <c16:uniqueId val="{00000014-6FA9-43F5-9C0B-2DD3D8F7E1D3}"/>
            </c:ext>
          </c:extLst>
        </c:ser>
        <c:dLbls>
          <c:dLblPos val="outEnd"/>
          <c:showLegendKey val="0"/>
          <c:showVal val="1"/>
          <c:showCatName val="0"/>
          <c:showSerName val="0"/>
          <c:showPercent val="0"/>
          <c:showBubbleSize val="0"/>
        </c:dLbls>
        <c:gapWidth val="219"/>
        <c:overlap val="-27"/>
        <c:axId val="1592981456"/>
        <c:axId val="1592978096"/>
        <c:extLst>
          <c:ext xmlns:c15="http://schemas.microsoft.com/office/drawing/2012/chart" uri="{02D57815-91ED-43cb-92C2-25804820EDAC}">
            <c15:filteredBarSeries>
              <c15:ser>
                <c:idx val="4"/>
                <c:order val="4"/>
                <c:tx>
                  <c:strRef>
                    <c:extLst>
                      <c:ext uri="{02D57815-91ED-43cb-92C2-25804820EDAC}">
                        <c15:formulaRef>
                          <c15:sqref>'2. Câu lạc bộ'!$B$47</c15:sqref>
                        </c15:formulaRef>
                      </c:ext>
                    </c:extLst>
                    <c:strCache>
                      <c:ptCount val="1"/>
                      <c:pt idx="0">
                        <c:v>CLB Vẽ</c:v>
                      </c:pt>
                    </c:strCache>
                  </c:strRef>
                </c:tx>
                <c:spPr>
                  <a:solidFill>
                    <a:schemeClr val="accent5"/>
                  </a:solidFill>
                  <a:ln>
                    <a:noFill/>
                  </a:ln>
                  <a:effectLst/>
                </c:spPr>
                <c:invertIfNegative val="0"/>
                <c:dLbls>
                  <c:delete val="1"/>
                </c:dLbls>
                <c:cat>
                  <c:strRef>
                    <c:extLst>
                      <c:ext uri="{02D57815-91ED-43cb-92C2-25804820EDAC}">
                        <c15:fullRef>
                          <c15:sqref>'2. Câu lạc bộ'!$D$42:$M$42</c15:sqref>
                        </c15:fullRef>
                        <c15:formulaRef>
                          <c15:sqref>'2. Câu lạc bộ'!$E$42</c15:sqref>
                        </c15:formulaRef>
                      </c:ext>
                    </c:extLst>
                    <c:strCache>
                      <c:ptCount val="1"/>
                      <c:pt idx="0">
                        <c:v> Tháng 9 </c:v>
                      </c:pt>
                    </c:strCache>
                  </c:strRef>
                </c:cat>
                <c:val>
                  <c:numRef>
                    <c:extLst>
                      <c:ext uri="{02D57815-91ED-43cb-92C2-25804820EDAC}">
                        <c15:fullRef>
                          <c15:sqref>'2. Câu lạc bộ'!$D$47:$M$47</c15:sqref>
                        </c15:fullRef>
                        <c15:formulaRef>
                          <c15:sqref>'2. Câu lạc bộ'!$E$47</c15:sqref>
                        </c15:formulaRef>
                      </c:ext>
                    </c:extLst>
                    <c:numCache>
                      <c:formatCode>General</c:formatCode>
                      <c:ptCount val="1"/>
                      <c:pt idx="0">
                        <c:v>0</c:v>
                      </c:pt>
                    </c:numCache>
                  </c:numRef>
                </c:val>
                <c:extLst>
                  <c:ext xmlns:c16="http://schemas.microsoft.com/office/drawing/2014/chart" uri="{C3380CC4-5D6E-409C-BE32-E72D297353CC}">
                    <c16:uniqueId val="{00000011-6FA9-43F5-9C0B-2DD3D8F7E1D3}"/>
                  </c:ext>
                </c:extLst>
              </c15:ser>
            </c15:filteredBarSeries>
          </c:ext>
        </c:extLst>
      </c:barChart>
      <c:catAx>
        <c:axId val="1592981456"/>
        <c:scaling>
          <c:orientation val="minMax"/>
        </c:scaling>
        <c:delete val="1"/>
        <c:axPos val="b"/>
        <c:numFmt formatCode="General" sourceLinked="1"/>
        <c:majorTickMark val="none"/>
        <c:minorTickMark val="none"/>
        <c:tickLblPos val="nextTo"/>
        <c:crossAx val="1592978096"/>
        <c:crosses val="autoZero"/>
        <c:auto val="1"/>
        <c:lblAlgn val="ctr"/>
        <c:lblOffset val="100"/>
        <c:noMultiLvlLbl val="0"/>
      </c:catAx>
      <c:valAx>
        <c:axId val="1592978096"/>
        <c:scaling>
          <c:orientation val="minMax"/>
        </c:scaling>
        <c:delete val="1"/>
        <c:axPos val="l"/>
        <c:numFmt formatCode="General" sourceLinked="1"/>
        <c:majorTickMark val="none"/>
        <c:minorTickMark val="none"/>
        <c:tickLblPos val="nextTo"/>
        <c:crossAx val="1592981456"/>
        <c:crosses val="autoZero"/>
        <c:crossBetween val="between"/>
      </c:valAx>
      <c:spPr>
        <a:noFill/>
        <a:ln>
          <a:noFill/>
        </a:ln>
        <a:effectLst/>
      </c:spPr>
    </c:plotArea>
    <c:legend>
      <c:legendPos val="b"/>
      <c:layout>
        <c:manualLayout>
          <c:xMode val="edge"/>
          <c:yMode val="edge"/>
          <c:x val="7.5274798210315075E-2"/>
          <c:y val="0.73057882644764893"/>
          <c:w val="0.85912404853370761"/>
          <c:h val="0.26942133057773693"/>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Số</a:t>
            </a:r>
            <a:r>
              <a:rPr lang="en-US" baseline="0"/>
              <a:t> lượng CLB Tiểu học</a:t>
            </a:r>
            <a:endParaRPr lang="en-US"/>
          </a:p>
        </c:rich>
      </c:tx>
      <c:layout>
        <c:manualLayout>
          <c:xMode val="edge"/>
          <c:yMode val="edge"/>
          <c:x val="0.47734488383934914"/>
          <c:y val="2.3014826259808031E-2"/>
        </c:manualLayout>
      </c:layout>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1.8614731987048301E-3"/>
          <c:y val="2.1305197507005928E-2"/>
          <c:w val="0.98456648536801383"/>
          <c:h val="0.58633238761157658"/>
        </c:manualLayout>
      </c:layout>
      <c:barChart>
        <c:barDir val="col"/>
        <c:grouping val="clustered"/>
        <c:varyColors val="0"/>
        <c:ser>
          <c:idx val="0"/>
          <c:order val="0"/>
          <c:tx>
            <c:strRef>
              <c:f>'2. Câu lạc bộ'!$B$21</c:f>
              <c:strCache>
                <c:ptCount val="1"/>
                <c:pt idx="0">
                  <c:v>CLB Aerobic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bộ'!$E$20:$M$20</c15:sqref>
                  </c15:fullRef>
                </c:ext>
              </c:extLst>
              <c:f>'2. Câu lạc bộ'!$E$20</c:f>
              <c:strCache>
                <c:ptCount val="1"/>
                <c:pt idx="0">
                  <c:v> Tháng 9 </c:v>
                </c:pt>
              </c:strCache>
            </c:strRef>
          </c:cat>
          <c:val>
            <c:numRef>
              <c:extLst>
                <c:ext xmlns:c15="http://schemas.microsoft.com/office/drawing/2012/chart" uri="{02D57815-91ED-43cb-92C2-25804820EDAC}">
                  <c15:fullRef>
                    <c15:sqref>'2. Câu lạc bộ'!$E$21:$M$21</c15:sqref>
                  </c15:fullRef>
                </c:ext>
              </c:extLst>
              <c:f>'2. Câu lạc bộ'!$E$21</c:f>
              <c:numCache>
                <c:formatCode>General</c:formatCode>
                <c:ptCount val="1"/>
                <c:pt idx="0">
                  <c:v>18</c:v>
                </c:pt>
              </c:numCache>
            </c:numRef>
          </c:val>
          <c:extLst>
            <c:ext xmlns:c16="http://schemas.microsoft.com/office/drawing/2014/chart" uri="{C3380CC4-5D6E-409C-BE32-E72D297353CC}">
              <c16:uniqueId val="{00000000-CFA1-44B6-8ED1-EA5AE4DB0B9A}"/>
            </c:ext>
          </c:extLst>
        </c:ser>
        <c:ser>
          <c:idx val="1"/>
          <c:order val="1"/>
          <c:tx>
            <c:strRef>
              <c:f>'2. Câu lạc bộ'!$B$22</c:f>
              <c:strCache>
                <c:ptCount val="1"/>
                <c:pt idx="0">
                  <c:v>CLB Ẩm thực</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bộ'!$E$20:$M$20</c15:sqref>
                  </c15:fullRef>
                </c:ext>
              </c:extLst>
              <c:f>'2. Câu lạc bộ'!$E$20</c:f>
              <c:strCache>
                <c:ptCount val="1"/>
                <c:pt idx="0">
                  <c:v> Tháng 9 </c:v>
                </c:pt>
              </c:strCache>
            </c:strRef>
          </c:cat>
          <c:val>
            <c:numRef>
              <c:extLst>
                <c:ext xmlns:c15="http://schemas.microsoft.com/office/drawing/2012/chart" uri="{02D57815-91ED-43cb-92C2-25804820EDAC}">
                  <c15:fullRef>
                    <c15:sqref>'2. Câu lạc bộ'!$E$22:$M$22</c15:sqref>
                  </c15:fullRef>
                </c:ext>
              </c:extLst>
              <c:f>'2. Câu lạc bộ'!$E$22</c:f>
              <c:numCache>
                <c:formatCode>General</c:formatCode>
                <c:ptCount val="1"/>
                <c:pt idx="0">
                  <c:v>16</c:v>
                </c:pt>
              </c:numCache>
            </c:numRef>
          </c:val>
          <c:extLst>
            <c:ext xmlns:c16="http://schemas.microsoft.com/office/drawing/2014/chart" uri="{C3380CC4-5D6E-409C-BE32-E72D297353CC}">
              <c16:uniqueId val="{00000000-71E2-4AE9-AE52-999F294D6F27}"/>
            </c:ext>
          </c:extLst>
        </c:ser>
        <c:ser>
          <c:idx val="2"/>
          <c:order val="2"/>
          <c:tx>
            <c:strRef>
              <c:f>'2. Câu lạc bộ'!$B$23</c:f>
              <c:strCache>
                <c:ptCount val="1"/>
                <c:pt idx="0">
                  <c:v>CLB Bơi lội cơ bản</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bộ'!$E$20:$M$20</c15:sqref>
                  </c15:fullRef>
                </c:ext>
              </c:extLst>
              <c:f>'2. Câu lạc bộ'!$E$20</c:f>
              <c:strCache>
                <c:ptCount val="1"/>
                <c:pt idx="0">
                  <c:v> Tháng 9 </c:v>
                </c:pt>
              </c:strCache>
            </c:strRef>
          </c:cat>
          <c:val>
            <c:numRef>
              <c:extLst>
                <c:ext xmlns:c15="http://schemas.microsoft.com/office/drawing/2012/chart" uri="{02D57815-91ED-43cb-92C2-25804820EDAC}">
                  <c15:fullRef>
                    <c15:sqref>'2. Câu lạc bộ'!$E$23:$M$23</c15:sqref>
                  </c15:fullRef>
                </c:ext>
              </c:extLst>
              <c:f>'2. Câu lạc bộ'!$E$23</c:f>
              <c:numCache>
                <c:formatCode>General</c:formatCode>
                <c:ptCount val="1"/>
                <c:pt idx="0">
                  <c:v>20</c:v>
                </c:pt>
              </c:numCache>
            </c:numRef>
          </c:val>
          <c:extLst>
            <c:ext xmlns:c16="http://schemas.microsoft.com/office/drawing/2014/chart" uri="{C3380CC4-5D6E-409C-BE32-E72D297353CC}">
              <c16:uniqueId val="{00000001-71E2-4AE9-AE52-999F294D6F27}"/>
            </c:ext>
          </c:extLst>
        </c:ser>
        <c:ser>
          <c:idx val="3"/>
          <c:order val="3"/>
          <c:tx>
            <c:strRef>
              <c:f>'2. Câu lạc bộ'!$B$24</c:f>
              <c:strCache>
                <c:ptCount val="1"/>
                <c:pt idx="0">
                  <c:v>CLB Bơi nâng cao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bộ'!$E$20:$M$20</c15:sqref>
                  </c15:fullRef>
                </c:ext>
              </c:extLst>
              <c:f>'2. Câu lạc bộ'!$E$20</c:f>
              <c:strCache>
                <c:ptCount val="1"/>
                <c:pt idx="0">
                  <c:v> Tháng 9 </c:v>
                </c:pt>
              </c:strCache>
            </c:strRef>
          </c:cat>
          <c:val>
            <c:numRef>
              <c:extLst>
                <c:ext xmlns:c15="http://schemas.microsoft.com/office/drawing/2012/chart" uri="{02D57815-91ED-43cb-92C2-25804820EDAC}">
                  <c15:fullRef>
                    <c15:sqref>'2. Câu lạc bộ'!$E$24:$M$24</c15:sqref>
                  </c15:fullRef>
                </c:ext>
              </c:extLst>
              <c:f>'2. Câu lạc bộ'!$E$24</c:f>
              <c:numCache>
                <c:formatCode>General</c:formatCode>
                <c:ptCount val="1"/>
                <c:pt idx="0">
                  <c:v>22</c:v>
                </c:pt>
              </c:numCache>
            </c:numRef>
          </c:val>
          <c:extLst>
            <c:ext xmlns:c16="http://schemas.microsoft.com/office/drawing/2014/chart" uri="{C3380CC4-5D6E-409C-BE32-E72D297353CC}">
              <c16:uniqueId val="{00000002-71E2-4AE9-AE52-999F294D6F27}"/>
            </c:ext>
          </c:extLst>
        </c:ser>
        <c:ser>
          <c:idx val="4"/>
          <c:order val="4"/>
          <c:tx>
            <c:strRef>
              <c:f>'2. Câu lạc bộ'!$B$25</c:f>
              <c:strCache>
                <c:ptCount val="1"/>
                <c:pt idx="0">
                  <c:v>CLB Bóng đá</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bộ'!$E$20:$M$20</c15:sqref>
                  </c15:fullRef>
                </c:ext>
              </c:extLst>
              <c:f>'2. Câu lạc bộ'!$E$20</c:f>
              <c:strCache>
                <c:ptCount val="1"/>
                <c:pt idx="0">
                  <c:v> Tháng 9 </c:v>
                </c:pt>
              </c:strCache>
            </c:strRef>
          </c:cat>
          <c:val>
            <c:numRef>
              <c:extLst>
                <c:ext xmlns:c15="http://schemas.microsoft.com/office/drawing/2012/chart" uri="{02D57815-91ED-43cb-92C2-25804820EDAC}">
                  <c15:fullRef>
                    <c15:sqref>'2. Câu lạc bộ'!$E$25:$M$25</c15:sqref>
                  </c15:fullRef>
                </c:ext>
              </c:extLst>
              <c:f>'2. Câu lạc bộ'!$E$25</c:f>
              <c:numCache>
                <c:formatCode>General</c:formatCode>
                <c:ptCount val="1"/>
                <c:pt idx="0">
                  <c:v>30</c:v>
                </c:pt>
              </c:numCache>
            </c:numRef>
          </c:val>
          <c:extLst>
            <c:ext xmlns:c16="http://schemas.microsoft.com/office/drawing/2014/chart" uri="{C3380CC4-5D6E-409C-BE32-E72D297353CC}">
              <c16:uniqueId val="{00000003-71E2-4AE9-AE52-999F294D6F27}"/>
            </c:ext>
          </c:extLst>
        </c:ser>
        <c:ser>
          <c:idx val="5"/>
          <c:order val="5"/>
          <c:tx>
            <c:strRef>
              <c:f>'2. Câu lạc bộ'!$B$26</c:f>
              <c:strCache>
                <c:ptCount val="1"/>
                <c:pt idx="0">
                  <c:v>CLB Bóng đá Nhí</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bộ'!$E$20:$M$20</c15:sqref>
                  </c15:fullRef>
                </c:ext>
              </c:extLst>
              <c:f>'2. Câu lạc bộ'!$E$20</c:f>
              <c:strCache>
                <c:ptCount val="1"/>
                <c:pt idx="0">
                  <c:v> Tháng 9 </c:v>
                </c:pt>
              </c:strCache>
            </c:strRef>
          </c:cat>
          <c:val>
            <c:numRef>
              <c:extLst>
                <c:ext xmlns:c15="http://schemas.microsoft.com/office/drawing/2012/chart" uri="{02D57815-91ED-43cb-92C2-25804820EDAC}">
                  <c15:fullRef>
                    <c15:sqref>'2. Câu lạc bộ'!$E$26:$M$26</c15:sqref>
                  </c15:fullRef>
                </c:ext>
              </c:extLst>
              <c:f>'2. Câu lạc bộ'!$E$26</c:f>
              <c:numCache>
                <c:formatCode>General</c:formatCode>
                <c:ptCount val="1"/>
                <c:pt idx="0">
                  <c:v>29</c:v>
                </c:pt>
              </c:numCache>
            </c:numRef>
          </c:val>
          <c:extLst>
            <c:ext xmlns:c16="http://schemas.microsoft.com/office/drawing/2014/chart" uri="{C3380CC4-5D6E-409C-BE32-E72D297353CC}">
              <c16:uniqueId val="{00000004-71E2-4AE9-AE52-999F294D6F27}"/>
            </c:ext>
          </c:extLst>
        </c:ser>
        <c:ser>
          <c:idx val="6"/>
          <c:order val="6"/>
          <c:tx>
            <c:strRef>
              <c:f>'2. Câu lạc bộ'!$B$27</c:f>
              <c:strCache>
                <c:ptCount val="1"/>
                <c:pt idx="0">
                  <c:v>CLB Bóng rổ</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bộ'!$E$20:$M$20</c15:sqref>
                  </c15:fullRef>
                </c:ext>
              </c:extLst>
              <c:f>'2. Câu lạc bộ'!$E$20</c:f>
              <c:strCache>
                <c:ptCount val="1"/>
                <c:pt idx="0">
                  <c:v> Tháng 9 </c:v>
                </c:pt>
              </c:strCache>
            </c:strRef>
          </c:cat>
          <c:val>
            <c:numRef>
              <c:extLst>
                <c:ext xmlns:c15="http://schemas.microsoft.com/office/drawing/2012/chart" uri="{02D57815-91ED-43cb-92C2-25804820EDAC}">
                  <c15:fullRef>
                    <c15:sqref>'2. Câu lạc bộ'!$E$27:$M$27</c15:sqref>
                  </c15:fullRef>
                </c:ext>
              </c:extLst>
              <c:f>'2. Câu lạc bộ'!$E$27</c:f>
              <c:numCache>
                <c:formatCode>General</c:formatCode>
                <c:ptCount val="1"/>
                <c:pt idx="0">
                  <c:v>17</c:v>
                </c:pt>
              </c:numCache>
            </c:numRef>
          </c:val>
          <c:extLst>
            <c:ext xmlns:c16="http://schemas.microsoft.com/office/drawing/2014/chart" uri="{C3380CC4-5D6E-409C-BE32-E72D297353CC}">
              <c16:uniqueId val="{00000005-71E2-4AE9-AE52-999F294D6F27}"/>
            </c:ext>
          </c:extLst>
        </c:ser>
        <c:ser>
          <c:idx val="7"/>
          <c:order val="7"/>
          <c:tx>
            <c:strRef>
              <c:f>'2. Câu lạc bộ'!$B$28</c:f>
              <c:strCache>
                <c:ptCount val="1"/>
                <c:pt idx="0">
                  <c:v>CLB Cờ vua</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bộ'!$E$20:$M$20</c15:sqref>
                  </c15:fullRef>
                </c:ext>
              </c:extLst>
              <c:f>'2. Câu lạc bộ'!$E$20</c:f>
              <c:strCache>
                <c:ptCount val="1"/>
                <c:pt idx="0">
                  <c:v> Tháng 9 </c:v>
                </c:pt>
              </c:strCache>
            </c:strRef>
          </c:cat>
          <c:val>
            <c:numRef>
              <c:extLst>
                <c:ext xmlns:c15="http://schemas.microsoft.com/office/drawing/2012/chart" uri="{02D57815-91ED-43cb-92C2-25804820EDAC}">
                  <c15:fullRef>
                    <c15:sqref>'2. Câu lạc bộ'!$E$28:$M$28</c15:sqref>
                  </c15:fullRef>
                </c:ext>
              </c:extLst>
              <c:f>'2. Câu lạc bộ'!$E$28</c:f>
              <c:numCache>
                <c:formatCode>General</c:formatCode>
                <c:ptCount val="1"/>
                <c:pt idx="0">
                  <c:v>19</c:v>
                </c:pt>
              </c:numCache>
            </c:numRef>
          </c:val>
          <c:extLst>
            <c:ext xmlns:c16="http://schemas.microsoft.com/office/drawing/2014/chart" uri="{C3380CC4-5D6E-409C-BE32-E72D297353CC}">
              <c16:uniqueId val="{00000006-71E2-4AE9-AE52-999F294D6F27}"/>
            </c:ext>
          </c:extLst>
        </c:ser>
        <c:ser>
          <c:idx val="8"/>
          <c:order val="8"/>
          <c:tx>
            <c:strRef>
              <c:f>'2. Câu lạc bộ'!$B$29</c:f>
              <c:strCache>
                <c:ptCount val="1"/>
                <c:pt idx="0">
                  <c:v>CLB Digital - Art</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bộ'!$E$20:$M$20</c15:sqref>
                  </c15:fullRef>
                </c:ext>
              </c:extLst>
              <c:f>'2. Câu lạc bộ'!$E$20</c:f>
              <c:strCache>
                <c:ptCount val="1"/>
                <c:pt idx="0">
                  <c:v> Tháng 9 </c:v>
                </c:pt>
              </c:strCache>
            </c:strRef>
          </c:cat>
          <c:val>
            <c:numRef>
              <c:extLst>
                <c:ext xmlns:c15="http://schemas.microsoft.com/office/drawing/2012/chart" uri="{02D57815-91ED-43cb-92C2-25804820EDAC}">
                  <c15:fullRef>
                    <c15:sqref>'2. Câu lạc bộ'!$E$29:$M$29</c15:sqref>
                  </c15:fullRef>
                </c:ext>
              </c:extLst>
              <c:f>'2. Câu lạc bộ'!$E$29</c:f>
              <c:numCache>
                <c:formatCode>General</c:formatCode>
                <c:ptCount val="1"/>
                <c:pt idx="0">
                  <c:v>28</c:v>
                </c:pt>
              </c:numCache>
            </c:numRef>
          </c:val>
          <c:extLst>
            <c:ext xmlns:c16="http://schemas.microsoft.com/office/drawing/2014/chart" uri="{C3380CC4-5D6E-409C-BE32-E72D297353CC}">
              <c16:uniqueId val="{00000007-71E2-4AE9-AE52-999F294D6F27}"/>
            </c:ext>
          </c:extLst>
        </c:ser>
        <c:ser>
          <c:idx val="9"/>
          <c:order val="9"/>
          <c:tx>
            <c:strRef>
              <c:f>'2. Câu lạc bộ'!$B$30</c:f>
              <c:strCache>
                <c:ptCount val="1"/>
                <c:pt idx="0">
                  <c:v>CLB Hội hoạ cơ bản</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bộ'!$E$20:$M$20</c15:sqref>
                  </c15:fullRef>
                </c:ext>
              </c:extLst>
              <c:f>'2. Câu lạc bộ'!$E$20</c:f>
              <c:strCache>
                <c:ptCount val="1"/>
                <c:pt idx="0">
                  <c:v> Tháng 9 </c:v>
                </c:pt>
              </c:strCache>
            </c:strRef>
          </c:cat>
          <c:val>
            <c:numRef>
              <c:extLst>
                <c:ext xmlns:c15="http://schemas.microsoft.com/office/drawing/2012/chart" uri="{02D57815-91ED-43cb-92C2-25804820EDAC}">
                  <c15:fullRef>
                    <c15:sqref>'2. Câu lạc bộ'!$E$30:$M$30</c15:sqref>
                  </c15:fullRef>
                </c:ext>
              </c:extLst>
              <c:f>'2. Câu lạc bộ'!$E$30</c:f>
              <c:numCache>
                <c:formatCode>General</c:formatCode>
                <c:ptCount val="1"/>
                <c:pt idx="0">
                  <c:v>25</c:v>
                </c:pt>
              </c:numCache>
            </c:numRef>
          </c:val>
          <c:extLst>
            <c:ext xmlns:c16="http://schemas.microsoft.com/office/drawing/2014/chart" uri="{C3380CC4-5D6E-409C-BE32-E72D297353CC}">
              <c16:uniqueId val="{00000008-71E2-4AE9-AE52-999F294D6F27}"/>
            </c:ext>
          </c:extLst>
        </c:ser>
        <c:ser>
          <c:idx val="10"/>
          <c:order val="10"/>
          <c:tx>
            <c:strRef>
              <c:f>'2. Câu lạc bộ'!$B$31</c:f>
              <c:strCache>
                <c:ptCount val="1"/>
                <c:pt idx="0">
                  <c:v>CLB Khoa học vui</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bộ'!$E$20:$M$20</c15:sqref>
                  </c15:fullRef>
                </c:ext>
              </c:extLst>
              <c:f>'2. Câu lạc bộ'!$E$20</c:f>
              <c:strCache>
                <c:ptCount val="1"/>
                <c:pt idx="0">
                  <c:v> Tháng 9 </c:v>
                </c:pt>
              </c:strCache>
            </c:strRef>
          </c:cat>
          <c:val>
            <c:numRef>
              <c:extLst>
                <c:ext xmlns:c15="http://schemas.microsoft.com/office/drawing/2012/chart" uri="{02D57815-91ED-43cb-92C2-25804820EDAC}">
                  <c15:fullRef>
                    <c15:sqref>'2. Câu lạc bộ'!$E$31:$M$31</c15:sqref>
                  </c15:fullRef>
                </c:ext>
              </c:extLst>
              <c:f>'2. Câu lạc bộ'!$E$31</c:f>
              <c:numCache>
                <c:formatCode>General</c:formatCode>
                <c:ptCount val="1"/>
                <c:pt idx="0">
                  <c:v>0</c:v>
                </c:pt>
              </c:numCache>
            </c:numRef>
          </c:val>
          <c:extLst>
            <c:ext xmlns:c16="http://schemas.microsoft.com/office/drawing/2014/chart" uri="{C3380CC4-5D6E-409C-BE32-E72D297353CC}">
              <c16:uniqueId val="{00000009-71E2-4AE9-AE52-999F294D6F27}"/>
            </c:ext>
          </c:extLst>
        </c:ser>
        <c:ser>
          <c:idx val="11"/>
          <c:order val="11"/>
          <c:tx>
            <c:strRef>
              <c:f>'2. Câu lạc bộ'!$B$32</c:f>
              <c:strCache>
                <c:ptCount val="1"/>
                <c:pt idx="0">
                  <c:v>CLB Lập trình Game </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bộ'!$E$20:$M$20</c15:sqref>
                  </c15:fullRef>
                </c:ext>
              </c:extLst>
              <c:f>'2. Câu lạc bộ'!$E$20</c:f>
              <c:strCache>
                <c:ptCount val="1"/>
                <c:pt idx="0">
                  <c:v> Tháng 9 </c:v>
                </c:pt>
              </c:strCache>
            </c:strRef>
          </c:cat>
          <c:val>
            <c:numRef>
              <c:extLst>
                <c:ext xmlns:c15="http://schemas.microsoft.com/office/drawing/2012/chart" uri="{02D57815-91ED-43cb-92C2-25804820EDAC}">
                  <c15:fullRef>
                    <c15:sqref>'2. Câu lạc bộ'!$E$32:$M$32</c15:sqref>
                  </c15:fullRef>
                </c:ext>
              </c:extLst>
              <c:f>'2. Câu lạc bộ'!$E$32</c:f>
              <c:numCache>
                <c:formatCode>General</c:formatCode>
                <c:ptCount val="1"/>
                <c:pt idx="0">
                  <c:v>9</c:v>
                </c:pt>
              </c:numCache>
            </c:numRef>
          </c:val>
          <c:extLst>
            <c:ext xmlns:c16="http://schemas.microsoft.com/office/drawing/2014/chart" uri="{C3380CC4-5D6E-409C-BE32-E72D297353CC}">
              <c16:uniqueId val="{0000000A-71E2-4AE9-AE52-999F294D6F27}"/>
            </c:ext>
          </c:extLst>
        </c:ser>
        <c:ser>
          <c:idx val="12"/>
          <c:order val="12"/>
          <c:tx>
            <c:strRef>
              <c:f>'2. Câu lạc bộ'!$B$33</c:f>
              <c:strCache>
                <c:ptCount val="1"/>
                <c:pt idx="0">
                  <c:v>CLB Nhảy hiện đại</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bộ'!$E$20:$M$20</c15:sqref>
                  </c15:fullRef>
                </c:ext>
              </c:extLst>
              <c:f>'2. Câu lạc bộ'!$E$20</c:f>
              <c:strCache>
                <c:ptCount val="1"/>
                <c:pt idx="0">
                  <c:v> Tháng 9 </c:v>
                </c:pt>
              </c:strCache>
            </c:strRef>
          </c:cat>
          <c:val>
            <c:numRef>
              <c:extLst>
                <c:ext xmlns:c15="http://schemas.microsoft.com/office/drawing/2012/chart" uri="{02D57815-91ED-43cb-92C2-25804820EDAC}">
                  <c15:fullRef>
                    <c15:sqref>'2. Câu lạc bộ'!$E$33:$M$33</c15:sqref>
                  </c15:fullRef>
                </c:ext>
              </c:extLst>
              <c:f>'2. Câu lạc bộ'!$E$33</c:f>
              <c:numCache>
                <c:formatCode>General</c:formatCode>
                <c:ptCount val="1"/>
                <c:pt idx="0">
                  <c:v>13</c:v>
                </c:pt>
              </c:numCache>
            </c:numRef>
          </c:val>
          <c:extLst>
            <c:ext xmlns:c16="http://schemas.microsoft.com/office/drawing/2014/chart" uri="{C3380CC4-5D6E-409C-BE32-E72D297353CC}">
              <c16:uniqueId val="{0000000B-71E2-4AE9-AE52-999F294D6F27}"/>
            </c:ext>
          </c:extLst>
        </c:ser>
        <c:ser>
          <c:idx val="13"/>
          <c:order val="13"/>
          <c:tx>
            <c:strRef>
              <c:f>'2. Câu lạc bộ'!$B$34</c:f>
              <c:strCache>
                <c:ptCount val="1"/>
                <c:pt idx="0">
                  <c:v>CLB Robotics - Plus (Khối 1)</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bộ'!$E$20:$M$20</c15:sqref>
                  </c15:fullRef>
                </c:ext>
              </c:extLst>
              <c:f>'2. Câu lạc bộ'!$E$20</c:f>
              <c:strCache>
                <c:ptCount val="1"/>
                <c:pt idx="0">
                  <c:v> Tháng 9 </c:v>
                </c:pt>
              </c:strCache>
            </c:strRef>
          </c:cat>
          <c:val>
            <c:numRef>
              <c:extLst>
                <c:ext xmlns:c15="http://schemas.microsoft.com/office/drawing/2012/chart" uri="{02D57815-91ED-43cb-92C2-25804820EDAC}">
                  <c15:fullRef>
                    <c15:sqref>'2. Câu lạc bộ'!$E$34:$M$34</c15:sqref>
                  </c15:fullRef>
                </c:ext>
              </c:extLst>
              <c:f>'2. Câu lạc bộ'!$E$34</c:f>
              <c:numCache>
                <c:formatCode>General</c:formatCode>
                <c:ptCount val="1"/>
                <c:pt idx="0">
                  <c:v>11</c:v>
                </c:pt>
              </c:numCache>
            </c:numRef>
          </c:val>
          <c:extLst>
            <c:ext xmlns:c16="http://schemas.microsoft.com/office/drawing/2014/chart" uri="{C3380CC4-5D6E-409C-BE32-E72D297353CC}">
              <c16:uniqueId val="{0000000C-71E2-4AE9-AE52-999F294D6F27}"/>
            </c:ext>
          </c:extLst>
        </c:ser>
        <c:ser>
          <c:idx val="14"/>
          <c:order val="14"/>
          <c:tx>
            <c:strRef>
              <c:f>'2. Câu lạc bộ'!$B$35</c:f>
              <c:strCache>
                <c:ptCount val="1"/>
                <c:pt idx="0">
                  <c:v>CLB Robotics Enrichment</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bộ'!$E$20:$M$20</c15:sqref>
                  </c15:fullRef>
                </c:ext>
              </c:extLst>
              <c:f>'2. Câu lạc bộ'!$E$20</c:f>
              <c:strCache>
                <c:ptCount val="1"/>
                <c:pt idx="0">
                  <c:v> Tháng 9 </c:v>
                </c:pt>
              </c:strCache>
            </c:strRef>
          </c:cat>
          <c:val>
            <c:numRef>
              <c:extLst>
                <c:ext xmlns:c15="http://schemas.microsoft.com/office/drawing/2012/chart" uri="{02D57815-91ED-43cb-92C2-25804820EDAC}">
                  <c15:fullRef>
                    <c15:sqref>'2. Câu lạc bộ'!$E$35:$M$35</c15:sqref>
                  </c15:fullRef>
                </c:ext>
              </c:extLst>
              <c:f>'2. Câu lạc bộ'!$E$35</c:f>
              <c:numCache>
                <c:formatCode>General</c:formatCode>
                <c:ptCount val="1"/>
                <c:pt idx="0">
                  <c:v>21</c:v>
                </c:pt>
              </c:numCache>
            </c:numRef>
          </c:val>
          <c:extLst>
            <c:ext xmlns:c16="http://schemas.microsoft.com/office/drawing/2014/chart" uri="{C3380CC4-5D6E-409C-BE32-E72D297353CC}">
              <c16:uniqueId val="{0000000D-71E2-4AE9-AE52-999F294D6F27}"/>
            </c:ext>
          </c:extLst>
        </c:ser>
        <c:ser>
          <c:idx val="15"/>
          <c:order val="15"/>
          <c:tx>
            <c:strRef>
              <c:f>'2. Câu lạc bộ'!$B$36</c:f>
              <c:strCache>
                <c:ptCount val="1"/>
                <c:pt idx="0">
                  <c:v>CLB Robotics Extended</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bộ'!$E$20:$M$20</c15:sqref>
                  </c15:fullRef>
                </c:ext>
              </c:extLst>
              <c:f>'2. Câu lạc bộ'!$E$20</c:f>
              <c:strCache>
                <c:ptCount val="1"/>
                <c:pt idx="0">
                  <c:v> Tháng 9 </c:v>
                </c:pt>
              </c:strCache>
            </c:strRef>
          </c:cat>
          <c:val>
            <c:numRef>
              <c:extLst>
                <c:ext xmlns:c15="http://schemas.microsoft.com/office/drawing/2012/chart" uri="{02D57815-91ED-43cb-92C2-25804820EDAC}">
                  <c15:fullRef>
                    <c15:sqref>'2. Câu lạc bộ'!$E$36:$M$36</c15:sqref>
                  </c15:fullRef>
                </c:ext>
              </c:extLst>
              <c:f>'2. Câu lạc bộ'!$E$36</c:f>
              <c:numCache>
                <c:formatCode>General</c:formatCode>
                <c:ptCount val="1"/>
                <c:pt idx="0">
                  <c:v>10</c:v>
                </c:pt>
              </c:numCache>
            </c:numRef>
          </c:val>
          <c:extLst>
            <c:ext xmlns:c16="http://schemas.microsoft.com/office/drawing/2014/chart" uri="{C3380CC4-5D6E-409C-BE32-E72D297353CC}">
              <c16:uniqueId val="{0000000E-71E2-4AE9-AE52-999F294D6F27}"/>
            </c:ext>
          </c:extLst>
        </c:ser>
        <c:ser>
          <c:idx val="16"/>
          <c:order val="16"/>
          <c:tx>
            <c:strRef>
              <c:f>'2. Câu lạc bộ'!$B$37</c:f>
              <c:strCache>
                <c:ptCount val="1"/>
                <c:pt idx="0">
                  <c:v>CLB Tiếng anh Lễ Hội Bốn Phương - Khối 2, 3</c:v>
                </c:pt>
              </c:strCache>
            </c:strRef>
          </c:tx>
          <c:spPr>
            <a:solidFill>
              <a:schemeClr val="accent5">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bộ'!$E$20:$M$20</c15:sqref>
                  </c15:fullRef>
                </c:ext>
              </c:extLst>
              <c:f>'2. Câu lạc bộ'!$E$20</c:f>
              <c:strCache>
                <c:ptCount val="1"/>
                <c:pt idx="0">
                  <c:v> Tháng 9 </c:v>
                </c:pt>
              </c:strCache>
            </c:strRef>
          </c:cat>
          <c:val>
            <c:numRef>
              <c:extLst>
                <c:ext xmlns:c15="http://schemas.microsoft.com/office/drawing/2012/chart" uri="{02D57815-91ED-43cb-92C2-25804820EDAC}">
                  <c15:fullRef>
                    <c15:sqref>'2. Câu lạc bộ'!$E$37:$M$37</c15:sqref>
                  </c15:fullRef>
                </c:ext>
              </c:extLst>
              <c:f>'2. Câu lạc bộ'!$E$37</c:f>
              <c:numCache>
                <c:formatCode>General</c:formatCode>
                <c:ptCount val="1"/>
                <c:pt idx="0">
                  <c:v>17</c:v>
                </c:pt>
              </c:numCache>
            </c:numRef>
          </c:val>
          <c:extLst>
            <c:ext xmlns:c16="http://schemas.microsoft.com/office/drawing/2014/chart" uri="{C3380CC4-5D6E-409C-BE32-E72D297353CC}">
              <c16:uniqueId val="{0000000F-71E2-4AE9-AE52-999F294D6F27}"/>
            </c:ext>
          </c:extLst>
        </c:ser>
        <c:ser>
          <c:idx val="17"/>
          <c:order val="17"/>
          <c:tx>
            <c:strRef>
              <c:f>'2. Câu lạc bộ'!$B$38</c:f>
              <c:strCache>
                <c:ptCount val="1"/>
                <c:pt idx="0">
                  <c:v>CLB Tiếng anh Nhà Khám Phá Nhí- Khối 1</c:v>
                </c:pt>
              </c:strCache>
            </c:strRef>
          </c:tx>
          <c:spPr>
            <a:solidFill>
              <a:schemeClr val="accent6">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bộ'!$E$20:$M$20</c15:sqref>
                  </c15:fullRef>
                </c:ext>
              </c:extLst>
              <c:f>'2. Câu lạc bộ'!$E$20</c:f>
              <c:strCache>
                <c:ptCount val="1"/>
                <c:pt idx="0">
                  <c:v> Tháng 9 </c:v>
                </c:pt>
              </c:strCache>
            </c:strRef>
          </c:cat>
          <c:val>
            <c:numRef>
              <c:extLst>
                <c:ext xmlns:c15="http://schemas.microsoft.com/office/drawing/2012/chart" uri="{02D57815-91ED-43cb-92C2-25804820EDAC}">
                  <c15:fullRef>
                    <c15:sqref>'2. Câu lạc bộ'!$E$38:$M$38</c15:sqref>
                  </c15:fullRef>
                </c:ext>
              </c:extLst>
              <c:f>'2. Câu lạc bộ'!$E$38</c:f>
              <c:numCache>
                <c:formatCode>General</c:formatCode>
                <c:ptCount val="1"/>
                <c:pt idx="0">
                  <c:v>15</c:v>
                </c:pt>
              </c:numCache>
            </c:numRef>
          </c:val>
          <c:extLst>
            <c:ext xmlns:c16="http://schemas.microsoft.com/office/drawing/2014/chart" uri="{C3380CC4-5D6E-409C-BE32-E72D297353CC}">
              <c16:uniqueId val="{00000010-71E2-4AE9-AE52-999F294D6F27}"/>
            </c:ext>
          </c:extLst>
        </c:ser>
        <c:ser>
          <c:idx val="18"/>
          <c:order val="18"/>
          <c:tx>
            <c:strRef>
              <c:f>'2. Câu lạc bộ'!$B$39</c:f>
              <c:strCache>
                <c:ptCount val="1"/>
                <c:pt idx="0">
                  <c:v>CLB Tiếng anh Nói Hay Tự Tin</c:v>
                </c:pt>
              </c:strCache>
            </c:strRef>
          </c:tx>
          <c:spPr>
            <a:solidFill>
              <a:schemeClr val="accent1">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bộ'!$E$20:$M$20</c15:sqref>
                  </c15:fullRef>
                </c:ext>
              </c:extLst>
              <c:f>'2. Câu lạc bộ'!$E$20</c:f>
              <c:strCache>
                <c:ptCount val="1"/>
                <c:pt idx="0">
                  <c:v> Tháng 9 </c:v>
                </c:pt>
              </c:strCache>
            </c:strRef>
          </c:cat>
          <c:val>
            <c:numRef>
              <c:extLst>
                <c:ext xmlns:c15="http://schemas.microsoft.com/office/drawing/2012/chart" uri="{02D57815-91ED-43cb-92C2-25804820EDAC}">
                  <c15:fullRef>
                    <c15:sqref>'2. Câu lạc bộ'!$E$39:$M$39</c15:sqref>
                  </c15:fullRef>
                </c:ext>
              </c:extLst>
              <c:f>'2. Câu lạc bộ'!$E$39</c:f>
              <c:numCache>
                <c:formatCode>General</c:formatCode>
                <c:ptCount val="1"/>
                <c:pt idx="0">
                  <c:v>14</c:v>
                </c:pt>
              </c:numCache>
            </c:numRef>
          </c:val>
          <c:extLst>
            <c:ext xmlns:c16="http://schemas.microsoft.com/office/drawing/2014/chart" uri="{C3380CC4-5D6E-409C-BE32-E72D297353CC}">
              <c16:uniqueId val="{00000011-71E2-4AE9-AE52-999F294D6F27}"/>
            </c:ext>
          </c:extLst>
        </c:ser>
        <c:ser>
          <c:idx val="19"/>
          <c:order val="19"/>
          <c:tx>
            <c:strRef>
              <c:f>'2. Câu lạc bộ'!$B$40</c:f>
              <c:strCache>
                <c:ptCount val="1"/>
                <c:pt idx="0">
                  <c:v>CLB Võ Việt Nam</c:v>
                </c:pt>
              </c:strCache>
            </c:strRef>
          </c:tx>
          <c:spPr>
            <a:solidFill>
              <a:schemeClr val="accent2">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bộ'!$E$20:$M$20</c15:sqref>
                  </c15:fullRef>
                </c:ext>
              </c:extLst>
              <c:f>'2. Câu lạc bộ'!$E$20</c:f>
              <c:strCache>
                <c:ptCount val="1"/>
                <c:pt idx="0">
                  <c:v> Tháng 9 </c:v>
                </c:pt>
              </c:strCache>
            </c:strRef>
          </c:cat>
          <c:val>
            <c:numRef>
              <c:extLst>
                <c:ext xmlns:c15="http://schemas.microsoft.com/office/drawing/2012/chart" uri="{02D57815-91ED-43cb-92C2-25804820EDAC}">
                  <c15:fullRef>
                    <c15:sqref>'2. Câu lạc bộ'!$E$40:$M$40</c15:sqref>
                  </c15:fullRef>
                </c:ext>
              </c:extLst>
              <c:f>'2. Câu lạc bộ'!$E$40</c:f>
              <c:numCache>
                <c:formatCode>General</c:formatCode>
                <c:ptCount val="1"/>
                <c:pt idx="0">
                  <c:v>19</c:v>
                </c:pt>
              </c:numCache>
            </c:numRef>
          </c:val>
          <c:extLst>
            <c:ext xmlns:c16="http://schemas.microsoft.com/office/drawing/2014/chart" uri="{C3380CC4-5D6E-409C-BE32-E72D297353CC}">
              <c16:uniqueId val="{00000012-71E2-4AE9-AE52-999F294D6F27}"/>
            </c:ext>
          </c:extLst>
        </c:ser>
        <c:dLbls>
          <c:dLblPos val="outEnd"/>
          <c:showLegendKey val="0"/>
          <c:showVal val="1"/>
          <c:showCatName val="0"/>
          <c:showSerName val="0"/>
          <c:showPercent val="0"/>
          <c:showBubbleSize val="0"/>
        </c:dLbls>
        <c:gapWidth val="219"/>
        <c:overlap val="-27"/>
        <c:axId val="1592908496"/>
        <c:axId val="1592910896"/>
      </c:barChart>
      <c:catAx>
        <c:axId val="1592908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592910896"/>
        <c:crosses val="autoZero"/>
        <c:auto val="1"/>
        <c:lblAlgn val="ctr"/>
        <c:lblOffset val="100"/>
        <c:noMultiLvlLbl val="0"/>
      </c:catAx>
      <c:valAx>
        <c:axId val="1592910896"/>
        <c:scaling>
          <c:orientation val="minMax"/>
        </c:scaling>
        <c:delete val="1"/>
        <c:axPos val="l"/>
        <c:numFmt formatCode="General" sourceLinked="1"/>
        <c:majorTickMark val="none"/>
        <c:minorTickMark val="none"/>
        <c:tickLblPos val="nextTo"/>
        <c:crossAx val="1592908496"/>
        <c:crosses val="autoZero"/>
        <c:crossBetween val="between"/>
      </c:valAx>
      <c:spPr>
        <a:noFill/>
        <a:ln>
          <a:noFill/>
        </a:ln>
        <a:effectLst/>
      </c:spPr>
    </c:plotArea>
    <c:legend>
      <c:legendPos val="b"/>
      <c:layout>
        <c:manualLayout>
          <c:xMode val="edge"/>
          <c:yMode val="edge"/>
          <c:x val="1.9866702382362957E-2"/>
          <c:y val="0.65631990524418904"/>
          <c:w val="0.97015652842212807"/>
          <c:h val="0.22569244725889795"/>
        </c:manualLayout>
      </c:layout>
      <c:overlay val="1"/>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Lũy</a:t>
            </a:r>
            <a:r>
              <a:rPr lang="en-US" baseline="0"/>
              <a:t> kế t</a:t>
            </a:r>
            <a:r>
              <a:rPr lang="en-US"/>
              <a:t>ỷ lệ chăm sóc theo cấp từ</a:t>
            </a:r>
            <a:r>
              <a:rPr lang="en-US" baseline="0"/>
              <a:t> đầu năm đến tháng báo cáo</a:t>
            </a:r>
            <a:endParaRPr lang="en-US"/>
          </a:p>
        </c:rich>
      </c:tx>
      <c:layout>
        <c:manualLayout>
          <c:xMode val="edge"/>
          <c:yMode val="edge"/>
          <c:x val="0.12744554273011865"/>
          <c:y val="0"/>
        </c:manualLayout>
      </c:layout>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7.4448676310496328E-2"/>
          <c:y val="0.23515583177434665"/>
          <c:w val="0.3890813835085889"/>
          <c:h val="0.60528802724286879"/>
        </c:manualLayout>
      </c:layout>
      <c:pieChart>
        <c:varyColors val="1"/>
        <c:ser>
          <c:idx val="0"/>
          <c:order val="0"/>
          <c:tx>
            <c:strRef>
              <c:f>'4. Khám sức khỏe'!$N$2</c:f>
              <c:strCache>
                <c:ptCount val="1"/>
                <c:pt idx="0">
                  <c:v>Tỷ lệ chăm sóc theo cấp</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1F-4480-AFAE-504132EAB2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1F-4480-AFAE-504132EAB23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1F-4480-AFAE-504132EAB23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31F-4480-AFAE-504132EAB23C}"/>
              </c:ext>
            </c:extLst>
          </c:dPt>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extLst>
                <c:ext xmlns:c15="http://schemas.microsoft.com/office/drawing/2012/chart" uri="{02D57815-91ED-43cb-92C2-25804820EDAC}">
                  <c15:fullRef>
                    <c15:sqref>'4. Khám sức khỏe'!$O$1:$S$1</c15:sqref>
                  </c15:fullRef>
                </c:ext>
              </c:extLst>
              <c:f>'4. Khám sức khỏe'!$O$1:$R$1</c:f>
              <c:strCache>
                <c:ptCount val="4"/>
                <c:pt idx="0">
                  <c:v>Học sinh mầm non</c:v>
                </c:pt>
                <c:pt idx="1">
                  <c:v>Học sinh tiểu học </c:v>
                </c:pt>
                <c:pt idx="2">
                  <c:v>Học sinh cấp 2</c:v>
                </c:pt>
                <c:pt idx="3">
                  <c:v>Học sinh cấp 3</c:v>
                </c:pt>
              </c:strCache>
            </c:strRef>
          </c:cat>
          <c:val>
            <c:numRef>
              <c:extLst>
                <c:ext xmlns:c15="http://schemas.microsoft.com/office/drawing/2012/chart" uri="{02D57815-91ED-43cb-92C2-25804820EDAC}">
                  <c15:fullRef>
                    <c15:sqref>'4. Khám sức khỏe'!$O$2:$S$2</c15:sqref>
                  </c15:fullRef>
                </c:ext>
              </c:extLst>
              <c:f>'4. Khám sức khỏe'!$O$2:$R$2</c:f>
              <c:numCache>
                <c:formatCode>0%</c:formatCode>
                <c:ptCount val="4"/>
                <c:pt idx="0">
                  <c:v>8.4349098000975134E-2</c:v>
                </c:pt>
                <c:pt idx="1">
                  <c:v>0.41491955143832276</c:v>
                </c:pt>
                <c:pt idx="2">
                  <c:v>0.35104826913700632</c:v>
                </c:pt>
                <c:pt idx="3">
                  <c:v>0.14968308142369577</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0-0A80-49EB-B36F-8C4759A7EA6C}"/>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50393583646702511"/>
          <c:y val="0.3670176971268948"/>
          <c:w val="0.47053224008451672"/>
          <c:h val="0.41438309215735442"/>
        </c:manualLayout>
      </c:layout>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8"/>
          <c:order val="8"/>
          <c:tx>
            <c:strRef>
              <c:f>'1. Sĩ số học sinh'!$J$2</c:f>
              <c:strCache>
                <c:ptCount val="1"/>
                <c:pt idx="0">
                  <c:v>Số học sinh chỉ tiêu năm 26 - 27 </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Sĩ số học sinh'!$A$3,'1. Sĩ số học sinh'!$A$8,'1. Sĩ số học sinh'!$A$13,'1. Sĩ số học sinh'!$A$19,'1. Sĩ số học sinh'!$A$24)</c:f>
              <c:strCache>
                <c:ptCount val="5"/>
                <c:pt idx="0">
                  <c:v>MN Biên Hòa</c:v>
                </c:pt>
                <c:pt idx="1">
                  <c:v>MN Long Khánh </c:v>
                </c:pt>
                <c:pt idx="2">
                  <c:v>Tiểu học</c:v>
                </c:pt>
                <c:pt idx="3">
                  <c:v>THCS </c:v>
                </c:pt>
                <c:pt idx="4">
                  <c:v>THPT</c:v>
                </c:pt>
              </c:strCache>
            </c:strRef>
          </c:cat>
          <c:val>
            <c:numRef>
              <c:f>('1. Sĩ số học sinh'!$J$3,'1. Sĩ số học sinh'!$J$8,'1. Sĩ số học sinh'!$J$13,'1. Sĩ số học sinh'!$J$19,'1. Sĩ số học sinh'!$J$24)</c:f>
              <c:numCache>
                <c:formatCode>General</c:formatCode>
                <c:ptCount val="5"/>
                <c:pt idx="0">
                  <c:v>406</c:v>
                </c:pt>
                <c:pt idx="1">
                  <c:v>166</c:v>
                </c:pt>
                <c:pt idx="2">
                  <c:v>980</c:v>
                </c:pt>
                <c:pt idx="3">
                  <c:v>841</c:v>
                </c:pt>
                <c:pt idx="4">
                  <c:v>480</c:v>
                </c:pt>
              </c:numCache>
            </c:numRef>
          </c:val>
          <c:extLst>
            <c:ext xmlns:c16="http://schemas.microsoft.com/office/drawing/2014/chart" uri="{C3380CC4-5D6E-409C-BE32-E72D297353CC}">
              <c16:uniqueId val="{0000000C-208C-4DA7-9E71-2796BC9F7146}"/>
            </c:ext>
          </c:extLst>
        </c:ser>
        <c:ser>
          <c:idx val="10"/>
          <c:order val="10"/>
          <c:tx>
            <c:strRef>
              <c:f>'1. Sĩ số học sinh'!$L$2</c:f>
              <c:strCache>
                <c:ptCount val="1"/>
                <c:pt idx="0">
                  <c:v>9/2026</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 Sĩ số học sinh'!$A$3,'1. Sĩ số học sinh'!$A$8,'1. Sĩ số học sinh'!$A$13,'1. Sĩ số học sinh'!$A$19,'1. Sĩ số học sinh'!$A$24)</c:f>
              <c:strCache>
                <c:ptCount val="5"/>
                <c:pt idx="0">
                  <c:v>MN Biên Hòa</c:v>
                </c:pt>
                <c:pt idx="1">
                  <c:v>MN Long Khánh </c:v>
                </c:pt>
                <c:pt idx="2">
                  <c:v>Tiểu học</c:v>
                </c:pt>
                <c:pt idx="3">
                  <c:v>THCS </c:v>
                </c:pt>
                <c:pt idx="4">
                  <c:v>THPT</c:v>
                </c:pt>
              </c:strCache>
            </c:strRef>
          </c:cat>
          <c:val>
            <c:numRef>
              <c:f>('1. Sĩ số học sinh'!$L$3,'1. Sĩ số học sinh'!$L$8,'1. Sĩ số học sinh'!$L$13,'1. Sĩ số học sinh'!$L$19,'1. Sĩ số học sinh'!$L$24)</c:f>
              <c:numCache>
                <c:formatCode>General</c:formatCode>
                <c:ptCount val="5"/>
                <c:pt idx="0">
                  <c:v>357</c:v>
                </c:pt>
                <c:pt idx="1">
                  <c:v>129</c:v>
                </c:pt>
                <c:pt idx="2">
                  <c:v>897</c:v>
                </c:pt>
                <c:pt idx="3">
                  <c:v>799</c:v>
                </c:pt>
                <c:pt idx="4">
                  <c:v>443</c:v>
                </c:pt>
              </c:numCache>
            </c:numRef>
          </c:val>
          <c:extLst>
            <c:ext xmlns:c16="http://schemas.microsoft.com/office/drawing/2014/chart" uri="{C3380CC4-5D6E-409C-BE32-E72D297353CC}">
              <c16:uniqueId val="{00000001-ECD8-4128-9EB9-9713CEBAAECC}"/>
            </c:ext>
          </c:extLst>
        </c:ser>
        <c:dLbls>
          <c:dLblPos val="outEnd"/>
          <c:showLegendKey val="0"/>
          <c:showVal val="1"/>
          <c:showCatName val="0"/>
          <c:showSerName val="0"/>
          <c:showPercent val="0"/>
          <c:showBubbleSize val="0"/>
        </c:dLbls>
        <c:gapWidth val="219"/>
        <c:overlap val="-27"/>
        <c:axId val="722320416"/>
        <c:axId val="893078544"/>
        <c:extLst>
          <c:ext xmlns:c15="http://schemas.microsoft.com/office/drawing/2012/chart" uri="{02D57815-91ED-43cb-92C2-25804820EDAC}">
            <c15:filteredBarSeries>
              <c15:ser>
                <c:idx val="0"/>
                <c:order val="0"/>
                <c:tx>
                  <c:strRef>
                    <c:extLst>
                      <c:ext uri="{02D57815-91ED-43cb-92C2-25804820EDAC}">
                        <c15:formulaRef>
                          <c15:sqref>'1. Sĩ số học sinh'!$B$2</c15:sqref>
                        </c15:formulaRef>
                      </c:ext>
                    </c:extLst>
                    <c:strCache>
                      <c:ptCount val="1"/>
                      <c:pt idx="0">
                        <c:v>Số lớp 22 – 23</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('1. Sĩ số học sinh'!$A$3,'1. Sĩ số học sinh'!$A$8,'1. Sĩ số học sinh'!$A$13,'1. Sĩ số học sinh'!$A$19,'1. Sĩ số học sinh'!$A$24)</c15:sqref>
                        </c15:formulaRef>
                      </c:ext>
                    </c:extLst>
                    <c:strCache>
                      <c:ptCount val="5"/>
                      <c:pt idx="0">
                        <c:v>MN Biên Hòa</c:v>
                      </c:pt>
                      <c:pt idx="1">
                        <c:v>MN Long Khánh </c:v>
                      </c:pt>
                      <c:pt idx="2">
                        <c:v>Tiểu học</c:v>
                      </c:pt>
                      <c:pt idx="3">
                        <c:v>THCS </c:v>
                      </c:pt>
                      <c:pt idx="4">
                        <c:v>THPT</c:v>
                      </c:pt>
                    </c:strCache>
                  </c:strRef>
                </c:cat>
                <c:val>
                  <c:numRef>
                    <c:extLst>
                      <c:ext uri="{02D57815-91ED-43cb-92C2-25804820EDAC}">
                        <c15:formulaRef>
                          <c15:sqref>('1. Sĩ số học sinh'!$B$3,'1. Sĩ số học sinh'!$B$8,'1. Sĩ số học sinh'!$B$13,'1. Sĩ số học sinh'!$B$19,'1. Sĩ số học sinh'!$B$24)</c15:sqref>
                        </c15:formulaRef>
                      </c:ext>
                    </c:extLst>
                  </c:numRef>
                </c:val>
                <c:extLst>
                  <c:ext xmlns:c16="http://schemas.microsoft.com/office/drawing/2014/chart" uri="{C3380CC4-5D6E-409C-BE32-E72D297353CC}">
                    <c16:uniqueId val="{00000000-208C-4DA7-9E71-2796BC9F7146}"/>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'1. Sĩ số học sinh'!$C$2</c15:sqref>
                        </c15:formulaRef>
                      </c:ext>
                    </c:extLst>
                    <c:strCache>
                      <c:ptCount val="1"/>
                      <c:pt idx="0">
                        <c:v>Số lớp 23 - 24</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('1. Sĩ số học sinh'!$A$3,'1. Sĩ số học sinh'!$A$8,'1. Sĩ số học sinh'!$A$13,'1. Sĩ số học sinh'!$A$19,'1. Sĩ số học sinh'!$A$24)</c15:sqref>
                        </c15:formulaRef>
                      </c:ext>
                    </c:extLst>
                    <c:strCache>
                      <c:ptCount val="5"/>
                      <c:pt idx="0">
                        <c:v>MN Biên Hòa</c:v>
                      </c:pt>
                      <c:pt idx="1">
                        <c:v>MN Long Khánh </c:v>
                      </c:pt>
                      <c:pt idx="2">
                        <c:v>Tiểu học</c:v>
                      </c:pt>
                      <c:pt idx="3">
                        <c:v>THCS </c:v>
                      </c:pt>
                      <c:pt idx="4">
                        <c:v>THPT</c:v>
                      </c:pt>
                    </c:strCache>
                  </c:strRef>
                </c:cat>
                <c:val>
                  <c:numRef>
                    <c:extLst xmlns:c15="http://schemas.microsoft.com/office/drawing/2012/chart">
                      <c:ext xmlns:c15="http://schemas.microsoft.com/office/drawing/2012/chart" uri="{02D57815-91ED-43cb-92C2-25804820EDAC}">
                        <c15:formulaRef>
                          <c15:sqref>('1. Sĩ số học sinh'!$C$3,'1. Sĩ số học sinh'!$C$8,'1. Sĩ số học sinh'!$C$13,'1. Sĩ số học sinh'!$C$19,'1. Sĩ số học sinh'!$C$24)</c15:sqref>
                        </c15:formulaRef>
                      </c:ext>
                    </c:extLst>
                  </c:numRef>
                </c:val>
                <c:extLst xmlns:c15="http://schemas.microsoft.com/office/drawing/2012/chart">
                  <c:ext xmlns:c16="http://schemas.microsoft.com/office/drawing/2014/chart" uri="{C3380CC4-5D6E-409C-BE32-E72D297353CC}">
                    <c16:uniqueId val="{00000005-208C-4DA7-9E71-2796BC9F7146}"/>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'1. Sĩ số học sinh'!$D$2</c15:sqref>
                        </c15:formulaRef>
                      </c:ext>
                    </c:extLst>
                    <c:strCache>
                      <c:ptCount val="1"/>
                      <c:pt idx="0">
                        <c:v>Số lớp 24 - 25
Mục tiêu</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('1. Sĩ số học sinh'!$A$3,'1. Sĩ số học sinh'!$A$8,'1. Sĩ số học sinh'!$A$13,'1. Sĩ số học sinh'!$A$19,'1. Sĩ số học sinh'!$A$24)</c15:sqref>
                        </c15:formulaRef>
                      </c:ext>
                    </c:extLst>
                    <c:strCache>
                      <c:ptCount val="5"/>
                      <c:pt idx="0">
                        <c:v>MN Biên Hòa</c:v>
                      </c:pt>
                      <c:pt idx="1">
                        <c:v>MN Long Khánh </c:v>
                      </c:pt>
                      <c:pt idx="2">
                        <c:v>Tiểu học</c:v>
                      </c:pt>
                      <c:pt idx="3">
                        <c:v>THCS </c:v>
                      </c:pt>
                      <c:pt idx="4">
                        <c:v>THPT</c:v>
                      </c:pt>
                    </c:strCache>
                  </c:strRef>
                </c:cat>
                <c:val>
                  <c:numRef>
                    <c:extLst xmlns:c15="http://schemas.microsoft.com/office/drawing/2012/chart">
                      <c:ext xmlns:c15="http://schemas.microsoft.com/office/drawing/2012/chart" uri="{02D57815-91ED-43cb-92C2-25804820EDAC}">
                        <c15:formulaRef>
                          <c15:sqref>('1. Sĩ số học sinh'!$D$3,'1. Sĩ số học sinh'!$D$8,'1. Sĩ số học sinh'!$D$13,'1. Sĩ số học sinh'!$D$19,'1. Sĩ số học sinh'!$D$24)</c15:sqref>
                        </c15:formulaRef>
                      </c:ext>
                    </c:extLst>
                  </c:numRef>
                </c:val>
                <c:extLst xmlns:c15="http://schemas.microsoft.com/office/drawing/2012/chart">
                  <c:ext xmlns:c16="http://schemas.microsoft.com/office/drawing/2014/chart" uri="{C3380CC4-5D6E-409C-BE32-E72D297353CC}">
                    <c16:uniqueId val="{00000006-208C-4DA7-9E71-2796BC9F7146}"/>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'1. Sĩ số học sinh'!$E$2</c15:sqref>
                        </c15:formulaRef>
                      </c:ext>
                    </c:extLst>
                    <c:strCache>
                      <c:ptCount val="1"/>
                      <c:pt idx="0">
                        <c:v>Số lớp 24 - 25
Thực tế</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('1. Sĩ số học sinh'!$A$3,'1. Sĩ số học sinh'!$A$8,'1. Sĩ số học sinh'!$A$13,'1. Sĩ số học sinh'!$A$19,'1. Sĩ số học sinh'!$A$24)</c15:sqref>
                        </c15:formulaRef>
                      </c:ext>
                    </c:extLst>
                    <c:strCache>
                      <c:ptCount val="5"/>
                      <c:pt idx="0">
                        <c:v>MN Biên Hòa</c:v>
                      </c:pt>
                      <c:pt idx="1">
                        <c:v>MN Long Khánh </c:v>
                      </c:pt>
                      <c:pt idx="2">
                        <c:v>Tiểu học</c:v>
                      </c:pt>
                      <c:pt idx="3">
                        <c:v>THCS </c:v>
                      </c:pt>
                      <c:pt idx="4">
                        <c:v>THPT</c:v>
                      </c:pt>
                    </c:strCache>
                  </c:strRef>
                </c:cat>
                <c:val>
                  <c:numRef>
                    <c:extLst xmlns:c15="http://schemas.microsoft.com/office/drawing/2012/chart">
                      <c:ext xmlns:c15="http://schemas.microsoft.com/office/drawing/2012/chart" uri="{02D57815-91ED-43cb-92C2-25804820EDAC}">
                        <c15:formulaRef>
                          <c15:sqref>('1. Sĩ số học sinh'!$E$3,'1. Sĩ số học sinh'!$E$8,'1. Sĩ số học sinh'!$E$13,'1. Sĩ số học sinh'!$E$19,'1. Sĩ số học sinh'!$E$24)</c15:sqref>
                        </c15:formulaRef>
                      </c:ext>
                    </c:extLst>
                  </c:numRef>
                </c:val>
                <c:extLst xmlns:c15="http://schemas.microsoft.com/office/drawing/2012/chart">
                  <c:ext xmlns:c16="http://schemas.microsoft.com/office/drawing/2014/chart" uri="{C3380CC4-5D6E-409C-BE32-E72D297353CC}">
                    <c16:uniqueId val="{00000007-208C-4DA7-9E71-2796BC9F7146}"/>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'1. Sĩ số học sinh'!$F$2</c15:sqref>
                        </c15:formulaRef>
                      </c:ext>
                    </c:extLst>
                    <c:strCache>
                      <c:ptCount val="1"/>
                      <c:pt idx="0">
                        <c:v>Số học sinh 22 - 23</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('1. Sĩ số học sinh'!$A$3,'1. Sĩ số học sinh'!$A$8,'1. Sĩ số học sinh'!$A$13,'1. Sĩ số học sinh'!$A$19,'1. Sĩ số học sinh'!$A$24)</c15:sqref>
                        </c15:formulaRef>
                      </c:ext>
                    </c:extLst>
                    <c:strCache>
                      <c:ptCount val="5"/>
                      <c:pt idx="0">
                        <c:v>MN Biên Hòa</c:v>
                      </c:pt>
                      <c:pt idx="1">
                        <c:v>MN Long Khánh </c:v>
                      </c:pt>
                      <c:pt idx="2">
                        <c:v>Tiểu học</c:v>
                      </c:pt>
                      <c:pt idx="3">
                        <c:v>THCS </c:v>
                      </c:pt>
                      <c:pt idx="4">
                        <c:v>THPT</c:v>
                      </c:pt>
                    </c:strCache>
                  </c:strRef>
                </c:cat>
                <c:val>
                  <c:numRef>
                    <c:extLst xmlns:c15="http://schemas.microsoft.com/office/drawing/2012/chart">
                      <c:ext xmlns:c15="http://schemas.microsoft.com/office/drawing/2012/chart" uri="{02D57815-91ED-43cb-92C2-25804820EDAC}">
                        <c15:formulaRef>
                          <c15:sqref>('1. Sĩ số học sinh'!$F$3,'1. Sĩ số học sinh'!$F$8,'1. Sĩ số học sinh'!$F$13,'1. Sĩ số học sinh'!$F$19,'1. Sĩ số học sinh'!$F$24)</c15:sqref>
                        </c15:formulaRef>
                      </c:ext>
                    </c:extLst>
                  </c:numRef>
                </c:val>
                <c:extLst xmlns:c15="http://schemas.microsoft.com/office/drawing/2012/chart">
                  <c:ext xmlns:c16="http://schemas.microsoft.com/office/drawing/2014/chart" uri="{C3380CC4-5D6E-409C-BE32-E72D297353CC}">
                    <c16:uniqueId val="{00000008-208C-4DA7-9E71-2796BC9F7146}"/>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'1. Sĩ số học sinh'!$G$2</c15:sqref>
                        </c15:formulaRef>
                      </c:ext>
                    </c:extLst>
                    <c:strCache>
                      <c:ptCount val="1"/>
                      <c:pt idx="0">
                        <c:v>Số học sinh 23 - 24</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('1. Sĩ số học sinh'!$A$3,'1. Sĩ số học sinh'!$A$8,'1. Sĩ số học sinh'!$A$13,'1. Sĩ số học sinh'!$A$19,'1. Sĩ số học sinh'!$A$24)</c15:sqref>
                        </c15:formulaRef>
                      </c:ext>
                    </c:extLst>
                    <c:strCache>
                      <c:ptCount val="5"/>
                      <c:pt idx="0">
                        <c:v>MN Biên Hòa</c:v>
                      </c:pt>
                      <c:pt idx="1">
                        <c:v>MN Long Khánh </c:v>
                      </c:pt>
                      <c:pt idx="2">
                        <c:v>Tiểu học</c:v>
                      </c:pt>
                      <c:pt idx="3">
                        <c:v>THCS </c:v>
                      </c:pt>
                      <c:pt idx="4">
                        <c:v>THPT</c:v>
                      </c:pt>
                    </c:strCache>
                  </c:strRef>
                </c:cat>
                <c:val>
                  <c:numRef>
                    <c:extLst xmlns:c15="http://schemas.microsoft.com/office/drawing/2012/chart">
                      <c:ext xmlns:c15="http://schemas.microsoft.com/office/drawing/2012/chart" uri="{02D57815-91ED-43cb-92C2-25804820EDAC}">
                        <c15:formulaRef>
                          <c15:sqref>('1. Sĩ số học sinh'!$G$3,'1. Sĩ số học sinh'!$G$8,'1. Sĩ số học sinh'!$G$13,'1. Sĩ số học sinh'!$G$19,'1. Sĩ số học sinh'!$G$24)</c15:sqref>
                        </c15:formulaRef>
                      </c:ext>
                    </c:extLst>
                  </c:numRef>
                </c:val>
                <c:extLst xmlns:c15="http://schemas.microsoft.com/office/drawing/2012/chart">
                  <c:ext xmlns:c16="http://schemas.microsoft.com/office/drawing/2014/chart" uri="{C3380CC4-5D6E-409C-BE32-E72D297353CC}">
                    <c16:uniqueId val="{00000009-208C-4DA7-9E71-2796BC9F7146}"/>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'1. Sĩ số học sinh'!$H$2</c15:sqref>
                        </c15:formulaRef>
                      </c:ext>
                    </c:extLst>
                    <c:strCache>
                      <c:ptCount val="1"/>
                      <c:pt idx="0">
                        <c:v>Số học sinh 24 -25</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('1. Sĩ số học sinh'!$A$3,'1. Sĩ số học sinh'!$A$8,'1. Sĩ số học sinh'!$A$13,'1. Sĩ số học sinh'!$A$19,'1. Sĩ số học sinh'!$A$24)</c15:sqref>
                        </c15:formulaRef>
                      </c:ext>
                    </c:extLst>
                    <c:strCache>
                      <c:ptCount val="5"/>
                      <c:pt idx="0">
                        <c:v>MN Biên Hòa</c:v>
                      </c:pt>
                      <c:pt idx="1">
                        <c:v>MN Long Khánh </c:v>
                      </c:pt>
                      <c:pt idx="2">
                        <c:v>Tiểu học</c:v>
                      </c:pt>
                      <c:pt idx="3">
                        <c:v>THCS </c:v>
                      </c:pt>
                      <c:pt idx="4">
                        <c:v>THPT</c:v>
                      </c:pt>
                    </c:strCache>
                  </c:strRef>
                </c:cat>
                <c:val>
                  <c:numRef>
                    <c:extLst xmlns:c15="http://schemas.microsoft.com/office/drawing/2012/chart">
                      <c:ext xmlns:c15="http://schemas.microsoft.com/office/drawing/2012/chart" uri="{02D57815-91ED-43cb-92C2-25804820EDAC}">
                        <c15:formulaRef>
                          <c15:sqref>('1. Sĩ số học sinh'!$H$3,'1. Sĩ số học sinh'!$H$8,'1. Sĩ số học sinh'!$H$13,'1. Sĩ số học sinh'!$H$19,'1. Sĩ số học sinh'!$H$24)</c15:sqref>
                        </c15:formulaRef>
                      </c:ext>
                    </c:extLst>
                  </c:numRef>
                </c:val>
                <c:extLst xmlns:c15="http://schemas.microsoft.com/office/drawing/2012/chart">
                  <c:ext xmlns:c16="http://schemas.microsoft.com/office/drawing/2014/chart" uri="{C3380CC4-5D6E-409C-BE32-E72D297353CC}">
                    <c16:uniqueId val="{0000000A-208C-4DA7-9E71-2796BC9F7146}"/>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'1. Sĩ số học sinh'!$I$2</c15:sqref>
                        </c15:formulaRef>
                      </c:ext>
                    </c:extLst>
                    <c:strCache>
                      <c:ptCount val="1"/>
                      <c:pt idx="0">
                        <c:v>Số học sinh 25 -26</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('1. Sĩ số học sinh'!$A$3,'1. Sĩ số học sinh'!$A$8,'1. Sĩ số học sinh'!$A$13,'1. Sĩ số học sinh'!$A$19,'1. Sĩ số học sinh'!$A$24)</c15:sqref>
                        </c15:formulaRef>
                      </c:ext>
                    </c:extLst>
                    <c:strCache>
                      <c:ptCount val="5"/>
                      <c:pt idx="0">
                        <c:v>MN Biên Hòa</c:v>
                      </c:pt>
                      <c:pt idx="1">
                        <c:v>MN Long Khánh </c:v>
                      </c:pt>
                      <c:pt idx="2">
                        <c:v>Tiểu học</c:v>
                      </c:pt>
                      <c:pt idx="3">
                        <c:v>THCS </c:v>
                      </c:pt>
                      <c:pt idx="4">
                        <c:v>THPT</c:v>
                      </c:pt>
                    </c:strCache>
                  </c:strRef>
                </c:cat>
                <c:val>
                  <c:numRef>
                    <c:extLst xmlns:c15="http://schemas.microsoft.com/office/drawing/2012/chart">
                      <c:ext xmlns:c15="http://schemas.microsoft.com/office/drawing/2012/chart" uri="{02D57815-91ED-43cb-92C2-25804820EDAC}">
                        <c15:formulaRef>
                          <c15:sqref>('1. Sĩ số học sinh'!$I$3,'1. Sĩ số học sinh'!$I$8,'1. Sĩ số học sinh'!$I$13,'1. Sĩ số học sinh'!$I$19,'1. Sĩ số học sinh'!$I$24)</c15:sqref>
                        </c15:formulaRef>
                      </c:ext>
                    </c:extLst>
                  </c:numRef>
                </c:val>
                <c:extLst xmlns:c15="http://schemas.microsoft.com/office/drawing/2012/chart">
                  <c:ext xmlns:c16="http://schemas.microsoft.com/office/drawing/2014/chart" uri="{C3380CC4-5D6E-409C-BE32-E72D297353CC}">
                    <c16:uniqueId val="{0000000B-208C-4DA7-9E71-2796BC9F7146}"/>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'1. Sĩ số học sinh'!$K$2</c15:sqref>
                        </c15:formulaRef>
                      </c:ext>
                    </c:extLst>
                    <c:strCache>
                      <c:ptCount val="1"/>
                      <c:pt idx="0">
                        <c:v>8/2026</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('1. Sĩ số học sinh'!$A$3,'1. Sĩ số học sinh'!$A$8,'1. Sĩ số học sinh'!$A$13,'1. Sĩ số học sinh'!$A$19,'1. Sĩ số học sinh'!$A$24)</c15:sqref>
                        </c15:formulaRef>
                      </c:ext>
                    </c:extLst>
                    <c:strCache>
                      <c:ptCount val="5"/>
                      <c:pt idx="0">
                        <c:v>MN Biên Hòa</c:v>
                      </c:pt>
                      <c:pt idx="1">
                        <c:v>MN Long Khánh </c:v>
                      </c:pt>
                      <c:pt idx="2">
                        <c:v>Tiểu học</c:v>
                      </c:pt>
                      <c:pt idx="3">
                        <c:v>THCS </c:v>
                      </c:pt>
                      <c:pt idx="4">
                        <c:v>THPT</c:v>
                      </c:pt>
                    </c:strCache>
                  </c:strRef>
                </c:cat>
                <c:val>
                  <c:numRef>
                    <c:extLst xmlns:c15="http://schemas.microsoft.com/office/drawing/2012/chart">
                      <c:ext xmlns:c15="http://schemas.microsoft.com/office/drawing/2012/chart" uri="{02D57815-91ED-43cb-92C2-25804820EDAC}">
                        <c15:formulaRef>
                          <c15:sqref>('1. Sĩ số học sinh'!$K$3,'1. Sĩ số học sinh'!$K$8,'1. Sĩ số học sinh'!$K$13,'1. Sĩ số học sinh'!$K$19,'1. Sĩ số học sinh'!$K$24)</c15:sqref>
                        </c15:formulaRef>
                      </c:ext>
                    </c:extLst>
                    <c:numCache>
                      <c:formatCode>General</c:formatCode>
                      <c:ptCount val="5"/>
                      <c:pt idx="0">
                        <c:v>353</c:v>
                      </c:pt>
                      <c:pt idx="1">
                        <c:v>123</c:v>
                      </c:pt>
                      <c:pt idx="2">
                        <c:v>897</c:v>
                      </c:pt>
                      <c:pt idx="3">
                        <c:v>799</c:v>
                      </c:pt>
                      <c:pt idx="4">
                        <c:v>444</c:v>
                      </c:pt>
                    </c:numCache>
                  </c:numRef>
                </c:val>
                <c:extLst xmlns:c15="http://schemas.microsoft.com/office/drawing/2012/chart">
                  <c:ext xmlns:c16="http://schemas.microsoft.com/office/drawing/2014/chart" uri="{C3380CC4-5D6E-409C-BE32-E72D297353CC}">
                    <c16:uniqueId val="{00000000-ECD8-4128-9EB9-9713CEBAAECC}"/>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'1. Sĩ số học sinh'!$M$2</c15:sqref>
                        </c15:formulaRef>
                      </c:ext>
                    </c:extLst>
                    <c:strCache>
                      <c:ptCount val="1"/>
                      <c:pt idx="0">
                        <c:v>10/2026</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('1. Sĩ số học sinh'!$A$3,'1. Sĩ số học sinh'!$A$8,'1. Sĩ số học sinh'!$A$13,'1. Sĩ số học sinh'!$A$19,'1. Sĩ số học sinh'!$A$24)</c15:sqref>
                        </c15:formulaRef>
                      </c:ext>
                    </c:extLst>
                    <c:strCache>
                      <c:ptCount val="5"/>
                      <c:pt idx="0">
                        <c:v>MN Biên Hòa</c:v>
                      </c:pt>
                      <c:pt idx="1">
                        <c:v>MN Long Khánh </c:v>
                      </c:pt>
                      <c:pt idx="2">
                        <c:v>Tiểu học</c:v>
                      </c:pt>
                      <c:pt idx="3">
                        <c:v>THCS </c:v>
                      </c:pt>
                      <c:pt idx="4">
                        <c:v>THPT</c:v>
                      </c:pt>
                    </c:strCache>
                  </c:strRef>
                </c:cat>
                <c:val>
                  <c:numRef>
                    <c:extLst xmlns:c15="http://schemas.microsoft.com/office/drawing/2012/chart">
                      <c:ext xmlns:c15="http://schemas.microsoft.com/office/drawing/2012/chart" uri="{02D57815-91ED-43cb-92C2-25804820EDAC}">
                        <c15:formulaRef>
                          <c15:sqref>('1. Sĩ số học sinh'!$M$3,'1. Sĩ số học sinh'!$M$8,'1. Sĩ số học sinh'!$M$13,'1. Sĩ số học sinh'!$M$19,'1. Sĩ số học sinh'!$M$24)</c15:sqref>
                        </c15:formulaRef>
                      </c:ext>
                    </c:extLst>
                    <c:numCache>
                      <c:formatCode>General</c:formatCode>
                      <c:ptCount val="5"/>
                      <c:pt idx="0">
                        <c:v>0</c:v>
                      </c:pt>
                      <c:pt idx="1">
                        <c:v>0</c:v>
                      </c:pt>
                      <c:pt idx="2">
                        <c:v>0</c:v>
                      </c:pt>
                      <c:pt idx="3">
                        <c:v>0</c:v>
                      </c:pt>
                      <c:pt idx="4">
                        <c:v>0</c:v>
                      </c:pt>
                    </c:numCache>
                  </c:numRef>
                </c:val>
                <c:extLst xmlns:c15="http://schemas.microsoft.com/office/drawing/2012/chart">
                  <c:ext xmlns:c16="http://schemas.microsoft.com/office/drawing/2014/chart" uri="{C3380CC4-5D6E-409C-BE32-E72D297353CC}">
                    <c16:uniqueId val="{00000002-ECD8-4128-9EB9-9713CEBAAECC}"/>
                  </c:ext>
                </c:extLst>
              </c15:ser>
            </c15:filteredBarSeries>
            <c15:filteredBarSeries>
              <c15:ser>
                <c:idx val="12"/>
                <c:order val="12"/>
                <c:tx>
                  <c:strRef>
                    <c:extLst xmlns:c15="http://schemas.microsoft.com/office/drawing/2012/chart">
                      <c:ext xmlns:c15="http://schemas.microsoft.com/office/drawing/2012/chart" uri="{02D57815-91ED-43cb-92C2-25804820EDAC}">
                        <c15:formulaRef>
                          <c15:sqref>'1. Sĩ số học sinh'!$N$2</c15:sqref>
                        </c15:formulaRef>
                      </c:ext>
                    </c:extLst>
                    <c:strCache>
                      <c:ptCount val="1"/>
                      <c:pt idx="0">
                        <c:v>11/2026</c:v>
                      </c:pt>
                    </c:strCache>
                  </c:strRef>
                </c:tx>
                <c:spPr>
                  <a:solidFill>
                    <a:schemeClr val="accent1">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('1. Sĩ số học sinh'!$A$3,'1. Sĩ số học sinh'!$A$8,'1. Sĩ số học sinh'!$A$13,'1. Sĩ số học sinh'!$A$19,'1. Sĩ số học sinh'!$A$24)</c15:sqref>
                        </c15:formulaRef>
                      </c:ext>
                    </c:extLst>
                    <c:strCache>
                      <c:ptCount val="5"/>
                      <c:pt idx="0">
                        <c:v>MN Biên Hòa</c:v>
                      </c:pt>
                      <c:pt idx="1">
                        <c:v>MN Long Khánh </c:v>
                      </c:pt>
                      <c:pt idx="2">
                        <c:v>Tiểu học</c:v>
                      </c:pt>
                      <c:pt idx="3">
                        <c:v>THCS </c:v>
                      </c:pt>
                      <c:pt idx="4">
                        <c:v>THPT</c:v>
                      </c:pt>
                    </c:strCache>
                  </c:strRef>
                </c:cat>
                <c:val>
                  <c:numRef>
                    <c:extLst xmlns:c15="http://schemas.microsoft.com/office/drawing/2012/chart">
                      <c:ext xmlns:c15="http://schemas.microsoft.com/office/drawing/2012/chart" uri="{02D57815-91ED-43cb-92C2-25804820EDAC}">
                        <c15:formulaRef>
                          <c15:sqref>('1. Sĩ số học sinh'!$N$3,'1. Sĩ số học sinh'!$N$8,'1. Sĩ số học sinh'!$N$13,'1. Sĩ số học sinh'!$N$19,'1. Sĩ số học sinh'!$N$24)</c15:sqref>
                        </c15:formulaRef>
                      </c:ext>
                    </c:extLst>
                    <c:numCache>
                      <c:formatCode>General</c:formatCode>
                      <c:ptCount val="5"/>
                      <c:pt idx="0">
                        <c:v>0</c:v>
                      </c:pt>
                      <c:pt idx="1">
                        <c:v>0</c:v>
                      </c:pt>
                      <c:pt idx="2">
                        <c:v>0</c:v>
                      </c:pt>
                      <c:pt idx="3">
                        <c:v>0</c:v>
                      </c:pt>
                      <c:pt idx="4">
                        <c:v>0</c:v>
                      </c:pt>
                    </c:numCache>
                  </c:numRef>
                </c:val>
                <c:extLst xmlns:c15="http://schemas.microsoft.com/office/drawing/2012/chart">
                  <c:ext xmlns:c16="http://schemas.microsoft.com/office/drawing/2014/chart" uri="{C3380CC4-5D6E-409C-BE32-E72D297353CC}">
                    <c16:uniqueId val="{00000003-ECD8-4128-9EB9-9713CEBAAECC}"/>
                  </c:ext>
                </c:extLst>
              </c15:ser>
            </c15:filteredBarSeries>
            <c15:filteredBarSeries>
              <c15:ser>
                <c:idx val="13"/>
                <c:order val="13"/>
                <c:tx>
                  <c:strRef>
                    <c:extLst xmlns:c15="http://schemas.microsoft.com/office/drawing/2012/chart">
                      <c:ext xmlns:c15="http://schemas.microsoft.com/office/drawing/2012/chart" uri="{02D57815-91ED-43cb-92C2-25804820EDAC}">
                        <c15:formulaRef>
                          <c15:sqref>'1. Sĩ số học sinh'!$O$2</c15:sqref>
                        </c15:formulaRef>
                      </c:ext>
                    </c:extLst>
                    <c:strCache>
                      <c:ptCount val="1"/>
                      <c:pt idx="0">
                        <c:v>12/2026</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('1. Sĩ số học sinh'!$A$3,'1. Sĩ số học sinh'!$A$8,'1. Sĩ số học sinh'!$A$13,'1. Sĩ số học sinh'!$A$19,'1. Sĩ số học sinh'!$A$24)</c15:sqref>
                        </c15:formulaRef>
                      </c:ext>
                    </c:extLst>
                    <c:strCache>
                      <c:ptCount val="5"/>
                      <c:pt idx="0">
                        <c:v>MN Biên Hòa</c:v>
                      </c:pt>
                      <c:pt idx="1">
                        <c:v>MN Long Khánh </c:v>
                      </c:pt>
                      <c:pt idx="2">
                        <c:v>Tiểu học</c:v>
                      </c:pt>
                      <c:pt idx="3">
                        <c:v>THCS </c:v>
                      </c:pt>
                      <c:pt idx="4">
                        <c:v>THPT</c:v>
                      </c:pt>
                    </c:strCache>
                  </c:strRef>
                </c:cat>
                <c:val>
                  <c:numRef>
                    <c:extLst xmlns:c15="http://schemas.microsoft.com/office/drawing/2012/chart">
                      <c:ext xmlns:c15="http://schemas.microsoft.com/office/drawing/2012/chart" uri="{02D57815-91ED-43cb-92C2-25804820EDAC}">
                        <c15:formulaRef>
                          <c15:sqref>('1. Sĩ số học sinh'!$O$3,'1. Sĩ số học sinh'!$O$8,'1. Sĩ số học sinh'!$O$13,'1. Sĩ số học sinh'!$O$19,'1. Sĩ số học sinh'!$O$24)</c15:sqref>
                        </c15:formulaRef>
                      </c:ext>
                    </c:extLst>
                    <c:numCache>
                      <c:formatCode>General</c:formatCode>
                      <c:ptCount val="5"/>
                      <c:pt idx="0">
                        <c:v>0</c:v>
                      </c:pt>
                      <c:pt idx="1">
                        <c:v>0</c:v>
                      </c:pt>
                      <c:pt idx="2">
                        <c:v>0</c:v>
                      </c:pt>
                      <c:pt idx="3">
                        <c:v>0</c:v>
                      </c:pt>
                      <c:pt idx="4">
                        <c:v>0</c:v>
                      </c:pt>
                    </c:numCache>
                  </c:numRef>
                </c:val>
                <c:extLst xmlns:c15="http://schemas.microsoft.com/office/drawing/2012/chart">
                  <c:ext xmlns:c16="http://schemas.microsoft.com/office/drawing/2014/chart" uri="{C3380CC4-5D6E-409C-BE32-E72D297353CC}">
                    <c16:uniqueId val="{00000004-ECD8-4128-9EB9-9713CEBAAECC}"/>
                  </c:ext>
                </c:extLst>
              </c15:ser>
            </c15:filteredBarSeries>
            <c15:filteredBarSeries>
              <c15:ser>
                <c:idx val="14"/>
                <c:order val="14"/>
                <c:tx>
                  <c:strRef>
                    <c:extLst xmlns:c15="http://schemas.microsoft.com/office/drawing/2012/chart">
                      <c:ext xmlns:c15="http://schemas.microsoft.com/office/drawing/2012/chart" uri="{02D57815-91ED-43cb-92C2-25804820EDAC}">
                        <c15:formulaRef>
                          <c15:sqref>'1. Sĩ số học sinh'!$P$2</c15:sqref>
                        </c15:formulaRef>
                      </c:ext>
                    </c:extLst>
                    <c:strCache>
                      <c:ptCount val="1"/>
                      <c:pt idx="0">
                        <c:v>1/2027</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('1. Sĩ số học sinh'!$A$3,'1. Sĩ số học sinh'!$A$8,'1. Sĩ số học sinh'!$A$13,'1. Sĩ số học sinh'!$A$19,'1. Sĩ số học sinh'!$A$24)</c15:sqref>
                        </c15:formulaRef>
                      </c:ext>
                    </c:extLst>
                    <c:strCache>
                      <c:ptCount val="5"/>
                      <c:pt idx="0">
                        <c:v>MN Biên Hòa</c:v>
                      </c:pt>
                      <c:pt idx="1">
                        <c:v>MN Long Khánh </c:v>
                      </c:pt>
                      <c:pt idx="2">
                        <c:v>Tiểu học</c:v>
                      </c:pt>
                      <c:pt idx="3">
                        <c:v>THCS </c:v>
                      </c:pt>
                      <c:pt idx="4">
                        <c:v>THPT</c:v>
                      </c:pt>
                    </c:strCache>
                  </c:strRef>
                </c:cat>
                <c:val>
                  <c:numRef>
                    <c:extLst xmlns:c15="http://schemas.microsoft.com/office/drawing/2012/chart">
                      <c:ext xmlns:c15="http://schemas.microsoft.com/office/drawing/2012/chart" uri="{02D57815-91ED-43cb-92C2-25804820EDAC}">
                        <c15:formulaRef>
                          <c15:sqref>('1. Sĩ số học sinh'!$P$3,'1. Sĩ số học sinh'!$P$8,'1. Sĩ số học sinh'!$P$13,'1. Sĩ số học sinh'!$P$19,'1. Sĩ số học sinh'!$P$24)</c15:sqref>
                        </c15:formulaRef>
                      </c:ext>
                    </c:extLst>
                    <c:numCache>
                      <c:formatCode>General</c:formatCode>
                      <c:ptCount val="5"/>
                      <c:pt idx="0">
                        <c:v>0</c:v>
                      </c:pt>
                      <c:pt idx="1">
                        <c:v>0</c:v>
                      </c:pt>
                      <c:pt idx="2">
                        <c:v>0</c:v>
                      </c:pt>
                      <c:pt idx="3">
                        <c:v>0</c:v>
                      </c:pt>
                      <c:pt idx="4">
                        <c:v>0</c:v>
                      </c:pt>
                    </c:numCache>
                  </c:numRef>
                </c:val>
                <c:extLst xmlns:c15="http://schemas.microsoft.com/office/drawing/2012/chart">
                  <c:ext xmlns:c16="http://schemas.microsoft.com/office/drawing/2014/chart" uri="{C3380CC4-5D6E-409C-BE32-E72D297353CC}">
                    <c16:uniqueId val="{00000005-ECD8-4128-9EB9-9713CEBAAECC}"/>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'1. Sĩ số học sinh'!$Q$2</c15:sqref>
                        </c15:formulaRef>
                      </c:ext>
                    </c:extLst>
                    <c:strCache>
                      <c:ptCount val="1"/>
                      <c:pt idx="0">
                        <c:v>2/2027</c:v>
                      </c:pt>
                    </c:strCache>
                  </c:strRef>
                </c:tx>
                <c:spPr>
                  <a:solidFill>
                    <a:schemeClr val="accent4">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('1. Sĩ số học sinh'!$A$3,'1. Sĩ số học sinh'!$A$8,'1. Sĩ số học sinh'!$A$13,'1. Sĩ số học sinh'!$A$19,'1. Sĩ số học sinh'!$A$24)</c15:sqref>
                        </c15:formulaRef>
                      </c:ext>
                    </c:extLst>
                    <c:strCache>
                      <c:ptCount val="5"/>
                      <c:pt idx="0">
                        <c:v>MN Biên Hòa</c:v>
                      </c:pt>
                      <c:pt idx="1">
                        <c:v>MN Long Khánh </c:v>
                      </c:pt>
                      <c:pt idx="2">
                        <c:v>Tiểu học</c:v>
                      </c:pt>
                      <c:pt idx="3">
                        <c:v>THCS </c:v>
                      </c:pt>
                      <c:pt idx="4">
                        <c:v>THPT</c:v>
                      </c:pt>
                    </c:strCache>
                  </c:strRef>
                </c:cat>
                <c:val>
                  <c:numRef>
                    <c:extLst xmlns:c15="http://schemas.microsoft.com/office/drawing/2012/chart">
                      <c:ext xmlns:c15="http://schemas.microsoft.com/office/drawing/2012/chart" uri="{02D57815-91ED-43cb-92C2-25804820EDAC}">
                        <c15:formulaRef>
                          <c15:sqref>('1. Sĩ số học sinh'!$Q$3,'1. Sĩ số học sinh'!$Q$8,'1. Sĩ số học sinh'!$Q$13,'1. Sĩ số học sinh'!$Q$19,'1. Sĩ số học sinh'!$Q$24)</c15:sqref>
                        </c15:formulaRef>
                      </c:ext>
                    </c:extLst>
                    <c:numCache>
                      <c:formatCode>General</c:formatCode>
                      <c:ptCount val="5"/>
                      <c:pt idx="0">
                        <c:v>0</c:v>
                      </c:pt>
                      <c:pt idx="1">
                        <c:v>0</c:v>
                      </c:pt>
                      <c:pt idx="2">
                        <c:v>0</c:v>
                      </c:pt>
                      <c:pt idx="3">
                        <c:v>0</c:v>
                      </c:pt>
                      <c:pt idx="4">
                        <c:v>0</c:v>
                      </c:pt>
                    </c:numCache>
                  </c:numRef>
                </c:val>
                <c:extLst xmlns:c15="http://schemas.microsoft.com/office/drawing/2012/chart">
                  <c:ext xmlns:c16="http://schemas.microsoft.com/office/drawing/2014/chart" uri="{C3380CC4-5D6E-409C-BE32-E72D297353CC}">
                    <c16:uniqueId val="{00000006-ECD8-4128-9EB9-9713CEBAAECC}"/>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'1. Sĩ số học sinh'!$R$2</c15:sqref>
                        </c15:formulaRef>
                      </c:ext>
                    </c:extLst>
                    <c:strCache>
                      <c:ptCount val="1"/>
                      <c:pt idx="0">
                        <c:v>3/2027</c:v>
                      </c:pt>
                    </c:strCache>
                  </c:strRef>
                </c:tx>
                <c:spPr>
                  <a:solidFill>
                    <a:schemeClr val="accent5">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('1. Sĩ số học sinh'!$A$3,'1. Sĩ số học sinh'!$A$8,'1. Sĩ số học sinh'!$A$13,'1. Sĩ số học sinh'!$A$19,'1. Sĩ số học sinh'!$A$24)</c15:sqref>
                        </c15:formulaRef>
                      </c:ext>
                    </c:extLst>
                    <c:strCache>
                      <c:ptCount val="5"/>
                      <c:pt idx="0">
                        <c:v>MN Biên Hòa</c:v>
                      </c:pt>
                      <c:pt idx="1">
                        <c:v>MN Long Khánh </c:v>
                      </c:pt>
                      <c:pt idx="2">
                        <c:v>Tiểu học</c:v>
                      </c:pt>
                      <c:pt idx="3">
                        <c:v>THCS </c:v>
                      </c:pt>
                      <c:pt idx="4">
                        <c:v>THPT</c:v>
                      </c:pt>
                    </c:strCache>
                  </c:strRef>
                </c:cat>
                <c:val>
                  <c:numRef>
                    <c:extLst xmlns:c15="http://schemas.microsoft.com/office/drawing/2012/chart">
                      <c:ext xmlns:c15="http://schemas.microsoft.com/office/drawing/2012/chart" uri="{02D57815-91ED-43cb-92C2-25804820EDAC}">
                        <c15:formulaRef>
                          <c15:sqref>('1. Sĩ số học sinh'!$R$3,'1. Sĩ số học sinh'!$R$8,'1. Sĩ số học sinh'!$R$13,'1. Sĩ số học sinh'!$R$19,'1. Sĩ số học sinh'!$R$24)</c15:sqref>
                        </c15:formulaRef>
                      </c:ext>
                    </c:extLst>
                    <c:numCache>
                      <c:formatCode>General</c:formatCode>
                      <c:ptCount val="5"/>
                      <c:pt idx="0">
                        <c:v>0</c:v>
                      </c:pt>
                      <c:pt idx="1">
                        <c:v>0</c:v>
                      </c:pt>
                      <c:pt idx="2">
                        <c:v>0</c:v>
                      </c:pt>
                      <c:pt idx="3">
                        <c:v>0</c:v>
                      </c:pt>
                      <c:pt idx="4">
                        <c:v>0</c:v>
                      </c:pt>
                    </c:numCache>
                  </c:numRef>
                </c:val>
                <c:extLst xmlns:c15="http://schemas.microsoft.com/office/drawing/2012/chart">
                  <c:ext xmlns:c16="http://schemas.microsoft.com/office/drawing/2014/chart" uri="{C3380CC4-5D6E-409C-BE32-E72D297353CC}">
                    <c16:uniqueId val="{00000007-ECD8-4128-9EB9-9713CEBAAECC}"/>
                  </c:ext>
                </c:extLst>
              </c15:ser>
            </c15:filteredBarSeries>
            <c15:filteredBarSeries>
              <c15:ser>
                <c:idx val="17"/>
                <c:order val="17"/>
                <c:tx>
                  <c:strRef>
                    <c:extLst xmlns:c15="http://schemas.microsoft.com/office/drawing/2012/chart">
                      <c:ext xmlns:c15="http://schemas.microsoft.com/office/drawing/2012/chart" uri="{02D57815-91ED-43cb-92C2-25804820EDAC}">
                        <c15:formulaRef>
                          <c15:sqref>'1. Sĩ số học sinh'!$S$2</c15:sqref>
                        </c15:formulaRef>
                      </c:ext>
                    </c:extLst>
                    <c:strCache>
                      <c:ptCount val="1"/>
                      <c:pt idx="0">
                        <c:v>4/2027</c:v>
                      </c:pt>
                    </c:strCache>
                  </c:strRef>
                </c:tx>
                <c:spPr>
                  <a:solidFill>
                    <a:schemeClr val="accent6">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('1. Sĩ số học sinh'!$A$3,'1. Sĩ số học sinh'!$A$8,'1. Sĩ số học sinh'!$A$13,'1. Sĩ số học sinh'!$A$19,'1. Sĩ số học sinh'!$A$24)</c15:sqref>
                        </c15:formulaRef>
                      </c:ext>
                    </c:extLst>
                    <c:strCache>
                      <c:ptCount val="5"/>
                      <c:pt idx="0">
                        <c:v>MN Biên Hòa</c:v>
                      </c:pt>
                      <c:pt idx="1">
                        <c:v>MN Long Khánh </c:v>
                      </c:pt>
                      <c:pt idx="2">
                        <c:v>Tiểu học</c:v>
                      </c:pt>
                      <c:pt idx="3">
                        <c:v>THCS </c:v>
                      </c:pt>
                      <c:pt idx="4">
                        <c:v>THPT</c:v>
                      </c:pt>
                    </c:strCache>
                  </c:strRef>
                </c:cat>
                <c:val>
                  <c:numRef>
                    <c:extLst xmlns:c15="http://schemas.microsoft.com/office/drawing/2012/chart">
                      <c:ext xmlns:c15="http://schemas.microsoft.com/office/drawing/2012/chart" uri="{02D57815-91ED-43cb-92C2-25804820EDAC}">
                        <c15:formulaRef>
                          <c15:sqref>('1. Sĩ số học sinh'!$S$3,'1. Sĩ số học sinh'!$S$8,'1. Sĩ số học sinh'!$S$13,'1. Sĩ số học sinh'!$S$19,'1. Sĩ số học sinh'!$S$24)</c15:sqref>
                        </c15:formulaRef>
                      </c:ext>
                    </c:extLst>
                    <c:numCache>
                      <c:formatCode>General</c:formatCode>
                      <c:ptCount val="5"/>
                      <c:pt idx="0">
                        <c:v>0</c:v>
                      </c:pt>
                      <c:pt idx="1">
                        <c:v>0</c:v>
                      </c:pt>
                      <c:pt idx="2">
                        <c:v>0</c:v>
                      </c:pt>
                      <c:pt idx="3">
                        <c:v>0</c:v>
                      </c:pt>
                      <c:pt idx="4">
                        <c:v>0</c:v>
                      </c:pt>
                    </c:numCache>
                  </c:numRef>
                </c:val>
                <c:extLst xmlns:c15="http://schemas.microsoft.com/office/drawing/2012/chart">
                  <c:ext xmlns:c16="http://schemas.microsoft.com/office/drawing/2014/chart" uri="{C3380CC4-5D6E-409C-BE32-E72D297353CC}">
                    <c16:uniqueId val="{00000008-ECD8-4128-9EB9-9713CEBAAECC}"/>
                  </c:ext>
                </c:extLst>
              </c15:ser>
            </c15:filteredBarSeries>
            <c15:filteredBarSeries>
              <c15:ser>
                <c:idx val="18"/>
                <c:order val="18"/>
                <c:tx>
                  <c:strRef>
                    <c:extLst xmlns:c15="http://schemas.microsoft.com/office/drawing/2012/chart">
                      <c:ext xmlns:c15="http://schemas.microsoft.com/office/drawing/2012/chart" uri="{02D57815-91ED-43cb-92C2-25804820EDAC}">
                        <c15:formulaRef>
                          <c15:sqref>'1. Sĩ số học sinh'!$T$2</c15:sqref>
                        </c15:formulaRef>
                      </c:ext>
                    </c:extLst>
                    <c:strCache>
                      <c:ptCount val="1"/>
                      <c:pt idx="0">
                        <c:v>5/2027</c:v>
                      </c:pt>
                    </c:strCache>
                  </c:strRef>
                </c:tx>
                <c:spPr>
                  <a:solidFill>
                    <a:schemeClr val="accent1">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('1. Sĩ số học sinh'!$A$3,'1. Sĩ số học sinh'!$A$8,'1. Sĩ số học sinh'!$A$13,'1. Sĩ số học sinh'!$A$19,'1. Sĩ số học sinh'!$A$24)</c15:sqref>
                        </c15:formulaRef>
                      </c:ext>
                    </c:extLst>
                    <c:strCache>
                      <c:ptCount val="5"/>
                      <c:pt idx="0">
                        <c:v>MN Biên Hòa</c:v>
                      </c:pt>
                      <c:pt idx="1">
                        <c:v>MN Long Khánh </c:v>
                      </c:pt>
                      <c:pt idx="2">
                        <c:v>Tiểu học</c:v>
                      </c:pt>
                      <c:pt idx="3">
                        <c:v>THCS </c:v>
                      </c:pt>
                      <c:pt idx="4">
                        <c:v>THPT</c:v>
                      </c:pt>
                    </c:strCache>
                  </c:strRef>
                </c:cat>
                <c:val>
                  <c:numRef>
                    <c:extLst xmlns:c15="http://schemas.microsoft.com/office/drawing/2012/chart">
                      <c:ext xmlns:c15="http://schemas.microsoft.com/office/drawing/2012/chart" uri="{02D57815-91ED-43cb-92C2-25804820EDAC}">
                        <c15:formulaRef>
                          <c15:sqref>('1. Sĩ số học sinh'!$T$3,'1. Sĩ số học sinh'!$T$8,'1. Sĩ số học sinh'!$T$13,'1. Sĩ số học sinh'!$T$19,'1. Sĩ số học sinh'!$T$24)</c15:sqref>
                        </c15:formulaRef>
                      </c:ext>
                    </c:extLst>
                    <c:numCache>
                      <c:formatCode>General</c:formatCode>
                      <c:ptCount val="5"/>
                      <c:pt idx="0">
                        <c:v>0</c:v>
                      </c:pt>
                      <c:pt idx="1">
                        <c:v>0</c:v>
                      </c:pt>
                      <c:pt idx="2">
                        <c:v>0</c:v>
                      </c:pt>
                      <c:pt idx="3">
                        <c:v>0</c:v>
                      </c:pt>
                      <c:pt idx="4">
                        <c:v>0</c:v>
                      </c:pt>
                    </c:numCache>
                  </c:numRef>
                </c:val>
                <c:extLst xmlns:c15="http://schemas.microsoft.com/office/drawing/2012/chart">
                  <c:ext xmlns:c16="http://schemas.microsoft.com/office/drawing/2014/chart" uri="{C3380CC4-5D6E-409C-BE32-E72D297353CC}">
                    <c16:uniqueId val="{00000009-ECD8-4128-9EB9-9713CEBAAECC}"/>
                  </c:ext>
                </c:extLst>
              </c15:ser>
            </c15:filteredBarSeries>
            <c15:filteredBarSeries>
              <c15:ser>
                <c:idx val="19"/>
                <c:order val="19"/>
                <c:tx>
                  <c:strRef>
                    <c:extLst xmlns:c15="http://schemas.microsoft.com/office/drawing/2012/chart">
                      <c:ext xmlns:c15="http://schemas.microsoft.com/office/drawing/2012/chart" uri="{02D57815-91ED-43cb-92C2-25804820EDAC}">
                        <c15:formulaRef>
                          <c15:sqref>'1. Sĩ số học sinh'!$U$2</c15:sqref>
                        </c15:formulaRef>
                      </c:ext>
                    </c:extLst>
                    <c:strCache>
                      <c:ptCount val="1"/>
                      <c:pt idx="0">
                        <c:v>6/2027</c:v>
                      </c:pt>
                    </c:strCache>
                  </c:strRef>
                </c:tx>
                <c:spPr>
                  <a:solidFill>
                    <a:schemeClr val="accent2">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('1. Sĩ số học sinh'!$A$3,'1. Sĩ số học sinh'!$A$8,'1. Sĩ số học sinh'!$A$13,'1. Sĩ số học sinh'!$A$19,'1. Sĩ số học sinh'!$A$24)</c15:sqref>
                        </c15:formulaRef>
                      </c:ext>
                    </c:extLst>
                    <c:strCache>
                      <c:ptCount val="5"/>
                      <c:pt idx="0">
                        <c:v>MN Biên Hòa</c:v>
                      </c:pt>
                      <c:pt idx="1">
                        <c:v>MN Long Khánh </c:v>
                      </c:pt>
                      <c:pt idx="2">
                        <c:v>Tiểu học</c:v>
                      </c:pt>
                      <c:pt idx="3">
                        <c:v>THCS </c:v>
                      </c:pt>
                      <c:pt idx="4">
                        <c:v>THPT</c:v>
                      </c:pt>
                    </c:strCache>
                  </c:strRef>
                </c:cat>
                <c:val>
                  <c:numRef>
                    <c:extLst xmlns:c15="http://schemas.microsoft.com/office/drawing/2012/chart">
                      <c:ext xmlns:c15="http://schemas.microsoft.com/office/drawing/2012/chart" uri="{02D57815-91ED-43cb-92C2-25804820EDAC}">
                        <c15:formulaRef>
                          <c15:sqref>('1. Sĩ số học sinh'!$U$3,'1. Sĩ số học sinh'!$U$8,'1. Sĩ số học sinh'!$U$13,'1. Sĩ số học sinh'!$U$19,'1. Sĩ số học sinh'!$U$24)</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A-ECD8-4128-9EB9-9713CEBAAECC}"/>
                  </c:ext>
                </c:extLst>
              </c15:ser>
            </c15:filteredBarSeries>
            <c15:filteredBarSeries>
              <c15:ser>
                <c:idx val="20"/>
                <c:order val="20"/>
                <c:tx>
                  <c:strRef>
                    <c:extLst xmlns:c15="http://schemas.microsoft.com/office/drawing/2012/chart">
                      <c:ext xmlns:c15="http://schemas.microsoft.com/office/drawing/2012/chart" uri="{02D57815-91ED-43cb-92C2-25804820EDAC}">
                        <c15:formulaRef>
                          <c15:sqref>'1. Sĩ số học sinh'!$V$2</c15:sqref>
                        </c15:formulaRef>
                      </c:ext>
                    </c:extLst>
                    <c:strCache>
                      <c:ptCount val="1"/>
                      <c:pt idx="0">
                        <c:v>7/2026</c:v>
                      </c:pt>
                    </c:strCache>
                  </c:strRef>
                </c:tx>
                <c:spPr>
                  <a:solidFill>
                    <a:schemeClr val="accent3">
                      <a:lumMod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('1. Sĩ số học sinh'!$A$3,'1. Sĩ số học sinh'!$A$8,'1. Sĩ số học sinh'!$A$13,'1. Sĩ số học sinh'!$A$19,'1. Sĩ số học sinh'!$A$24)</c15:sqref>
                        </c15:formulaRef>
                      </c:ext>
                    </c:extLst>
                    <c:strCache>
                      <c:ptCount val="5"/>
                      <c:pt idx="0">
                        <c:v>MN Biên Hòa</c:v>
                      </c:pt>
                      <c:pt idx="1">
                        <c:v>MN Long Khánh </c:v>
                      </c:pt>
                      <c:pt idx="2">
                        <c:v>Tiểu học</c:v>
                      </c:pt>
                      <c:pt idx="3">
                        <c:v>THCS </c:v>
                      </c:pt>
                      <c:pt idx="4">
                        <c:v>THPT</c:v>
                      </c:pt>
                    </c:strCache>
                  </c:strRef>
                </c:cat>
                <c:val>
                  <c:numRef>
                    <c:extLst xmlns:c15="http://schemas.microsoft.com/office/drawing/2012/chart">
                      <c:ext xmlns:c15="http://schemas.microsoft.com/office/drawing/2012/chart" uri="{02D57815-91ED-43cb-92C2-25804820EDAC}">
                        <c15:formulaRef>
                          <c15:sqref>('1. Sĩ số học sinh'!$V$3,'1. Sĩ số học sinh'!$V$8,'1. Sĩ số học sinh'!$V$13,'1. Sĩ số học sinh'!$V$19,'1. Sĩ số học sinh'!$V$24)</c15:sqref>
                        </c15:formulaRef>
                      </c:ext>
                    </c:extLst>
                    <c:numCache>
                      <c:formatCode>General</c:formatCode>
                      <c:ptCount val="5"/>
                    </c:numCache>
                  </c:numRef>
                </c:val>
                <c:extLst xmlns:c15="http://schemas.microsoft.com/office/drawing/2012/chart">
                  <c:ext xmlns:c16="http://schemas.microsoft.com/office/drawing/2014/chart" uri="{C3380CC4-5D6E-409C-BE32-E72D297353CC}">
                    <c16:uniqueId val="{0000000B-ECD8-4128-9EB9-9713CEBAAECC}"/>
                  </c:ext>
                </c:extLst>
              </c15:ser>
            </c15:filteredBarSeries>
          </c:ext>
        </c:extLst>
      </c:barChart>
      <c:catAx>
        <c:axId val="722320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93078544"/>
        <c:crosses val="autoZero"/>
        <c:auto val="1"/>
        <c:lblAlgn val="ctr"/>
        <c:lblOffset val="100"/>
        <c:noMultiLvlLbl val="0"/>
      </c:catAx>
      <c:valAx>
        <c:axId val="893078544"/>
        <c:scaling>
          <c:orientation val="minMax"/>
        </c:scaling>
        <c:delete val="1"/>
        <c:axPos val="l"/>
        <c:numFmt formatCode="General" sourceLinked="1"/>
        <c:majorTickMark val="none"/>
        <c:minorTickMark val="none"/>
        <c:tickLblPos val="nextTo"/>
        <c:crossAx val="722320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Học sinh chuyển đi </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'1. Sĩ số học sinh'!$A$32</c:f>
              <c:strCache>
                <c:ptCount val="1"/>
                <c:pt idx="0">
                  <c:v>MN Biên Hòa</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Sĩ số học sinh'!$B$31:$V$31</c15:sqref>
                  </c15:fullRef>
                </c:ext>
              </c:extLst>
              <c:f>'1. Sĩ số học sinh'!$B$31:$L$31</c:f>
              <c:strCache>
                <c:ptCount val="3"/>
                <c:pt idx="0">
                  <c:v>Lũy kế học sinh chuyển đi  </c:v>
                </c:pt>
                <c:pt idx="1">
                  <c:v>8/2026</c:v>
                </c:pt>
                <c:pt idx="2">
                  <c:v>9/2026</c:v>
                </c:pt>
              </c:strCache>
            </c:strRef>
          </c:cat>
          <c:val>
            <c:numRef>
              <c:extLst>
                <c:ext xmlns:c15="http://schemas.microsoft.com/office/drawing/2012/chart" uri="{02D57815-91ED-43cb-92C2-25804820EDAC}">
                  <c15:fullRef>
                    <c15:sqref>'1. Sĩ số học sinh'!$B$32:$V$32</c15:sqref>
                  </c15:fullRef>
                </c:ext>
              </c:extLst>
              <c:f>'1. Sĩ số học sinh'!$B$32:$L$32</c:f>
              <c:numCache>
                <c:formatCode>General</c:formatCode>
                <c:ptCount val="3"/>
                <c:pt idx="0">
                  <c:v>12</c:v>
                </c:pt>
                <c:pt idx="1">
                  <c:v>10</c:v>
                </c:pt>
                <c:pt idx="2">
                  <c:v>2</c:v>
                </c:pt>
              </c:numCache>
            </c:numRef>
          </c:val>
          <c:extLst>
            <c:ext xmlns:c16="http://schemas.microsoft.com/office/drawing/2014/chart" uri="{C3380CC4-5D6E-409C-BE32-E72D297353CC}">
              <c16:uniqueId val="{00000000-2F51-49C0-BECC-AF5EC886766D}"/>
            </c:ext>
          </c:extLst>
        </c:ser>
        <c:ser>
          <c:idx val="1"/>
          <c:order val="1"/>
          <c:tx>
            <c:strRef>
              <c:f>'1. Sĩ số học sinh'!$A$37</c:f>
              <c:strCache>
                <c:ptCount val="1"/>
                <c:pt idx="0">
                  <c:v>MN Long Khánh</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Sĩ số học sinh'!$B$31:$V$31</c15:sqref>
                  </c15:fullRef>
                </c:ext>
              </c:extLst>
              <c:f>'1. Sĩ số học sinh'!$B$31:$L$31</c:f>
              <c:strCache>
                <c:ptCount val="3"/>
                <c:pt idx="0">
                  <c:v>Lũy kế học sinh chuyển đi  </c:v>
                </c:pt>
                <c:pt idx="1">
                  <c:v>8/2026</c:v>
                </c:pt>
                <c:pt idx="2">
                  <c:v>9/2026</c:v>
                </c:pt>
              </c:strCache>
            </c:strRef>
          </c:cat>
          <c:val>
            <c:numRef>
              <c:extLst>
                <c:ext xmlns:c15="http://schemas.microsoft.com/office/drawing/2012/chart" uri="{02D57815-91ED-43cb-92C2-25804820EDAC}">
                  <c15:fullRef>
                    <c15:sqref>'1. Sĩ số học sinh'!$B$37:$V$37</c15:sqref>
                  </c15:fullRef>
                </c:ext>
              </c:extLst>
              <c:f>'1. Sĩ số học sinh'!$B$37:$L$37</c:f>
              <c:numCache>
                <c:formatCode>General</c:formatCode>
                <c:ptCount val="3"/>
                <c:pt idx="0">
                  <c:v>10</c:v>
                </c:pt>
                <c:pt idx="1">
                  <c:v>6</c:v>
                </c:pt>
                <c:pt idx="2">
                  <c:v>4</c:v>
                </c:pt>
              </c:numCache>
            </c:numRef>
          </c:val>
          <c:extLst>
            <c:ext xmlns:c16="http://schemas.microsoft.com/office/drawing/2014/chart" uri="{C3380CC4-5D6E-409C-BE32-E72D297353CC}">
              <c16:uniqueId val="{00000000-5DAF-4871-91F7-9CA2B4516210}"/>
            </c:ext>
          </c:extLst>
        </c:ser>
        <c:ser>
          <c:idx val="2"/>
          <c:order val="2"/>
          <c:tx>
            <c:strRef>
              <c:f>'1. Sĩ số học sinh'!$A$42</c:f>
              <c:strCache>
                <c:ptCount val="1"/>
                <c:pt idx="0">
                  <c:v>Tiểu học</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Sĩ số học sinh'!$B$31:$V$31</c15:sqref>
                  </c15:fullRef>
                </c:ext>
              </c:extLst>
              <c:f>'1. Sĩ số học sinh'!$B$31:$L$31</c:f>
              <c:strCache>
                <c:ptCount val="3"/>
                <c:pt idx="0">
                  <c:v>Lũy kế học sinh chuyển đi  </c:v>
                </c:pt>
                <c:pt idx="1">
                  <c:v>8/2026</c:v>
                </c:pt>
                <c:pt idx="2">
                  <c:v>9/2026</c:v>
                </c:pt>
              </c:strCache>
            </c:strRef>
          </c:cat>
          <c:val>
            <c:numRef>
              <c:extLst>
                <c:ext xmlns:c15="http://schemas.microsoft.com/office/drawing/2012/chart" uri="{02D57815-91ED-43cb-92C2-25804820EDAC}">
                  <c15:fullRef>
                    <c15:sqref>'1. Sĩ số học sinh'!$B$42:$V$42</c15:sqref>
                  </c15:fullRef>
                </c:ext>
              </c:extLst>
              <c:f>'1. Sĩ số học sinh'!$B$42:$L$42</c:f>
              <c:numCache>
                <c:formatCode>General</c:formatCode>
                <c:ptCount val="3"/>
                <c:pt idx="0">
                  <c:v>14</c:v>
                </c:pt>
                <c:pt idx="1">
                  <c:v>12</c:v>
                </c:pt>
                <c:pt idx="2">
                  <c:v>2</c:v>
                </c:pt>
              </c:numCache>
            </c:numRef>
          </c:val>
          <c:extLst>
            <c:ext xmlns:c16="http://schemas.microsoft.com/office/drawing/2014/chart" uri="{C3380CC4-5D6E-409C-BE32-E72D297353CC}">
              <c16:uniqueId val="{00000001-5DAF-4871-91F7-9CA2B4516210}"/>
            </c:ext>
          </c:extLst>
        </c:ser>
        <c:ser>
          <c:idx val="3"/>
          <c:order val="3"/>
          <c:tx>
            <c:strRef>
              <c:f>'1. Sĩ số học sinh'!$A$48</c:f>
              <c:strCache>
                <c:ptCount val="1"/>
                <c:pt idx="0">
                  <c:v>THCS </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Sĩ số học sinh'!$B$31:$V$31</c15:sqref>
                  </c15:fullRef>
                </c:ext>
              </c:extLst>
              <c:f>'1. Sĩ số học sinh'!$B$31:$L$31</c:f>
              <c:strCache>
                <c:ptCount val="3"/>
                <c:pt idx="0">
                  <c:v>Lũy kế học sinh chuyển đi  </c:v>
                </c:pt>
                <c:pt idx="1">
                  <c:v>8/2026</c:v>
                </c:pt>
                <c:pt idx="2">
                  <c:v>9/2026</c:v>
                </c:pt>
              </c:strCache>
            </c:strRef>
          </c:cat>
          <c:val>
            <c:numRef>
              <c:extLst>
                <c:ext xmlns:c15="http://schemas.microsoft.com/office/drawing/2012/chart" uri="{02D57815-91ED-43cb-92C2-25804820EDAC}">
                  <c15:fullRef>
                    <c15:sqref>'1. Sĩ số học sinh'!$B$48:$V$48</c15:sqref>
                  </c15:fullRef>
                </c:ext>
              </c:extLst>
              <c:f>'1. Sĩ số học sinh'!$B$48:$L$48</c:f>
              <c:numCache>
                <c:formatCode>General</c:formatCode>
                <c:ptCount val="3"/>
                <c:pt idx="0">
                  <c:v>10</c:v>
                </c:pt>
                <c:pt idx="1">
                  <c:v>8</c:v>
                </c:pt>
                <c:pt idx="2">
                  <c:v>2</c:v>
                </c:pt>
              </c:numCache>
            </c:numRef>
          </c:val>
          <c:extLst>
            <c:ext xmlns:c16="http://schemas.microsoft.com/office/drawing/2014/chart" uri="{C3380CC4-5D6E-409C-BE32-E72D297353CC}">
              <c16:uniqueId val="{00000002-5DAF-4871-91F7-9CA2B4516210}"/>
            </c:ext>
          </c:extLst>
        </c:ser>
        <c:ser>
          <c:idx val="4"/>
          <c:order val="4"/>
          <c:tx>
            <c:strRef>
              <c:f>'1. Sĩ số học sinh'!$A$53</c:f>
              <c:strCache>
                <c:ptCount val="1"/>
                <c:pt idx="0">
                  <c:v>THPT</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Sĩ số học sinh'!$B$31:$V$31</c15:sqref>
                  </c15:fullRef>
                </c:ext>
              </c:extLst>
              <c:f>'1. Sĩ số học sinh'!$B$31:$L$31</c:f>
              <c:strCache>
                <c:ptCount val="3"/>
                <c:pt idx="0">
                  <c:v>Lũy kế học sinh chuyển đi  </c:v>
                </c:pt>
                <c:pt idx="1">
                  <c:v>8/2026</c:v>
                </c:pt>
                <c:pt idx="2">
                  <c:v>9/2026</c:v>
                </c:pt>
              </c:strCache>
            </c:strRef>
          </c:cat>
          <c:val>
            <c:numRef>
              <c:extLst>
                <c:ext xmlns:c15="http://schemas.microsoft.com/office/drawing/2012/chart" uri="{02D57815-91ED-43cb-92C2-25804820EDAC}">
                  <c15:fullRef>
                    <c15:sqref>'1. Sĩ số học sinh'!$B$53:$V$53</c15:sqref>
                  </c15:fullRef>
                </c:ext>
              </c:extLst>
              <c:f>'1. Sĩ số học sinh'!$B$53:$L$53</c:f>
              <c:numCache>
                <c:formatCode>General</c:formatCode>
                <c:ptCount val="3"/>
                <c:pt idx="0">
                  <c:v>7</c:v>
                </c:pt>
                <c:pt idx="1">
                  <c:v>5</c:v>
                </c:pt>
                <c:pt idx="2">
                  <c:v>2</c:v>
                </c:pt>
              </c:numCache>
            </c:numRef>
          </c:val>
          <c:extLst>
            <c:ext xmlns:c16="http://schemas.microsoft.com/office/drawing/2014/chart" uri="{C3380CC4-5D6E-409C-BE32-E72D297353CC}">
              <c16:uniqueId val="{00000003-5DAF-4871-91F7-9CA2B4516210}"/>
            </c:ext>
          </c:extLst>
        </c:ser>
        <c:dLbls>
          <c:dLblPos val="outEnd"/>
          <c:showLegendKey val="0"/>
          <c:showVal val="1"/>
          <c:showCatName val="0"/>
          <c:showSerName val="0"/>
          <c:showPercent val="0"/>
          <c:showBubbleSize val="0"/>
        </c:dLbls>
        <c:gapWidth val="219"/>
        <c:overlap val="-27"/>
        <c:axId val="1889138800"/>
        <c:axId val="893054544"/>
      </c:barChart>
      <c:catAx>
        <c:axId val="188913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93054544"/>
        <c:crosses val="autoZero"/>
        <c:auto val="1"/>
        <c:lblAlgn val="ctr"/>
        <c:lblOffset val="100"/>
        <c:noMultiLvlLbl val="0"/>
      </c:catAx>
      <c:valAx>
        <c:axId val="893054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889138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Học sinh chuyển đến</a:t>
            </a:r>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'1. Sĩ số học sinh'!$W$32</c:f>
              <c:strCache>
                <c:ptCount val="1"/>
                <c:pt idx="0">
                  <c:v>MN Biên Hòa</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Sĩ số học sinh'!$X$31:$AJ$31</c15:sqref>
                  </c15:fullRef>
                </c:ext>
              </c:extLst>
              <c:f>'1. Sĩ số học sinh'!$X$31:$Z$31</c:f>
              <c:strCache>
                <c:ptCount val="3"/>
                <c:pt idx="0">
                  <c:v>Lũy kế học sinh chuyển đến </c:v>
                </c:pt>
                <c:pt idx="1">
                  <c:v>8/2026</c:v>
                </c:pt>
                <c:pt idx="2">
                  <c:v>9/2026</c:v>
                </c:pt>
              </c:strCache>
            </c:strRef>
          </c:cat>
          <c:val>
            <c:numRef>
              <c:extLst>
                <c:ext xmlns:c15="http://schemas.microsoft.com/office/drawing/2012/chart" uri="{02D57815-91ED-43cb-92C2-25804820EDAC}">
                  <c15:fullRef>
                    <c15:sqref>'1. Sĩ số học sinh'!$X$32:$AJ$32</c15:sqref>
                  </c15:fullRef>
                </c:ext>
              </c:extLst>
              <c:f>'1. Sĩ số học sinh'!$X$32:$Z$32</c:f>
              <c:numCache>
                <c:formatCode>General</c:formatCode>
                <c:ptCount val="3"/>
                <c:pt idx="0">
                  <c:v>22</c:v>
                </c:pt>
                <c:pt idx="1">
                  <c:v>12</c:v>
                </c:pt>
                <c:pt idx="2">
                  <c:v>10</c:v>
                </c:pt>
              </c:numCache>
            </c:numRef>
          </c:val>
          <c:extLst>
            <c:ext xmlns:c16="http://schemas.microsoft.com/office/drawing/2014/chart" uri="{C3380CC4-5D6E-409C-BE32-E72D297353CC}">
              <c16:uniqueId val="{00000000-9F30-4752-A1BC-840A5407FA9C}"/>
            </c:ext>
          </c:extLst>
        </c:ser>
        <c:ser>
          <c:idx val="1"/>
          <c:order val="1"/>
          <c:tx>
            <c:strRef>
              <c:f>'1. Sĩ số học sinh'!$W$37</c:f>
              <c:strCache>
                <c:ptCount val="1"/>
                <c:pt idx="0">
                  <c:v>MN Long Khánh</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Sĩ số học sinh'!$X$31:$AJ$31</c15:sqref>
                  </c15:fullRef>
                </c:ext>
              </c:extLst>
              <c:f>'1. Sĩ số học sinh'!$X$31:$Z$31</c:f>
              <c:strCache>
                <c:ptCount val="3"/>
                <c:pt idx="0">
                  <c:v>Lũy kế học sinh chuyển đến </c:v>
                </c:pt>
                <c:pt idx="1">
                  <c:v>8/2026</c:v>
                </c:pt>
                <c:pt idx="2">
                  <c:v>9/2026</c:v>
                </c:pt>
              </c:strCache>
            </c:strRef>
          </c:cat>
          <c:val>
            <c:numRef>
              <c:extLst>
                <c:ext xmlns:c15="http://schemas.microsoft.com/office/drawing/2012/chart" uri="{02D57815-91ED-43cb-92C2-25804820EDAC}">
                  <c15:fullRef>
                    <c15:sqref>'1. Sĩ số học sinh'!$X$37:$AJ$37</c15:sqref>
                  </c15:fullRef>
                </c:ext>
              </c:extLst>
              <c:f>'1. Sĩ số học sinh'!$X$37:$Z$37</c:f>
              <c:numCache>
                <c:formatCode>General</c:formatCode>
                <c:ptCount val="3"/>
                <c:pt idx="0">
                  <c:v>22</c:v>
                </c:pt>
                <c:pt idx="1">
                  <c:v>14</c:v>
                </c:pt>
                <c:pt idx="2">
                  <c:v>8</c:v>
                </c:pt>
              </c:numCache>
            </c:numRef>
          </c:val>
          <c:extLst>
            <c:ext xmlns:c16="http://schemas.microsoft.com/office/drawing/2014/chart" uri="{C3380CC4-5D6E-409C-BE32-E72D297353CC}">
              <c16:uniqueId val="{00000005-9F30-4752-A1BC-840A5407FA9C}"/>
            </c:ext>
          </c:extLst>
        </c:ser>
        <c:ser>
          <c:idx val="2"/>
          <c:order val="2"/>
          <c:tx>
            <c:strRef>
              <c:f>'1. Sĩ số học sinh'!$W$42</c:f>
              <c:strCache>
                <c:ptCount val="1"/>
                <c:pt idx="0">
                  <c:v>Tiểu học</c:v>
                </c:pt>
              </c:strCache>
            </c:strRef>
          </c:tx>
          <c:spPr>
            <a:solidFill>
              <a:schemeClr val="accent3"/>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Sĩ số học sinh'!$X$31:$AJ$31</c15:sqref>
                  </c15:fullRef>
                </c:ext>
              </c:extLst>
              <c:f>'1. Sĩ số học sinh'!$X$31:$Z$31</c:f>
              <c:strCache>
                <c:ptCount val="3"/>
                <c:pt idx="0">
                  <c:v>Lũy kế học sinh chuyển đến </c:v>
                </c:pt>
                <c:pt idx="1">
                  <c:v>8/2026</c:v>
                </c:pt>
                <c:pt idx="2">
                  <c:v>9/2026</c:v>
                </c:pt>
              </c:strCache>
            </c:strRef>
          </c:cat>
          <c:val>
            <c:numRef>
              <c:extLst>
                <c:ext xmlns:c15="http://schemas.microsoft.com/office/drawing/2012/chart" uri="{02D57815-91ED-43cb-92C2-25804820EDAC}">
                  <c15:fullRef>
                    <c15:sqref>'1. Sĩ số học sinh'!$X$42:$AJ$42</c15:sqref>
                  </c15:fullRef>
                </c:ext>
              </c:extLst>
              <c:f>'1. Sĩ số học sinh'!$X$42:$Z$42</c:f>
              <c:numCache>
                <c:formatCode>General</c:formatCode>
                <c:ptCount val="3"/>
                <c:pt idx="0">
                  <c:v>82</c:v>
                </c:pt>
                <c:pt idx="1">
                  <c:v>81</c:v>
                </c:pt>
                <c:pt idx="2">
                  <c:v>1</c:v>
                </c:pt>
              </c:numCache>
            </c:numRef>
          </c:val>
          <c:extLst>
            <c:ext xmlns:c16="http://schemas.microsoft.com/office/drawing/2014/chart" uri="{C3380CC4-5D6E-409C-BE32-E72D297353CC}">
              <c16:uniqueId val="{00000006-9F30-4752-A1BC-840A5407FA9C}"/>
            </c:ext>
          </c:extLst>
        </c:ser>
        <c:ser>
          <c:idx val="3"/>
          <c:order val="3"/>
          <c:tx>
            <c:strRef>
              <c:f>'1. Sĩ số học sinh'!$W$48</c:f>
              <c:strCache>
                <c:ptCount val="1"/>
                <c:pt idx="0">
                  <c:v>THCS </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Sĩ số học sinh'!$X$31:$AJ$31</c15:sqref>
                  </c15:fullRef>
                </c:ext>
              </c:extLst>
              <c:f>'1. Sĩ số học sinh'!$X$31:$Z$31</c:f>
              <c:strCache>
                <c:ptCount val="3"/>
                <c:pt idx="0">
                  <c:v>Lũy kế học sinh chuyển đến </c:v>
                </c:pt>
                <c:pt idx="1">
                  <c:v>8/2026</c:v>
                </c:pt>
                <c:pt idx="2">
                  <c:v>9/2026</c:v>
                </c:pt>
              </c:strCache>
            </c:strRef>
          </c:cat>
          <c:val>
            <c:numRef>
              <c:extLst>
                <c:ext xmlns:c15="http://schemas.microsoft.com/office/drawing/2012/chart" uri="{02D57815-91ED-43cb-92C2-25804820EDAC}">
                  <c15:fullRef>
                    <c15:sqref>'1. Sĩ số học sinh'!$X$48:$AJ$48</c15:sqref>
                  </c15:fullRef>
                </c:ext>
              </c:extLst>
              <c:f>'1. Sĩ số học sinh'!$X$48:$Z$48</c:f>
              <c:numCache>
                <c:formatCode>General</c:formatCode>
                <c:ptCount val="3"/>
                <c:pt idx="0">
                  <c:v>50</c:v>
                </c:pt>
                <c:pt idx="1">
                  <c:v>45</c:v>
                </c:pt>
                <c:pt idx="2">
                  <c:v>5</c:v>
                </c:pt>
              </c:numCache>
            </c:numRef>
          </c:val>
          <c:extLst>
            <c:ext xmlns:c16="http://schemas.microsoft.com/office/drawing/2014/chart" uri="{C3380CC4-5D6E-409C-BE32-E72D297353CC}">
              <c16:uniqueId val="{00000007-9F30-4752-A1BC-840A5407FA9C}"/>
            </c:ext>
          </c:extLst>
        </c:ser>
        <c:ser>
          <c:idx val="4"/>
          <c:order val="4"/>
          <c:tx>
            <c:strRef>
              <c:f>'1. Sĩ số học sinh'!$W$53</c:f>
              <c:strCache>
                <c:ptCount val="1"/>
                <c:pt idx="0">
                  <c:v>THPT</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Sĩ số học sinh'!$X$31:$AJ$31</c15:sqref>
                  </c15:fullRef>
                </c:ext>
              </c:extLst>
              <c:f>'1. Sĩ số học sinh'!$X$31:$Z$31</c:f>
              <c:strCache>
                <c:ptCount val="3"/>
                <c:pt idx="0">
                  <c:v>Lũy kế học sinh chuyển đến </c:v>
                </c:pt>
                <c:pt idx="1">
                  <c:v>8/2026</c:v>
                </c:pt>
                <c:pt idx="2">
                  <c:v>9/2026</c:v>
                </c:pt>
              </c:strCache>
            </c:strRef>
          </c:cat>
          <c:val>
            <c:numRef>
              <c:extLst>
                <c:ext xmlns:c15="http://schemas.microsoft.com/office/drawing/2012/chart" uri="{02D57815-91ED-43cb-92C2-25804820EDAC}">
                  <c15:fullRef>
                    <c15:sqref>'1. Sĩ số học sinh'!$X$53:$AJ$53</c15:sqref>
                  </c15:fullRef>
                </c:ext>
              </c:extLst>
              <c:f>'1. Sĩ số học sinh'!$X$53:$Z$53</c:f>
              <c:numCache>
                <c:formatCode>General</c:formatCode>
                <c:ptCount val="3"/>
                <c:pt idx="0">
                  <c:v>1</c:v>
                </c:pt>
                <c:pt idx="1">
                  <c:v>0</c:v>
                </c:pt>
                <c:pt idx="2">
                  <c:v>1</c:v>
                </c:pt>
              </c:numCache>
            </c:numRef>
          </c:val>
          <c:extLst>
            <c:ext xmlns:c16="http://schemas.microsoft.com/office/drawing/2014/chart" uri="{C3380CC4-5D6E-409C-BE32-E72D297353CC}">
              <c16:uniqueId val="{00000008-9F30-4752-A1BC-840A5407FA9C}"/>
            </c:ext>
          </c:extLst>
        </c:ser>
        <c:dLbls>
          <c:dLblPos val="outEnd"/>
          <c:showLegendKey val="0"/>
          <c:showVal val="1"/>
          <c:showCatName val="0"/>
          <c:showSerName val="0"/>
          <c:showPercent val="0"/>
          <c:showBubbleSize val="0"/>
        </c:dLbls>
        <c:gapWidth val="219"/>
        <c:overlap val="-27"/>
        <c:axId val="1889138800"/>
        <c:axId val="893054544"/>
      </c:barChart>
      <c:catAx>
        <c:axId val="188913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93054544"/>
        <c:crosses val="autoZero"/>
        <c:auto val="1"/>
        <c:lblAlgn val="ctr"/>
        <c:lblOffset val="100"/>
        <c:noMultiLvlLbl val="0"/>
      </c:catAx>
      <c:valAx>
        <c:axId val="893054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88913880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Chênh</a:t>
            </a:r>
            <a:r>
              <a:rPr lang="en-US" baseline="0"/>
              <a:t> lệch học sinh đến - đi </a:t>
            </a:r>
            <a:endParaRPr lang="en-US"/>
          </a:p>
        </c:rich>
      </c:tx>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3.5245761703597951E-2"/>
          <c:y val="0.16307168842242231"/>
          <c:w val="0.95052404200322049"/>
          <c:h val="0.67687474806865267"/>
        </c:manualLayout>
      </c:layout>
      <c:barChart>
        <c:barDir val="col"/>
        <c:grouping val="clustered"/>
        <c:varyColors val="0"/>
        <c:ser>
          <c:idx val="0"/>
          <c:order val="0"/>
          <c:tx>
            <c:strRef>
              <c:f>'1. Sĩ số học sinh'!$AK$32</c:f>
              <c:strCache>
                <c:ptCount val="1"/>
                <c:pt idx="0">
                  <c:v>MN Biên Hòa</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Sĩ số học sinh'!$AL$31:$AX$31</c15:sqref>
                  </c15:fullRef>
                </c:ext>
              </c:extLst>
              <c:f>'1. Sĩ số học sinh'!$AL$31:$AN$31</c:f>
              <c:strCache>
                <c:ptCount val="3"/>
                <c:pt idx="0">
                  <c:v>Lũy kế HS đến - đi</c:v>
                </c:pt>
                <c:pt idx="1">
                  <c:v>8/2026</c:v>
                </c:pt>
                <c:pt idx="2">
                  <c:v>9/2026</c:v>
                </c:pt>
              </c:strCache>
            </c:strRef>
          </c:cat>
          <c:val>
            <c:numRef>
              <c:extLst>
                <c:ext xmlns:c15="http://schemas.microsoft.com/office/drawing/2012/chart" uri="{02D57815-91ED-43cb-92C2-25804820EDAC}">
                  <c15:fullRef>
                    <c15:sqref>'1. Sĩ số học sinh'!$AL$32:$AX$32</c15:sqref>
                  </c15:fullRef>
                </c:ext>
              </c:extLst>
              <c:f>'1. Sĩ số học sinh'!$AL$32:$AN$32</c:f>
              <c:numCache>
                <c:formatCode>General</c:formatCode>
                <c:ptCount val="3"/>
                <c:pt idx="0">
                  <c:v>10</c:v>
                </c:pt>
                <c:pt idx="1">
                  <c:v>2</c:v>
                </c:pt>
                <c:pt idx="2">
                  <c:v>8</c:v>
                </c:pt>
              </c:numCache>
            </c:numRef>
          </c:val>
          <c:extLst>
            <c:ext xmlns:c16="http://schemas.microsoft.com/office/drawing/2014/chart" uri="{C3380CC4-5D6E-409C-BE32-E72D297353CC}">
              <c16:uniqueId val="{00000000-4232-4089-BDFB-0DD487CABD22}"/>
            </c:ext>
          </c:extLst>
        </c:ser>
        <c:ser>
          <c:idx val="1"/>
          <c:order val="1"/>
          <c:tx>
            <c:strRef>
              <c:f>'1. Sĩ số học sinh'!$AK$37</c:f>
              <c:strCache>
                <c:ptCount val="1"/>
                <c:pt idx="0">
                  <c:v>MN Long Khánh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Sĩ số học sinh'!$AL$31:$AX$31</c15:sqref>
                  </c15:fullRef>
                </c:ext>
              </c:extLst>
              <c:f>'1. Sĩ số học sinh'!$AL$31:$AN$31</c:f>
              <c:strCache>
                <c:ptCount val="3"/>
                <c:pt idx="0">
                  <c:v>Lũy kế HS đến - đi</c:v>
                </c:pt>
                <c:pt idx="1">
                  <c:v>8/2026</c:v>
                </c:pt>
                <c:pt idx="2">
                  <c:v>9/2026</c:v>
                </c:pt>
              </c:strCache>
            </c:strRef>
          </c:cat>
          <c:val>
            <c:numRef>
              <c:extLst>
                <c:ext xmlns:c15="http://schemas.microsoft.com/office/drawing/2012/chart" uri="{02D57815-91ED-43cb-92C2-25804820EDAC}">
                  <c15:fullRef>
                    <c15:sqref>'1. Sĩ số học sinh'!$AL$37:$AX$37</c15:sqref>
                  </c15:fullRef>
                </c:ext>
              </c:extLst>
              <c:f>'1. Sĩ số học sinh'!$AL$37:$AN$37</c:f>
              <c:numCache>
                <c:formatCode>General</c:formatCode>
                <c:ptCount val="3"/>
                <c:pt idx="0">
                  <c:v>12</c:v>
                </c:pt>
                <c:pt idx="1">
                  <c:v>8</c:v>
                </c:pt>
                <c:pt idx="2">
                  <c:v>4</c:v>
                </c:pt>
              </c:numCache>
            </c:numRef>
          </c:val>
          <c:extLst>
            <c:ext xmlns:c16="http://schemas.microsoft.com/office/drawing/2014/chart" uri="{C3380CC4-5D6E-409C-BE32-E72D297353CC}">
              <c16:uniqueId val="{00000005-4232-4089-BDFB-0DD487CABD22}"/>
            </c:ext>
          </c:extLst>
        </c:ser>
        <c:ser>
          <c:idx val="2"/>
          <c:order val="2"/>
          <c:tx>
            <c:strRef>
              <c:f>'1. Sĩ số học sinh'!$AK$42</c:f>
              <c:strCache>
                <c:ptCount val="1"/>
                <c:pt idx="0">
                  <c:v>Tiểu học</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Sĩ số học sinh'!$AL$31:$AX$31</c15:sqref>
                  </c15:fullRef>
                </c:ext>
              </c:extLst>
              <c:f>'1. Sĩ số học sinh'!$AL$31:$AN$31</c:f>
              <c:strCache>
                <c:ptCount val="3"/>
                <c:pt idx="0">
                  <c:v>Lũy kế HS đến - đi</c:v>
                </c:pt>
                <c:pt idx="1">
                  <c:v>8/2026</c:v>
                </c:pt>
                <c:pt idx="2">
                  <c:v>9/2026</c:v>
                </c:pt>
              </c:strCache>
            </c:strRef>
          </c:cat>
          <c:val>
            <c:numRef>
              <c:extLst>
                <c:ext xmlns:c15="http://schemas.microsoft.com/office/drawing/2012/chart" uri="{02D57815-91ED-43cb-92C2-25804820EDAC}">
                  <c15:fullRef>
                    <c15:sqref>'1. Sĩ số học sinh'!$AL$42:$AX$42</c15:sqref>
                  </c15:fullRef>
                </c:ext>
              </c:extLst>
              <c:f>'1. Sĩ số học sinh'!$AL$42:$AN$42</c:f>
              <c:numCache>
                <c:formatCode>General</c:formatCode>
                <c:ptCount val="3"/>
                <c:pt idx="0">
                  <c:v>68</c:v>
                </c:pt>
                <c:pt idx="1">
                  <c:v>69</c:v>
                </c:pt>
                <c:pt idx="2">
                  <c:v>-1</c:v>
                </c:pt>
              </c:numCache>
            </c:numRef>
          </c:val>
          <c:extLst>
            <c:ext xmlns:c16="http://schemas.microsoft.com/office/drawing/2014/chart" uri="{C3380CC4-5D6E-409C-BE32-E72D297353CC}">
              <c16:uniqueId val="{00000006-4232-4089-BDFB-0DD487CABD22}"/>
            </c:ext>
          </c:extLst>
        </c:ser>
        <c:ser>
          <c:idx val="3"/>
          <c:order val="3"/>
          <c:tx>
            <c:strRef>
              <c:f>'1. Sĩ số học sinh'!$AK$48</c:f>
              <c:strCache>
                <c:ptCount val="1"/>
                <c:pt idx="0">
                  <c:v>THCS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Sĩ số học sinh'!$AL$31:$AX$31</c15:sqref>
                  </c15:fullRef>
                </c:ext>
              </c:extLst>
              <c:f>'1. Sĩ số học sinh'!$AL$31:$AN$31</c:f>
              <c:strCache>
                <c:ptCount val="3"/>
                <c:pt idx="0">
                  <c:v>Lũy kế HS đến - đi</c:v>
                </c:pt>
                <c:pt idx="1">
                  <c:v>8/2026</c:v>
                </c:pt>
                <c:pt idx="2">
                  <c:v>9/2026</c:v>
                </c:pt>
              </c:strCache>
            </c:strRef>
          </c:cat>
          <c:val>
            <c:numRef>
              <c:extLst>
                <c:ext xmlns:c15="http://schemas.microsoft.com/office/drawing/2012/chart" uri="{02D57815-91ED-43cb-92C2-25804820EDAC}">
                  <c15:fullRef>
                    <c15:sqref>'1. Sĩ số học sinh'!$AL$48:$AX$48</c15:sqref>
                  </c15:fullRef>
                </c:ext>
              </c:extLst>
              <c:f>'1. Sĩ số học sinh'!$AL$48:$AN$48</c:f>
              <c:numCache>
                <c:formatCode>General</c:formatCode>
                <c:ptCount val="3"/>
                <c:pt idx="0">
                  <c:v>40</c:v>
                </c:pt>
                <c:pt idx="1">
                  <c:v>37</c:v>
                </c:pt>
                <c:pt idx="2">
                  <c:v>3</c:v>
                </c:pt>
              </c:numCache>
            </c:numRef>
          </c:val>
          <c:extLst>
            <c:ext xmlns:c16="http://schemas.microsoft.com/office/drawing/2014/chart" uri="{C3380CC4-5D6E-409C-BE32-E72D297353CC}">
              <c16:uniqueId val="{00000007-4232-4089-BDFB-0DD487CABD22}"/>
            </c:ext>
          </c:extLst>
        </c:ser>
        <c:ser>
          <c:idx val="4"/>
          <c:order val="4"/>
          <c:tx>
            <c:strRef>
              <c:f>'1. Sĩ số học sinh'!$AK$53</c:f>
              <c:strCache>
                <c:ptCount val="1"/>
                <c:pt idx="0">
                  <c:v>THPT</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'1. Sĩ số học sinh'!$AL$31:$AX$31</c15:sqref>
                  </c15:fullRef>
                </c:ext>
              </c:extLst>
              <c:f>'1. Sĩ số học sinh'!$AL$31:$AN$31</c:f>
              <c:strCache>
                <c:ptCount val="3"/>
                <c:pt idx="0">
                  <c:v>Lũy kế HS đến - đi</c:v>
                </c:pt>
                <c:pt idx="1">
                  <c:v>8/2026</c:v>
                </c:pt>
                <c:pt idx="2">
                  <c:v>9/2026</c:v>
                </c:pt>
              </c:strCache>
            </c:strRef>
          </c:cat>
          <c:val>
            <c:numRef>
              <c:extLst>
                <c:ext xmlns:c15="http://schemas.microsoft.com/office/drawing/2012/chart" uri="{02D57815-91ED-43cb-92C2-25804820EDAC}">
                  <c15:fullRef>
                    <c15:sqref>'1. Sĩ số học sinh'!$AL$53:$AX$53</c15:sqref>
                  </c15:fullRef>
                </c:ext>
              </c:extLst>
              <c:f>'1. Sĩ số học sinh'!$AL$53:$AN$53</c:f>
              <c:numCache>
                <c:formatCode>General</c:formatCode>
                <c:ptCount val="3"/>
                <c:pt idx="0">
                  <c:v>-6</c:v>
                </c:pt>
                <c:pt idx="1">
                  <c:v>-5</c:v>
                </c:pt>
                <c:pt idx="2">
                  <c:v>-1</c:v>
                </c:pt>
              </c:numCache>
            </c:numRef>
          </c:val>
          <c:extLst>
            <c:ext xmlns:c16="http://schemas.microsoft.com/office/drawing/2014/chart" uri="{C3380CC4-5D6E-409C-BE32-E72D297353CC}">
              <c16:uniqueId val="{00000008-4232-4089-BDFB-0DD487CABD22}"/>
            </c:ext>
          </c:extLst>
        </c:ser>
        <c:dLbls>
          <c:dLblPos val="outEnd"/>
          <c:showLegendKey val="0"/>
          <c:showVal val="1"/>
          <c:showCatName val="0"/>
          <c:showSerName val="0"/>
          <c:showPercent val="0"/>
          <c:showBubbleSize val="0"/>
        </c:dLbls>
        <c:gapWidth val="219"/>
        <c:overlap val="-27"/>
        <c:axId val="1889138800"/>
        <c:axId val="893054544"/>
      </c:barChart>
      <c:catAx>
        <c:axId val="1889138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893054544"/>
        <c:crosses val="autoZero"/>
        <c:auto val="1"/>
        <c:lblAlgn val="ctr"/>
        <c:lblOffset val="100"/>
        <c:noMultiLvlLbl val="0"/>
      </c:catAx>
      <c:valAx>
        <c:axId val="893054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889138800"/>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Số lượng học sinh CLB mầm non Long Khánh</a:t>
            </a:r>
          </a:p>
        </c:rich>
      </c:tx>
      <c:layout>
        <c:manualLayout>
          <c:xMode val="edge"/>
          <c:yMode val="edge"/>
          <c:x val="0.15362155469313241"/>
          <c:y val="4.967924863083762E-2"/>
        </c:manualLayout>
      </c:layout>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8.7656530751715391E-3"/>
          <c:y val="0.18464594467442147"/>
          <c:w val="0.99123434692482848"/>
          <c:h val="0.48258732535672927"/>
        </c:manualLayout>
      </c:layout>
      <c:barChart>
        <c:barDir val="col"/>
        <c:grouping val="clustered"/>
        <c:varyColors val="0"/>
        <c:ser>
          <c:idx val="0"/>
          <c:order val="0"/>
          <c:tx>
            <c:strRef>
              <c:f>'2. Câu lạc bộ'!$B$53</c:f>
              <c:strCache>
                <c:ptCount val="1"/>
                <c:pt idx="0">
                  <c:v>CLB Đàn </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bộ'!$E$52:$M$52</c15:sqref>
                  </c15:fullRef>
                </c:ext>
              </c:extLst>
              <c:f>'2. Câu lạc bộ'!$E$52</c:f>
              <c:strCache>
                <c:ptCount val="1"/>
                <c:pt idx="0">
                  <c:v> Tháng 9 </c:v>
                </c:pt>
              </c:strCache>
            </c:strRef>
          </c:cat>
          <c:val>
            <c:numRef>
              <c:extLst>
                <c:ext xmlns:c15="http://schemas.microsoft.com/office/drawing/2012/chart" uri="{02D57815-91ED-43cb-92C2-25804820EDAC}">
                  <c15:fullRef>
                    <c15:sqref>'2. Câu lạc bộ'!$E$53:$M$53</c15:sqref>
                  </c15:fullRef>
                </c:ext>
              </c:extLst>
              <c:f>'2. Câu lạc bộ'!$E$53</c:f>
              <c:numCache>
                <c:formatCode>General</c:formatCode>
                <c:ptCount val="1"/>
                <c:pt idx="0">
                  <c:v>8</c:v>
                </c:pt>
              </c:numCache>
            </c:numRef>
          </c:val>
          <c:extLst>
            <c:ext xmlns:c16="http://schemas.microsoft.com/office/drawing/2014/chart" uri="{C3380CC4-5D6E-409C-BE32-E72D297353CC}">
              <c16:uniqueId val="{00000000-ED8B-4EA7-8E03-19EC2A164CA3}"/>
            </c:ext>
          </c:extLst>
        </c:ser>
        <c:ser>
          <c:idx val="1"/>
          <c:order val="1"/>
          <c:tx>
            <c:strRef>
              <c:f>'2. Câu lạc bộ'!$B$54</c:f>
              <c:strCache>
                <c:ptCount val="1"/>
                <c:pt idx="0">
                  <c:v>CLB Nhạc kịch</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bộ'!$E$52:$M$52</c15:sqref>
                  </c15:fullRef>
                </c:ext>
              </c:extLst>
              <c:f>'2. Câu lạc bộ'!$E$52</c:f>
              <c:strCache>
                <c:ptCount val="1"/>
                <c:pt idx="0">
                  <c:v> Tháng 9 </c:v>
                </c:pt>
              </c:strCache>
            </c:strRef>
          </c:cat>
          <c:val>
            <c:numRef>
              <c:extLst>
                <c:ext xmlns:c15="http://schemas.microsoft.com/office/drawing/2012/chart" uri="{02D57815-91ED-43cb-92C2-25804820EDAC}">
                  <c15:fullRef>
                    <c15:sqref>'2. Câu lạc bộ'!$E$54:$M$54</c15:sqref>
                  </c15:fullRef>
                </c:ext>
              </c:extLst>
              <c:f>'2. Câu lạc bộ'!$E$54</c:f>
              <c:numCache>
                <c:formatCode>General</c:formatCode>
                <c:ptCount val="1"/>
                <c:pt idx="0">
                  <c:v>6</c:v>
                </c:pt>
              </c:numCache>
            </c:numRef>
          </c:val>
          <c:extLst>
            <c:ext xmlns:c16="http://schemas.microsoft.com/office/drawing/2014/chart" uri="{C3380CC4-5D6E-409C-BE32-E72D297353CC}">
              <c16:uniqueId val="{0000000C-ED8B-4EA7-8E03-19EC2A164CA3}"/>
            </c:ext>
          </c:extLst>
        </c:ser>
        <c:ser>
          <c:idx val="2"/>
          <c:order val="2"/>
          <c:tx>
            <c:strRef>
              <c:f>'2. Câu lạc bộ'!$B$55</c:f>
              <c:strCache>
                <c:ptCount val="1"/>
                <c:pt idx="0">
                  <c:v>CLB Tiền tiểu học</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bộ'!$E$52:$M$52</c15:sqref>
                  </c15:fullRef>
                </c:ext>
              </c:extLst>
              <c:f>'2. Câu lạc bộ'!$E$52</c:f>
              <c:strCache>
                <c:ptCount val="1"/>
                <c:pt idx="0">
                  <c:v> Tháng 9 </c:v>
                </c:pt>
              </c:strCache>
            </c:strRef>
          </c:cat>
          <c:val>
            <c:numRef>
              <c:extLst>
                <c:ext xmlns:c15="http://schemas.microsoft.com/office/drawing/2012/chart" uri="{02D57815-91ED-43cb-92C2-25804820EDAC}">
                  <c15:fullRef>
                    <c15:sqref>'2. Câu lạc bộ'!$E$55:$M$55</c15:sqref>
                  </c15:fullRef>
                </c:ext>
              </c:extLst>
              <c:f>'2. Câu lạc bộ'!$E$55</c:f>
              <c:numCache>
                <c:formatCode>General</c:formatCode>
                <c:ptCount val="1"/>
                <c:pt idx="0">
                  <c:v>16</c:v>
                </c:pt>
              </c:numCache>
            </c:numRef>
          </c:val>
          <c:extLst>
            <c:ext xmlns:c16="http://schemas.microsoft.com/office/drawing/2014/chart" uri="{C3380CC4-5D6E-409C-BE32-E72D297353CC}">
              <c16:uniqueId val="{0000000D-ED8B-4EA7-8E03-19EC2A164CA3}"/>
            </c:ext>
          </c:extLst>
        </c:ser>
        <c:ser>
          <c:idx val="3"/>
          <c:order val="3"/>
          <c:tx>
            <c:strRef>
              <c:f>'2. Câu lạc bộ'!$B$56</c:f>
              <c:strCache>
                <c:ptCount val="1"/>
                <c:pt idx="0">
                  <c:v>CLB Tiếng Anh</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bộ'!$E$52:$M$52</c15:sqref>
                  </c15:fullRef>
                </c:ext>
              </c:extLst>
              <c:f>'2. Câu lạc bộ'!$E$52</c:f>
              <c:strCache>
                <c:ptCount val="1"/>
                <c:pt idx="0">
                  <c:v> Tháng 9 </c:v>
                </c:pt>
              </c:strCache>
            </c:strRef>
          </c:cat>
          <c:val>
            <c:numRef>
              <c:extLst>
                <c:ext xmlns:c15="http://schemas.microsoft.com/office/drawing/2012/chart" uri="{02D57815-91ED-43cb-92C2-25804820EDAC}">
                  <c15:fullRef>
                    <c15:sqref>'2. Câu lạc bộ'!$E$56:$M$56</c15:sqref>
                  </c15:fullRef>
                </c:ext>
              </c:extLst>
              <c:f>'2. Câu lạc bộ'!$E$56</c:f>
              <c:numCache>
                <c:formatCode>General</c:formatCode>
                <c:ptCount val="1"/>
                <c:pt idx="0">
                  <c:v>22</c:v>
                </c:pt>
              </c:numCache>
            </c:numRef>
          </c:val>
          <c:extLst>
            <c:ext xmlns:c16="http://schemas.microsoft.com/office/drawing/2014/chart" uri="{C3380CC4-5D6E-409C-BE32-E72D297353CC}">
              <c16:uniqueId val="{0000000E-ED8B-4EA7-8E03-19EC2A164CA3}"/>
            </c:ext>
          </c:extLst>
        </c:ser>
        <c:ser>
          <c:idx val="4"/>
          <c:order val="4"/>
          <c:tx>
            <c:strRef>
              <c:f>'2. Câu lạc bộ'!$B$57</c:f>
              <c:strCache>
                <c:ptCount val="1"/>
                <c:pt idx="0">
                  <c:v>CLB Nhảy hiện đại</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bộ'!$E$52:$M$52</c15:sqref>
                  </c15:fullRef>
                </c:ext>
              </c:extLst>
              <c:f>'2. Câu lạc bộ'!$E$52</c:f>
              <c:strCache>
                <c:ptCount val="1"/>
                <c:pt idx="0">
                  <c:v> Tháng 9 </c:v>
                </c:pt>
              </c:strCache>
            </c:strRef>
          </c:cat>
          <c:val>
            <c:numRef>
              <c:extLst>
                <c:ext xmlns:c15="http://schemas.microsoft.com/office/drawing/2012/chart" uri="{02D57815-91ED-43cb-92C2-25804820EDAC}">
                  <c15:fullRef>
                    <c15:sqref>'2. Câu lạc bộ'!$E$57:$M$57</c15:sqref>
                  </c15:fullRef>
                </c:ext>
              </c:extLst>
              <c:f>'2. Câu lạc bộ'!$E$57</c:f>
              <c:numCache>
                <c:formatCode>General</c:formatCode>
                <c:ptCount val="1"/>
                <c:pt idx="0">
                  <c:v>18</c:v>
                </c:pt>
              </c:numCache>
            </c:numRef>
          </c:val>
          <c:extLst>
            <c:ext xmlns:c16="http://schemas.microsoft.com/office/drawing/2014/chart" uri="{C3380CC4-5D6E-409C-BE32-E72D297353CC}">
              <c16:uniqueId val="{0000000F-ED8B-4EA7-8E03-19EC2A164CA3}"/>
            </c:ext>
          </c:extLst>
        </c:ser>
        <c:dLbls>
          <c:dLblPos val="outEnd"/>
          <c:showLegendKey val="0"/>
          <c:showVal val="1"/>
          <c:showCatName val="0"/>
          <c:showSerName val="0"/>
          <c:showPercent val="0"/>
          <c:showBubbleSize val="0"/>
        </c:dLbls>
        <c:gapWidth val="219"/>
        <c:overlap val="-27"/>
        <c:axId val="1592981456"/>
        <c:axId val="1592978096"/>
      </c:barChart>
      <c:catAx>
        <c:axId val="1592981456"/>
        <c:scaling>
          <c:orientation val="minMax"/>
        </c:scaling>
        <c:delete val="1"/>
        <c:axPos val="b"/>
        <c:numFmt formatCode="General" sourceLinked="1"/>
        <c:majorTickMark val="none"/>
        <c:minorTickMark val="none"/>
        <c:tickLblPos val="nextTo"/>
        <c:crossAx val="1592978096"/>
        <c:crosses val="autoZero"/>
        <c:auto val="1"/>
        <c:lblAlgn val="ctr"/>
        <c:lblOffset val="100"/>
        <c:noMultiLvlLbl val="0"/>
      </c:catAx>
      <c:valAx>
        <c:axId val="1592978096"/>
        <c:scaling>
          <c:orientation val="minMax"/>
        </c:scaling>
        <c:delete val="1"/>
        <c:axPos val="l"/>
        <c:numFmt formatCode="General" sourceLinked="1"/>
        <c:majorTickMark val="none"/>
        <c:minorTickMark val="none"/>
        <c:tickLblPos val="nextTo"/>
        <c:crossAx val="1592981456"/>
        <c:crosses val="autoZero"/>
        <c:crossBetween val="between"/>
      </c:valAx>
      <c:spPr>
        <a:noFill/>
        <a:ln>
          <a:noFill/>
        </a:ln>
        <a:effectLst/>
      </c:spPr>
    </c:plotArea>
    <c:legend>
      <c:legendPos val="b"/>
      <c:layout>
        <c:manualLayout>
          <c:xMode val="edge"/>
          <c:yMode val="edge"/>
          <c:x val="7.5274798210315075E-2"/>
          <c:y val="0.73057882644764893"/>
          <c:w val="0.80790215005936217"/>
          <c:h val="9.5528176939006629E-2"/>
        </c:manualLayout>
      </c:layout>
      <c:overlay val="0"/>
      <c:spPr>
        <a:noFill/>
        <a:ln>
          <a:noFill/>
        </a:ln>
        <a:effectLst/>
      </c:spPr>
      <c:txPr>
        <a:bodyPr rot="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Số lượng học sinh CLB Cấp</a:t>
            </a:r>
            <a:r>
              <a:rPr lang="en-US" baseline="0"/>
              <a:t> Trung học</a:t>
            </a:r>
            <a:endParaRPr lang="en-US"/>
          </a:p>
        </c:rich>
      </c:tx>
      <c:layout>
        <c:manualLayout>
          <c:xMode val="edge"/>
          <c:yMode val="edge"/>
          <c:x val="8.3981386743340325E-2"/>
          <c:y val="2.6993844574615927E-2"/>
        </c:manualLayout>
      </c:layout>
      <c:overlay val="0"/>
      <c:spPr>
        <a:noFill/>
        <a:ln>
          <a:noFill/>
        </a:ln>
        <a:effectLst/>
      </c:spPr>
      <c:txPr>
        <a:bodyPr rot="0" spcFirstLastPara="1" vertOverflow="ellipsis" vert="horz" wrap="square" anchor="ctr" anchorCtr="1"/>
        <a:lstStyle/>
        <a:p>
          <a:pPr>
            <a:defRPr sz="108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manualLayout>
          <c:layoutTarget val="inner"/>
          <c:xMode val="edge"/>
          <c:yMode val="edge"/>
          <c:x val="8.7656530751715391E-3"/>
          <c:y val="0.18464594467442147"/>
          <c:w val="0.99123434692482848"/>
          <c:h val="0.48258732535672927"/>
        </c:manualLayout>
      </c:layout>
      <c:barChart>
        <c:barDir val="col"/>
        <c:grouping val="clustered"/>
        <c:varyColors val="0"/>
        <c:ser>
          <c:idx val="0"/>
          <c:order val="0"/>
          <c:tx>
            <c:strRef>
              <c:f>'2. Câu lạc bộ'!$B$9</c:f>
              <c:strCache>
                <c:ptCount val="1"/>
                <c:pt idx="0">
                  <c:v>CLB Advanced Robotics</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bộ'!$E$8:$M$8</c15:sqref>
                  </c15:fullRef>
                </c:ext>
              </c:extLst>
              <c:f>'2. Câu lạc bộ'!$E$8</c:f>
              <c:strCache>
                <c:ptCount val="1"/>
                <c:pt idx="0">
                  <c:v> Tháng 9 </c:v>
                </c:pt>
              </c:strCache>
            </c:strRef>
          </c:cat>
          <c:val>
            <c:numRef>
              <c:extLst>
                <c:ext xmlns:c15="http://schemas.microsoft.com/office/drawing/2012/chart" uri="{02D57815-91ED-43cb-92C2-25804820EDAC}">
                  <c15:fullRef>
                    <c15:sqref>'2. Câu lạc bộ'!$E$9:$M$9</c15:sqref>
                  </c15:fullRef>
                </c:ext>
              </c:extLst>
              <c:f>'2. Câu lạc bộ'!$E$9</c:f>
              <c:numCache>
                <c:formatCode>General</c:formatCode>
                <c:ptCount val="1"/>
                <c:pt idx="0">
                  <c:v>5</c:v>
                </c:pt>
              </c:numCache>
            </c:numRef>
          </c:val>
          <c:extLst>
            <c:ext xmlns:c16="http://schemas.microsoft.com/office/drawing/2014/chart" uri="{C3380CC4-5D6E-409C-BE32-E72D297353CC}">
              <c16:uniqueId val="{00000000-181D-481A-BFC7-11094F19A9DB}"/>
            </c:ext>
          </c:extLst>
        </c:ser>
        <c:ser>
          <c:idx val="1"/>
          <c:order val="1"/>
          <c:tx>
            <c:strRef>
              <c:f>'2. Câu lạc bộ'!$B$10</c:f>
              <c:strCache>
                <c:ptCount val="1"/>
                <c:pt idx="0">
                  <c:v>CLB Ẩm thực</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bộ'!$E$8:$M$8</c15:sqref>
                  </c15:fullRef>
                </c:ext>
              </c:extLst>
              <c:f>'2. Câu lạc bộ'!$E$8</c:f>
              <c:strCache>
                <c:ptCount val="1"/>
                <c:pt idx="0">
                  <c:v> Tháng 9 </c:v>
                </c:pt>
              </c:strCache>
            </c:strRef>
          </c:cat>
          <c:val>
            <c:numRef>
              <c:extLst>
                <c:ext xmlns:c15="http://schemas.microsoft.com/office/drawing/2012/chart" uri="{02D57815-91ED-43cb-92C2-25804820EDAC}">
                  <c15:fullRef>
                    <c15:sqref>'2. Câu lạc bộ'!$E$10:$M$10</c15:sqref>
                  </c15:fullRef>
                </c:ext>
              </c:extLst>
              <c:f>'2. Câu lạc bộ'!$E$10</c:f>
              <c:numCache>
                <c:formatCode>General</c:formatCode>
                <c:ptCount val="1"/>
                <c:pt idx="0">
                  <c:v>5</c:v>
                </c:pt>
              </c:numCache>
            </c:numRef>
          </c:val>
          <c:extLst>
            <c:ext xmlns:c16="http://schemas.microsoft.com/office/drawing/2014/chart" uri="{C3380CC4-5D6E-409C-BE32-E72D297353CC}">
              <c16:uniqueId val="{00000009-A6E1-4FEF-B2FB-EC0D0CAD7D64}"/>
            </c:ext>
          </c:extLst>
        </c:ser>
        <c:ser>
          <c:idx val="2"/>
          <c:order val="2"/>
          <c:tx>
            <c:strRef>
              <c:f>'2. Câu lạc bộ'!$B$11</c:f>
              <c:strCache>
                <c:ptCount val="1"/>
                <c:pt idx="0">
                  <c:v>CLB Bơi nâng cao 2</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bộ'!$E$8:$M$8</c15:sqref>
                  </c15:fullRef>
                </c:ext>
              </c:extLst>
              <c:f>'2. Câu lạc bộ'!$E$8</c:f>
              <c:strCache>
                <c:ptCount val="1"/>
                <c:pt idx="0">
                  <c:v> Tháng 9 </c:v>
                </c:pt>
              </c:strCache>
            </c:strRef>
          </c:cat>
          <c:val>
            <c:numRef>
              <c:extLst>
                <c:ext xmlns:c15="http://schemas.microsoft.com/office/drawing/2012/chart" uri="{02D57815-91ED-43cb-92C2-25804820EDAC}">
                  <c15:fullRef>
                    <c15:sqref>'2. Câu lạc bộ'!$E$11:$M$11</c15:sqref>
                  </c15:fullRef>
                </c:ext>
              </c:extLst>
              <c:f>'2. Câu lạc bộ'!$E$11</c:f>
              <c:numCache>
                <c:formatCode>General</c:formatCode>
                <c:ptCount val="1"/>
                <c:pt idx="0">
                  <c:v>15</c:v>
                </c:pt>
              </c:numCache>
            </c:numRef>
          </c:val>
          <c:extLst>
            <c:ext xmlns:c16="http://schemas.microsoft.com/office/drawing/2014/chart" uri="{C3380CC4-5D6E-409C-BE32-E72D297353CC}">
              <c16:uniqueId val="{0000000A-A6E1-4FEF-B2FB-EC0D0CAD7D64}"/>
            </c:ext>
          </c:extLst>
        </c:ser>
        <c:ser>
          <c:idx val="3"/>
          <c:order val="3"/>
          <c:tx>
            <c:strRef>
              <c:f>'2. Câu lạc bộ'!$B$12</c:f>
              <c:strCache>
                <c:ptCount val="1"/>
                <c:pt idx="0">
                  <c:v>CLB Bóng chuyền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bộ'!$E$8:$M$8</c15:sqref>
                  </c15:fullRef>
                </c:ext>
              </c:extLst>
              <c:f>'2. Câu lạc bộ'!$E$8</c:f>
              <c:strCache>
                <c:ptCount val="1"/>
                <c:pt idx="0">
                  <c:v> Tháng 9 </c:v>
                </c:pt>
              </c:strCache>
            </c:strRef>
          </c:cat>
          <c:val>
            <c:numRef>
              <c:extLst>
                <c:ext xmlns:c15="http://schemas.microsoft.com/office/drawing/2012/chart" uri="{02D57815-91ED-43cb-92C2-25804820EDAC}">
                  <c15:fullRef>
                    <c15:sqref>'2. Câu lạc bộ'!$E$12:$M$12</c15:sqref>
                  </c15:fullRef>
                </c:ext>
              </c:extLst>
              <c:f>'2. Câu lạc bộ'!$E$12</c:f>
              <c:numCache>
                <c:formatCode>General</c:formatCode>
                <c:ptCount val="1"/>
                <c:pt idx="0">
                  <c:v>8</c:v>
                </c:pt>
              </c:numCache>
            </c:numRef>
          </c:val>
          <c:extLst>
            <c:ext xmlns:c16="http://schemas.microsoft.com/office/drawing/2014/chart" uri="{C3380CC4-5D6E-409C-BE32-E72D297353CC}">
              <c16:uniqueId val="{0000000B-A6E1-4FEF-B2FB-EC0D0CAD7D64}"/>
            </c:ext>
          </c:extLst>
        </c:ser>
        <c:ser>
          <c:idx val="4"/>
          <c:order val="4"/>
          <c:tx>
            <c:strRef>
              <c:f>'2. Câu lạc bộ'!$B$13</c:f>
              <c:strCache>
                <c:ptCount val="1"/>
                <c:pt idx="0">
                  <c:v>CLB Bóng đá</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bộ'!$E$8:$M$8</c15:sqref>
                  </c15:fullRef>
                </c:ext>
              </c:extLst>
              <c:f>'2. Câu lạc bộ'!$E$8</c:f>
              <c:strCache>
                <c:ptCount val="1"/>
                <c:pt idx="0">
                  <c:v> Tháng 9 </c:v>
                </c:pt>
              </c:strCache>
            </c:strRef>
          </c:cat>
          <c:val>
            <c:numRef>
              <c:extLst>
                <c:ext xmlns:c15="http://schemas.microsoft.com/office/drawing/2012/chart" uri="{02D57815-91ED-43cb-92C2-25804820EDAC}">
                  <c15:fullRef>
                    <c15:sqref>'2. Câu lạc bộ'!$E$13:$M$13</c15:sqref>
                  </c15:fullRef>
                </c:ext>
              </c:extLst>
              <c:f>'2. Câu lạc bộ'!$E$13</c:f>
              <c:numCache>
                <c:formatCode>General</c:formatCode>
                <c:ptCount val="1"/>
                <c:pt idx="0">
                  <c:v>12</c:v>
                </c:pt>
              </c:numCache>
            </c:numRef>
          </c:val>
          <c:extLst>
            <c:ext xmlns:c16="http://schemas.microsoft.com/office/drawing/2014/chart" uri="{C3380CC4-5D6E-409C-BE32-E72D297353CC}">
              <c16:uniqueId val="{0000000C-A6E1-4FEF-B2FB-EC0D0CAD7D64}"/>
            </c:ext>
          </c:extLst>
        </c:ser>
        <c:ser>
          <c:idx val="5"/>
          <c:order val="5"/>
          <c:tx>
            <c:strRef>
              <c:f>'2. Câu lạc bộ'!$B$14</c:f>
              <c:strCache>
                <c:ptCount val="1"/>
                <c:pt idx="0">
                  <c:v>CLB Bóng đá phát triển</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bộ'!$E$8:$M$8</c15:sqref>
                  </c15:fullRef>
                </c:ext>
              </c:extLst>
              <c:f>'2. Câu lạc bộ'!$E$8</c:f>
              <c:strCache>
                <c:ptCount val="1"/>
                <c:pt idx="0">
                  <c:v> Tháng 9 </c:v>
                </c:pt>
              </c:strCache>
            </c:strRef>
          </c:cat>
          <c:val>
            <c:numRef>
              <c:extLst>
                <c:ext xmlns:c15="http://schemas.microsoft.com/office/drawing/2012/chart" uri="{02D57815-91ED-43cb-92C2-25804820EDAC}">
                  <c15:fullRef>
                    <c15:sqref>'2. Câu lạc bộ'!$E$14:$M$14</c15:sqref>
                  </c15:fullRef>
                </c:ext>
              </c:extLst>
              <c:f>'2. Câu lạc bộ'!$E$14</c:f>
              <c:numCache>
                <c:formatCode>General</c:formatCode>
                <c:ptCount val="1"/>
                <c:pt idx="0">
                  <c:v>14</c:v>
                </c:pt>
              </c:numCache>
            </c:numRef>
          </c:val>
          <c:extLst>
            <c:ext xmlns:c16="http://schemas.microsoft.com/office/drawing/2014/chart" uri="{C3380CC4-5D6E-409C-BE32-E72D297353CC}">
              <c16:uniqueId val="{0000000D-A6E1-4FEF-B2FB-EC0D0CAD7D64}"/>
            </c:ext>
          </c:extLst>
        </c:ser>
        <c:ser>
          <c:idx val="6"/>
          <c:order val="6"/>
          <c:tx>
            <c:strRef>
              <c:f>'2. Câu lạc bộ'!$B$15</c:f>
              <c:strCache>
                <c:ptCount val="1"/>
                <c:pt idx="0">
                  <c:v>CLB Bóng rổ</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bộ'!$E$8:$M$8</c15:sqref>
                  </c15:fullRef>
                </c:ext>
              </c:extLst>
              <c:f>'2. Câu lạc bộ'!$E$8</c:f>
              <c:strCache>
                <c:ptCount val="1"/>
                <c:pt idx="0">
                  <c:v> Tháng 9 </c:v>
                </c:pt>
              </c:strCache>
            </c:strRef>
          </c:cat>
          <c:val>
            <c:numRef>
              <c:extLst>
                <c:ext xmlns:c15="http://schemas.microsoft.com/office/drawing/2012/chart" uri="{02D57815-91ED-43cb-92C2-25804820EDAC}">
                  <c15:fullRef>
                    <c15:sqref>'2. Câu lạc bộ'!$E$15:$M$15</c15:sqref>
                  </c15:fullRef>
                </c:ext>
              </c:extLst>
              <c:f>'2. Câu lạc bộ'!$E$15</c:f>
              <c:numCache>
                <c:formatCode>General</c:formatCode>
                <c:ptCount val="1"/>
                <c:pt idx="0">
                  <c:v>5</c:v>
                </c:pt>
              </c:numCache>
            </c:numRef>
          </c:val>
          <c:extLst>
            <c:ext xmlns:c16="http://schemas.microsoft.com/office/drawing/2014/chart" uri="{C3380CC4-5D6E-409C-BE32-E72D297353CC}">
              <c16:uniqueId val="{0000000E-A6E1-4FEF-B2FB-EC0D0CAD7D64}"/>
            </c:ext>
          </c:extLst>
        </c:ser>
        <c:ser>
          <c:idx val="7"/>
          <c:order val="7"/>
          <c:tx>
            <c:strRef>
              <c:f>'2. Câu lạc bộ'!$B$16</c:f>
              <c:strCache>
                <c:ptCount val="1"/>
                <c:pt idx="0">
                  <c:v>CLB Digital - Art</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bộ'!$E$8:$M$8</c15:sqref>
                  </c15:fullRef>
                </c:ext>
              </c:extLst>
              <c:f>'2. Câu lạc bộ'!$E$8</c:f>
              <c:strCache>
                <c:ptCount val="1"/>
                <c:pt idx="0">
                  <c:v> Tháng 9 </c:v>
                </c:pt>
              </c:strCache>
            </c:strRef>
          </c:cat>
          <c:val>
            <c:numRef>
              <c:extLst>
                <c:ext xmlns:c15="http://schemas.microsoft.com/office/drawing/2012/chart" uri="{02D57815-91ED-43cb-92C2-25804820EDAC}">
                  <c15:fullRef>
                    <c15:sqref>'2. Câu lạc bộ'!$E$16:$M$16</c15:sqref>
                  </c15:fullRef>
                </c:ext>
              </c:extLst>
              <c:f>'2. Câu lạc bộ'!$E$16</c:f>
              <c:numCache>
                <c:formatCode>General</c:formatCode>
                <c:ptCount val="1"/>
                <c:pt idx="0">
                  <c:v>15</c:v>
                </c:pt>
              </c:numCache>
            </c:numRef>
          </c:val>
          <c:extLst>
            <c:ext xmlns:c16="http://schemas.microsoft.com/office/drawing/2014/chart" uri="{C3380CC4-5D6E-409C-BE32-E72D297353CC}">
              <c16:uniqueId val="{0000000F-A6E1-4FEF-B2FB-EC0D0CAD7D64}"/>
            </c:ext>
          </c:extLst>
        </c:ser>
        <c:ser>
          <c:idx val="8"/>
          <c:order val="8"/>
          <c:tx>
            <c:strRef>
              <c:f>'2. Câu lạc bộ'!$B$17</c:f>
              <c:strCache>
                <c:ptCount val="1"/>
                <c:pt idx="0">
                  <c:v>CLB Nhảy hiện đại</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bộ'!$E$8:$M$8</c15:sqref>
                  </c15:fullRef>
                </c:ext>
              </c:extLst>
              <c:f>'2. Câu lạc bộ'!$E$8</c:f>
              <c:strCache>
                <c:ptCount val="1"/>
                <c:pt idx="0">
                  <c:v> Tháng 9 </c:v>
                </c:pt>
              </c:strCache>
            </c:strRef>
          </c:cat>
          <c:val>
            <c:numRef>
              <c:extLst>
                <c:ext xmlns:c15="http://schemas.microsoft.com/office/drawing/2012/chart" uri="{02D57815-91ED-43cb-92C2-25804820EDAC}">
                  <c15:fullRef>
                    <c15:sqref>'2. Câu lạc bộ'!$E$17:$M$17</c15:sqref>
                  </c15:fullRef>
                </c:ext>
              </c:extLst>
              <c:f>'2. Câu lạc bộ'!$E$17</c:f>
              <c:numCache>
                <c:formatCode>General</c:formatCode>
                <c:ptCount val="1"/>
                <c:pt idx="0">
                  <c:v>9</c:v>
                </c:pt>
              </c:numCache>
            </c:numRef>
          </c:val>
          <c:extLst>
            <c:ext xmlns:c16="http://schemas.microsoft.com/office/drawing/2014/chart" uri="{C3380CC4-5D6E-409C-BE32-E72D297353CC}">
              <c16:uniqueId val="{00000010-A6E1-4FEF-B2FB-EC0D0CAD7D64}"/>
            </c:ext>
          </c:extLst>
        </c:ser>
        <c:ser>
          <c:idx val="9"/>
          <c:order val="9"/>
          <c:tx>
            <c:strRef>
              <c:f>'2. Câu lạc bộ'!$B$18</c:f>
              <c:strCache>
                <c:ptCount val="1"/>
                <c:pt idx="0">
                  <c:v>CLB Tiếng Trung</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'2. Câu lạc bộ'!$E$8:$M$8</c15:sqref>
                  </c15:fullRef>
                </c:ext>
              </c:extLst>
              <c:f>'2. Câu lạc bộ'!$E$8</c:f>
              <c:strCache>
                <c:ptCount val="1"/>
                <c:pt idx="0">
                  <c:v> Tháng 9 </c:v>
                </c:pt>
              </c:strCache>
            </c:strRef>
          </c:cat>
          <c:val>
            <c:numRef>
              <c:extLst>
                <c:ext xmlns:c15="http://schemas.microsoft.com/office/drawing/2012/chart" uri="{02D57815-91ED-43cb-92C2-25804820EDAC}">
                  <c15:fullRef>
                    <c15:sqref>'2. Câu lạc bộ'!$E$18:$M$18</c15:sqref>
                  </c15:fullRef>
                </c:ext>
              </c:extLst>
              <c:f>'2. Câu lạc bộ'!$E$18</c:f>
              <c:numCache>
                <c:formatCode>General</c:formatCode>
                <c:ptCount val="1"/>
                <c:pt idx="0">
                  <c:v>8</c:v>
                </c:pt>
              </c:numCache>
            </c:numRef>
          </c:val>
          <c:extLst>
            <c:ext xmlns:c16="http://schemas.microsoft.com/office/drawing/2014/chart" uri="{C3380CC4-5D6E-409C-BE32-E72D297353CC}">
              <c16:uniqueId val="{00000011-A6E1-4FEF-B2FB-EC0D0CAD7D64}"/>
            </c:ext>
          </c:extLst>
        </c:ser>
        <c:dLbls>
          <c:dLblPos val="outEnd"/>
          <c:showLegendKey val="0"/>
          <c:showVal val="1"/>
          <c:showCatName val="0"/>
          <c:showSerName val="0"/>
          <c:showPercent val="0"/>
          <c:showBubbleSize val="0"/>
        </c:dLbls>
        <c:gapWidth val="219"/>
        <c:overlap val="-27"/>
        <c:axId val="1592981456"/>
        <c:axId val="1592978096"/>
        <c:extLst/>
      </c:barChart>
      <c:catAx>
        <c:axId val="1592981456"/>
        <c:scaling>
          <c:orientation val="minMax"/>
        </c:scaling>
        <c:delete val="1"/>
        <c:axPos val="b"/>
        <c:numFmt formatCode="General" sourceLinked="1"/>
        <c:majorTickMark val="none"/>
        <c:minorTickMark val="none"/>
        <c:tickLblPos val="nextTo"/>
        <c:crossAx val="1592978096"/>
        <c:crosses val="autoZero"/>
        <c:auto val="1"/>
        <c:lblAlgn val="ctr"/>
        <c:lblOffset val="100"/>
        <c:noMultiLvlLbl val="0"/>
      </c:catAx>
      <c:valAx>
        <c:axId val="1592978096"/>
        <c:scaling>
          <c:orientation val="minMax"/>
        </c:scaling>
        <c:delete val="1"/>
        <c:axPos val="l"/>
        <c:numFmt formatCode="General" sourceLinked="1"/>
        <c:majorTickMark val="none"/>
        <c:minorTickMark val="none"/>
        <c:tickLblPos val="nextTo"/>
        <c:crossAx val="159298145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Table>
      <c:spPr>
        <a:noFill/>
        <a:ln>
          <a:noFill/>
        </a:ln>
        <a:effectLst/>
      </c:spPr>
    </c:plotArea>
    <c:legend>
      <c:legendPos val="b"/>
      <c:layout>
        <c:manualLayout>
          <c:xMode val="edge"/>
          <c:yMode val="edge"/>
          <c:x val="7.5274798210315075E-2"/>
          <c:y val="0.73057882644764893"/>
          <c:w val="0.80392614080234848"/>
          <c:h val="0.26942102800010004"/>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van hanh thang 9.xlsx]4. Khám sức khỏe!PivotTable7</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 Khám sức khỏe'!$O$5:$O$6</c:f>
              <c:strCache>
                <c:ptCount val="1"/>
                <c:pt idx="0">
                  <c:v>9</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 Khám sức khỏe'!$N$7:$N$20</c:f>
              <c:strCache>
                <c:ptCount val="13"/>
                <c:pt idx="0">
                  <c:v>Bệnh truyền nhiễm</c:v>
                </c:pt>
                <c:pt idx="1">
                  <c:v>Bỏng da</c:v>
                </c:pt>
                <c:pt idx="2">
                  <c:v>Chấn thương</c:v>
                </c:pt>
                <c:pt idx="3">
                  <c:v>Da liễu</c:v>
                </c:pt>
                <c:pt idx="4">
                  <c:v>Hô hấp</c:v>
                </c:pt>
                <c:pt idx="5">
                  <c:v>Mắt</c:v>
                </c:pt>
                <c:pt idx="6">
                  <c:v>Răng hàm mặt</c:v>
                </c:pt>
                <c:pt idx="7">
                  <c:v>Tai mũi họng</c:v>
                </c:pt>
                <c:pt idx="8">
                  <c:v>Thận - Tiết niệu</c:v>
                </c:pt>
                <c:pt idx="9">
                  <c:v>Tiêu hoá</c:v>
                </c:pt>
                <c:pt idx="10">
                  <c:v>Tim mạch</c:v>
                </c:pt>
                <c:pt idx="11">
                  <c:v>Tổng hợp </c:v>
                </c:pt>
                <c:pt idx="12">
                  <c:v>Vết thương</c:v>
                </c:pt>
              </c:strCache>
            </c:strRef>
          </c:cat>
          <c:val>
            <c:numRef>
              <c:f>'4. Khám sức khỏe'!$O$7:$O$20</c:f>
              <c:numCache>
                <c:formatCode>General</c:formatCode>
                <c:ptCount val="13"/>
                <c:pt idx="0">
                  <c:v>97</c:v>
                </c:pt>
                <c:pt idx="1">
                  <c:v>0</c:v>
                </c:pt>
                <c:pt idx="2">
                  <c:v>1</c:v>
                </c:pt>
                <c:pt idx="3">
                  <c:v>5</c:v>
                </c:pt>
                <c:pt idx="4">
                  <c:v>1</c:v>
                </c:pt>
                <c:pt idx="5">
                  <c:v>3</c:v>
                </c:pt>
                <c:pt idx="6">
                  <c:v>0</c:v>
                </c:pt>
                <c:pt idx="7">
                  <c:v>3</c:v>
                </c:pt>
                <c:pt idx="8">
                  <c:v>0</c:v>
                </c:pt>
                <c:pt idx="9">
                  <c:v>0</c:v>
                </c:pt>
                <c:pt idx="10">
                  <c:v>0</c:v>
                </c:pt>
                <c:pt idx="11">
                  <c:v>6</c:v>
                </c:pt>
                <c:pt idx="12">
                  <c:v>8</c:v>
                </c:pt>
              </c:numCache>
            </c:numRef>
          </c:val>
          <c:extLst>
            <c:ext xmlns:c16="http://schemas.microsoft.com/office/drawing/2014/chart" uri="{C3380CC4-5D6E-409C-BE32-E72D297353CC}">
              <c16:uniqueId val="{00000000-6724-4430-93C7-F656BC9DCEC8}"/>
            </c:ext>
          </c:extLst>
        </c:ser>
        <c:dLbls>
          <c:showLegendKey val="0"/>
          <c:showVal val="0"/>
          <c:showCatName val="0"/>
          <c:showSerName val="0"/>
          <c:showPercent val="0"/>
          <c:showBubbleSize val="0"/>
        </c:dLbls>
        <c:gapWidth val="219"/>
        <c:overlap val="-27"/>
        <c:axId val="1660180320"/>
        <c:axId val="1646546896"/>
      </c:barChart>
      <c:catAx>
        <c:axId val="16601803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46546896"/>
        <c:crosses val="autoZero"/>
        <c:auto val="1"/>
        <c:lblAlgn val="ctr"/>
        <c:lblOffset val="100"/>
        <c:noMultiLvlLbl val="0"/>
      </c:catAx>
      <c:valAx>
        <c:axId val="1646546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60180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van hanh thang 9.xlsx]4. Khám sức khỏe!PivotTable8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 Khám sức khỏe'!$O$23:$O$24</c:f>
              <c:strCache>
                <c:ptCount val="1"/>
                <c:pt idx="0">
                  <c:v>9</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 Khám sức khỏe'!$N$25:$N$38</c:f>
              <c:strCache>
                <c:ptCount val="13"/>
                <c:pt idx="0">
                  <c:v>Bệnh truyền nhiễm</c:v>
                </c:pt>
                <c:pt idx="1">
                  <c:v>Bỏng da</c:v>
                </c:pt>
                <c:pt idx="2">
                  <c:v>Chấn thương</c:v>
                </c:pt>
                <c:pt idx="3">
                  <c:v>Da liễu</c:v>
                </c:pt>
                <c:pt idx="4">
                  <c:v>Hô hấp</c:v>
                </c:pt>
                <c:pt idx="5">
                  <c:v>Mắt</c:v>
                </c:pt>
                <c:pt idx="6">
                  <c:v>Răng hàm mặt</c:v>
                </c:pt>
                <c:pt idx="7">
                  <c:v>Tai mũi họng</c:v>
                </c:pt>
                <c:pt idx="8">
                  <c:v>Thận - Tiết niệu</c:v>
                </c:pt>
                <c:pt idx="9">
                  <c:v>Tiêu hoá</c:v>
                </c:pt>
                <c:pt idx="10">
                  <c:v>Tim mạch</c:v>
                </c:pt>
                <c:pt idx="11">
                  <c:v>Tổng hợp </c:v>
                </c:pt>
                <c:pt idx="12">
                  <c:v>Vết thương</c:v>
                </c:pt>
              </c:strCache>
            </c:strRef>
          </c:cat>
          <c:val>
            <c:numRef>
              <c:f>'4. Khám sức khỏe'!$O$25:$O$38</c:f>
              <c:numCache>
                <c:formatCode>General</c:formatCode>
                <c:ptCount val="13"/>
                <c:pt idx="0">
                  <c:v>53</c:v>
                </c:pt>
                <c:pt idx="1">
                  <c:v>1</c:v>
                </c:pt>
                <c:pt idx="2">
                  <c:v>34</c:v>
                </c:pt>
                <c:pt idx="3">
                  <c:v>11</c:v>
                </c:pt>
                <c:pt idx="4">
                  <c:v>7</c:v>
                </c:pt>
                <c:pt idx="5">
                  <c:v>28</c:v>
                </c:pt>
                <c:pt idx="6">
                  <c:v>11</c:v>
                </c:pt>
                <c:pt idx="7">
                  <c:v>84</c:v>
                </c:pt>
                <c:pt idx="8">
                  <c:v>0</c:v>
                </c:pt>
                <c:pt idx="9">
                  <c:v>24</c:v>
                </c:pt>
                <c:pt idx="10">
                  <c:v>0</c:v>
                </c:pt>
                <c:pt idx="11">
                  <c:v>135</c:v>
                </c:pt>
                <c:pt idx="12">
                  <c:v>66</c:v>
                </c:pt>
              </c:numCache>
            </c:numRef>
          </c:val>
          <c:extLst>
            <c:ext xmlns:c16="http://schemas.microsoft.com/office/drawing/2014/chart" uri="{C3380CC4-5D6E-409C-BE32-E72D297353CC}">
              <c16:uniqueId val="{00000000-E1A4-4C7C-A1D9-23A660CD522A}"/>
            </c:ext>
          </c:extLst>
        </c:ser>
        <c:dLbls>
          <c:dLblPos val="outEnd"/>
          <c:showLegendKey val="0"/>
          <c:showVal val="1"/>
          <c:showCatName val="0"/>
          <c:showSerName val="0"/>
          <c:showPercent val="0"/>
          <c:showBubbleSize val="0"/>
        </c:dLbls>
        <c:gapWidth val="219"/>
        <c:overlap val="-27"/>
        <c:axId val="1660246208"/>
        <c:axId val="1646615056"/>
      </c:barChart>
      <c:catAx>
        <c:axId val="1660246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6615056"/>
        <c:crosses val="autoZero"/>
        <c:auto val="1"/>
        <c:lblAlgn val="ctr"/>
        <c:lblOffset val="100"/>
        <c:noMultiLvlLbl val="0"/>
      </c:catAx>
      <c:valAx>
        <c:axId val="16466150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246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van hanh thang 9.xlsx]4. Khám sức khỏe!PivotTable9</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 Khám sức khỏe'!$O$41:$O$42</c:f>
              <c:strCache>
                <c:ptCount val="1"/>
                <c:pt idx="0">
                  <c:v>9</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 Khám sức khỏe'!$N$43:$N$56</c:f>
              <c:strCache>
                <c:ptCount val="13"/>
                <c:pt idx="0">
                  <c:v>Bệnh truyền nhiễm</c:v>
                </c:pt>
                <c:pt idx="1">
                  <c:v>Bỏng da</c:v>
                </c:pt>
                <c:pt idx="2">
                  <c:v>Chấn thương</c:v>
                </c:pt>
                <c:pt idx="3">
                  <c:v>Da liễu</c:v>
                </c:pt>
                <c:pt idx="4">
                  <c:v>Hô hấp</c:v>
                </c:pt>
                <c:pt idx="5">
                  <c:v>Mắt</c:v>
                </c:pt>
                <c:pt idx="6">
                  <c:v>Răng hàm mặt</c:v>
                </c:pt>
                <c:pt idx="7">
                  <c:v>Tai mũi họng</c:v>
                </c:pt>
                <c:pt idx="8">
                  <c:v>Thận - Tiết niệu</c:v>
                </c:pt>
                <c:pt idx="9">
                  <c:v>Tiêu hoá</c:v>
                </c:pt>
                <c:pt idx="10">
                  <c:v>Tim mạch</c:v>
                </c:pt>
                <c:pt idx="11">
                  <c:v>Tổng hợp </c:v>
                </c:pt>
                <c:pt idx="12">
                  <c:v>Vết thương</c:v>
                </c:pt>
              </c:strCache>
            </c:strRef>
          </c:cat>
          <c:val>
            <c:numRef>
              <c:f>'4. Khám sức khỏe'!$O$43:$O$56</c:f>
              <c:numCache>
                <c:formatCode>General</c:formatCode>
                <c:ptCount val="13"/>
                <c:pt idx="0">
                  <c:v>19</c:v>
                </c:pt>
                <c:pt idx="1">
                  <c:v>6</c:v>
                </c:pt>
                <c:pt idx="2">
                  <c:v>56</c:v>
                </c:pt>
                <c:pt idx="3">
                  <c:v>4</c:v>
                </c:pt>
                <c:pt idx="4">
                  <c:v>5</c:v>
                </c:pt>
                <c:pt idx="5">
                  <c:v>9</c:v>
                </c:pt>
                <c:pt idx="6">
                  <c:v>9</c:v>
                </c:pt>
                <c:pt idx="7">
                  <c:v>62</c:v>
                </c:pt>
                <c:pt idx="8">
                  <c:v>0</c:v>
                </c:pt>
                <c:pt idx="9">
                  <c:v>34</c:v>
                </c:pt>
                <c:pt idx="10">
                  <c:v>1</c:v>
                </c:pt>
                <c:pt idx="11">
                  <c:v>125</c:v>
                </c:pt>
                <c:pt idx="12">
                  <c:v>53</c:v>
                </c:pt>
              </c:numCache>
            </c:numRef>
          </c:val>
          <c:extLst>
            <c:ext xmlns:c16="http://schemas.microsoft.com/office/drawing/2014/chart" uri="{C3380CC4-5D6E-409C-BE32-E72D297353CC}">
              <c16:uniqueId val="{00000000-7F4E-4600-9669-B8BE84909A7A}"/>
            </c:ext>
          </c:extLst>
        </c:ser>
        <c:dLbls>
          <c:dLblPos val="outEnd"/>
          <c:showLegendKey val="0"/>
          <c:showVal val="1"/>
          <c:showCatName val="0"/>
          <c:showSerName val="0"/>
          <c:showPercent val="0"/>
          <c:showBubbleSize val="0"/>
        </c:dLbls>
        <c:gapWidth val="219"/>
        <c:overlap val="-27"/>
        <c:axId val="1660401648"/>
        <c:axId val="1646642896"/>
      </c:barChart>
      <c:catAx>
        <c:axId val="1660401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46642896"/>
        <c:crosses val="autoZero"/>
        <c:auto val="1"/>
        <c:lblAlgn val="ctr"/>
        <c:lblOffset val="100"/>
        <c:noMultiLvlLbl val="0"/>
      </c:catAx>
      <c:valAx>
        <c:axId val="16466428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6040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van hanh thang 9.xlsx]4. Khám sức khỏe!PivotTable10</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'4. Khám sức khỏe'!$O$58:$O$59</c:f>
              <c:strCache>
                <c:ptCount val="1"/>
                <c:pt idx="0">
                  <c:v>9</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'4. Khám sức khỏe'!$N$60:$N$73</c:f>
              <c:strCache>
                <c:ptCount val="13"/>
                <c:pt idx="0">
                  <c:v>Bệnh truyền nhiễm</c:v>
                </c:pt>
                <c:pt idx="1">
                  <c:v>Bỏng da</c:v>
                </c:pt>
                <c:pt idx="2">
                  <c:v>Chấn thương</c:v>
                </c:pt>
                <c:pt idx="3">
                  <c:v>Da liễu</c:v>
                </c:pt>
                <c:pt idx="4">
                  <c:v>Hô hấp</c:v>
                </c:pt>
                <c:pt idx="5">
                  <c:v>Mắt</c:v>
                </c:pt>
                <c:pt idx="6">
                  <c:v>Răng hàm mặt</c:v>
                </c:pt>
                <c:pt idx="7">
                  <c:v>Tai mũi họng</c:v>
                </c:pt>
                <c:pt idx="8">
                  <c:v>Thận - Tiết niệu</c:v>
                </c:pt>
                <c:pt idx="9">
                  <c:v>Tiêu hoá</c:v>
                </c:pt>
                <c:pt idx="10">
                  <c:v>Tim mạch</c:v>
                </c:pt>
                <c:pt idx="11">
                  <c:v>Tổng hợp </c:v>
                </c:pt>
                <c:pt idx="12">
                  <c:v>Vết thương</c:v>
                </c:pt>
              </c:strCache>
            </c:strRef>
          </c:cat>
          <c:val>
            <c:numRef>
              <c:f>'4. Khám sức khỏe'!$O$60:$O$73</c:f>
              <c:numCache>
                <c:formatCode>General</c:formatCode>
                <c:ptCount val="13"/>
                <c:pt idx="0">
                  <c:v>3</c:v>
                </c:pt>
                <c:pt idx="1">
                  <c:v>0</c:v>
                </c:pt>
                <c:pt idx="2">
                  <c:v>15</c:v>
                </c:pt>
                <c:pt idx="3">
                  <c:v>4</c:v>
                </c:pt>
                <c:pt idx="4">
                  <c:v>8</c:v>
                </c:pt>
                <c:pt idx="5">
                  <c:v>8</c:v>
                </c:pt>
                <c:pt idx="6">
                  <c:v>1</c:v>
                </c:pt>
                <c:pt idx="7">
                  <c:v>46</c:v>
                </c:pt>
                <c:pt idx="8">
                  <c:v>1</c:v>
                </c:pt>
                <c:pt idx="9">
                  <c:v>20</c:v>
                </c:pt>
                <c:pt idx="10">
                  <c:v>0</c:v>
                </c:pt>
                <c:pt idx="11">
                  <c:v>61</c:v>
                </c:pt>
                <c:pt idx="12">
                  <c:v>11</c:v>
                </c:pt>
              </c:numCache>
            </c:numRef>
          </c:val>
          <c:extLst>
            <c:ext xmlns:c16="http://schemas.microsoft.com/office/drawing/2014/chart" uri="{C3380CC4-5D6E-409C-BE32-E72D297353CC}">
              <c16:uniqueId val="{00000000-9696-45E7-9BB9-BB72F33347AF}"/>
            </c:ext>
          </c:extLst>
        </c:ser>
        <c:dLbls>
          <c:dLblPos val="outEnd"/>
          <c:showLegendKey val="0"/>
          <c:showVal val="1"/>
          <c:showCatName val="0"/>
          <c:showSerName val="0"/>
          <c:showPercent val="0"/>
          <c:showBubbleSize val="0"/>
        </c:dLbls>
        <c:gapWidth val="219"/>
        <c:overlap val="-27"/>
        <c:axId val="1660397936"/>
        <c:axId val="1646643376"/>
      </c:barChart>
      <c:catAx>
        <c:axId val="1660397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46643376"/>
        <c:crosses val="autoZero"/>
        <c:auto val="1"/>
        <c:lblAlgn val="ctr"/>
        <c:lblOffset val="100"/>
        <c:noMultiLvlLbl val="0"/>
      </c:catAx>
      <c:valAx>
        <c:axId val="1646643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60397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van hanh thang 9.xlsx]3. Tiết dạy!PivotTable4</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20000"/>
              <a:lumOff val="80000"/>
            </a:schemeClr>
          </a:solidFill>
          <a:ln>
            <a:solidFill>
              <a:schemeClr val="tx2">
                <a:lumMod val="50000"/>
                <a:lumOff val="50000"/>
              </a:schemeClr>
            </a:solidFill>
          </a:ln>
          <a:effectLst/>
        </c:spPr>
        <c:marker>
          <c:symbol val="none"/>
        </c:marker>
        <c:dLbl>
          <c:idx val="0"/>
          <c:spPr>
            <a:noFill/>
            <a:ln>
              <a:noFill/>
            </a:ln>
            <a:effectLst/>
          </c:spPr>
          <c:txPr>
            <a:bodyPr rot="0" spcFirstLastPara="1" vertOverflow="overflow" horzOverflow="overflow" vert="horz" wrap="square"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19099245734261"/>
          <c:y val="3.3478262015688529E-2"/>
          <c:w val="0.79802992739037704"/>
          <c:h val="0.89962608352023565"/>
        </c:manualLayout>
      </c:layout>
      <c:barChart>
        <c:barDir val="bar"/>
        <c:grouping val="stacked"/>
        <c:varyColors val="0"/>
        <c:ser>
          <c:idx val="0"/>
          <c:order val="0"/>
          <c:tx>
            <c:strRef>
              <c:f>'3. Tiết dạy'!$Q$2</c:f>
              <c:strCache>
                <c:ptCount val="1"/>
                <c:pt idx="0">
                  <c:v>Count of Tiet</c:v>
                </c:pt>
              </c:strCache>
            </c:strRef>
          </c:tx>
          <c:spPr>
            <a:solidFill>
              <a:schemeClr val="accent1">
                <a:lumMod val="20000"/>
                <a:lumOff val="80000"/>
              </a:schemeClr>
            </a:solidFill>
            <a:ln>
              <a:solidFill>
                <a:schemeClr val="tx2">
                  <a:lumMod val="50000"/>
                  <a:lumOff val="50000"/>
                </a:schemeClr>
              </a:solidFill>
            </a:ln>
            <a:effectLst/>
          </c:spPr>
          <c:invertIfNegative val="0"/>
          <c:dLbls>
            <c:spPr>
              <a:noFill/>
              <a:ln>
                <a:noFill/>
              </a:ln>
              <a:effectLst/>
            </c:spPr>
            <c:txPr>
              <a:bodyPr rot="0" spcFirstLastPara="1" vertOverflow="overflow" horzOverflow="overflow" vert="horz" wrap="square"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 Tiết dạy'!$P$3:$P$30</c:f>
              <c:strCache>
                <c:ptCount val="27"/>
                <c:pt idx="0">
                  <c:v>Âm nhạc</c:v>
                </c:pt>
                <c:pt idx="1">
                  <c:v>Bóng đá</c:v>
                </c:pt>
                <c:pt idx="2">
                  <c:v>Bóng rổ</c:v>
                </c:pt>
                <c:pt idx="3">
                  <c:v>Câu lạc bộ</c:v>
                </c:pt>
                <c:pt idx="4">
                  <c:v>Câu lạc bộ bơi</c:v>
                </c:pt>
                <c:pt idx="5">
                  <c:v>Chuyên đề HT Lý</c:v>
                </c:pt>
                <c:pt idx="6">
                  <c:v>Chuyên đề HT Toán</c:v>
                </c:pt>
                <c:pt idx="7">
                  <c:v>Công nghệ</c:v>
                </c:pt>
                <c:pt idx="8">
                  <c:v>HĐ Trải nghiệm GVBM</c:v>
                </c:pt>
                <c:pt idx="9">
                  <c:v>HĐ Trải nghiệm GVCN</c:v>
                </c:pt>
                <c:pt idx="10">
                  <c:v>Hóa học</c:v>
                </c:pt>
                <c:pt idx="11">
                  <c:v>JA</c:v>
                </c:pt>
                <c:pt idx="12">
                  <c:v>Khoa học</c:v>
                </c:pt>
                <c:pt idx="13">
                  <c:v>Khoa học tự nhiên</c:v>
                </c:pt>
                <c:pt idx="14">
                  <c:v>Lịch sử và địa lý</c:v>
                </c:pt>
                <c:pt idx="15">
                  <c:v>Ngữ văn</c:v>
                </c:pt>
                <c:pt idx="16">
                  <c:v>Sinh hoạt</c:v>
                </c:pt>
                <c:pt idx="17">
                  <c:v>STEM trải nghiệm</c:v>
                </c:pt>
                <c:pt idx="18">
                  <c:v>TA tích hợp GVNN</c:v>
                </c:pt>
                <c:pt idx="19">
                  <c:v>TA tích hợp GVVN</c:v>
                </c:pt>
                <c:pt idx="20">
                  <c:v>Tiếng Anh - GVNN</c:v>
                </c:pt>
                <c:pt idx="21">
                  <c:v>Tiếng Anh - GVVN</c:v>
                </c:pt>
                <c:pt idx="22">
                  <c:v>Tiếng Việt</c:v>
                </c:pt>
                <c:pt idx="23">
                  <c:v>Tin học</c:v>
                </c:pt>
                <c:pt idx="24">
                  <c:v>Toán</c:v>
                </c:pt>
                <c:pt idx="25">
                  <c:v>Tự nhiên xã hội</c:v>
                </c:pt>
                <c:pt idx="26">
                  <c:v>Vật lí</c:v>
                </c:pt>
              </c:strCache>
            </c:strRef>
          </c:cat>
          <c:val>
            <c:numRef>
              <c:f>'3. Tiết dạy'!$Q$3:$Q$30</c:f>
              <c:numCache>
                <c:formatCode>General</c:formatCode>
                <c:ptCount val="27"/>
                <c:pt idx="0">
                  <c:v>3</c:v>
                </c:pt>
                <c:pt idx="1">
                  <c:v>6</c:v>
                </c:pt>
                <c:pt idx="2">
                  <c:v>1</c:v>
                </c:pt>
                <c:pt idx="3">
                  <c:v>2</c:v>
                </c:pt>
                <c:pt idx="4">
                  <c:v>2</c:v>
                </c:pt>
                <c:pt idx="5">
                  <c:v>1</c:v>
                </c:pt>
                <c:pt idx="6">
                  <c:v>1</c:v>
                </c:pt>
                <c:pt idx="7">
                  <c:v>1</c:v>
                </c:pt>
                <c:pt idx="8">
                  <c:v>1</c:v>
                </c:pt>
                <c:pt idx="9">
                  <c:v>2</c:v>
                </c:pt>
                <c:pt idx="10">
                  <c:v>1</c:v>
                </c:pt>
                <c:pt idx="11">
                  <c:v>3</c:v>
                </c:pt>
                <c:pt idx="12">
                  <c:v>1</c:v>
                </c:pt>
                <c:pt idx="13">
                  <c:v>3</c:v>
                </c:pt>
                <c:pt idx="14">
                  <c:v>1</c:v>
                </c:pt>
                <c:pt idx="15">
                  <c:v>12</c:v>
                </c:pt>
                <c:pt idx="16">
                  <c:v>4</c:v>
                </c:pt>
                <c:pt idx="17">
                  <c:v>4</c:v>
                </c:pt>
                <c:pt idx="18">
                  <c:v>8</c:v>
                </c:pt>
                <c:pt idx="19">
                  <c:v>26</c:v>
                </c:pt>
                <c:pt idx="20">
                  <c:v>3</c:v>
                </c:pt>
                <c:pt idx="21">
                  <c:v>12</c:v>
                </c:pt>
                <c:pt idx="22">
                  <c:v>16</c:v>
                </c:pt>
                <c:pt idx="23">
                  <c:v>2</c:v>
                </c:pt>
                <c:pt idx="24">
                  <c:v>22</c:v>
                </c:pt>
                <c:pt idx="25">
                  <c:v>2</c:v>
                </c:pt>
                <c:pt idx="26">
                  <c:v>4</c:v>
                </c:pt>
              </c:numCache>
            </c:numRef>
          </c:val>
          <c:extLst>
            <c:ext xmlns:c16="http://schemas.microsoft.com/office/drawing/2014/chart" uri="{C3380CC4-5D6E-409C-BE32-E72D297353CC}">
              <c16:uniqueId val="{00000000-5A4C-48EE-8881-676AC905CA83}"/>
            </c:ext>
          </c:extLst>
        </c:ser>
        <c:ser>
          <c:idx val="1"/>
          <c:order val="1"/>
          <c:tx>
            <c:strRef>
              <c:f>'3. Tiết dạy'!$R$2</c:f>
              <c:strCache>
                <c:ptCount val="1"/>
                <c:pt idx="0">
                  <c:v>Sum of Số tiết chưa được bù </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 Tiết dạy'!$P$3:$P$30</c:f>
              <c:strCache>
                <c:ptCount val="27"/>
                <c:pt idx="0">
                  <c:v>Âm nhạc</c:v>
                </c:pt>
                <c:pt idx="1">
                  <c:v>Bóng đá</c:v>
                </c:pt>
                <c:pt idx="2">
                  <c:v>Bóng rổ</c:v>
                </c:pt>
                <c:pt idx="3">
                  <c:v>Câu lạc bộ</c:v>
                </c:pt>
                <c:pt idx="4">
                  <c:v>Câu lạc bộ bơi</c:v>
                </c:pt>
                <c:pt idx="5">
                  <c:v>Chuyên đề HT Lý</c:v>
                </c:pt>
                <c:pt idx="6">
                  <c:v>Chuyên đề HT Toán</c:v>
                </c:pt>
                <c:pt idx="7">
                  <c:v>Công nghệ</c:v>
                </c:pt>
                <c:pt idx="8">
                  <c:v>HĐ Trải nghiệm GVBM</c:v>
                </c:pt>
                <c:pt idx="9">
                  <c:v>HĐ Trải nghiệm GVCN</c:v>
                </c:pt>
                <c:pt idx="10">
                  <c:v>Hóa học</c:v>
                </c:pt>
                <c:pt idx="11">
                  <c:v>JA</c:v>
                </c:pt>
                <c:pt idx="12">
                  <c:v>Khoa học</c:v>
                </c:pt>
                <c:pt idx="13">
                  <c:v>Khoa học tự nhiên</c:v>
                </c:pt>
                <c:pt idx="14">
                  <c:v>Lịch sử và địa lý</c:v>
                </c:pt>
                <c:pt idx="15">
                  <c:v>Ngữ văn</c:v>
                </c:pt>
                <c:pt idx="16">
                  <c:v>Sinh hoạt</c:v>
                </c:pt>
                <c:pt idx="17">
                  <c:v>STEM trải nghiệm</c:v>
                </c:pt>
                <c:pt idx="18">
                  <c:v>TA tích hợp GVNN</c:v>
                </c:pt>
                <c:pt idx="19">
                  <c:v>TA tích hợp GVVN</c:v>
                </c:pt>
                <c:pt idx="20">
                  <c:v>Tiếng Anh - GVNN</c:v>
                </c:pt>
                <c:pt idx="21">
                  <c:v>Tiếng Anh - GVVN</c:v>
                </c:pt>
                <c:pt idx="22">
                  <c:v>Tiếng Việt</c:v>
                </c:pt>
                <c:pt idx="23">
                  <c:v>Tin học</c:v>
                </c:pt>
                <c:pt idx="24">
                  <c:v>Toán</c:v>
                </c:pt>
                <c:pt idx="25">
                  <c:v>Tự nhiên xã hội</c:v>
                </c:pt>
                <c:pt idx="26">
                  <c:v>Vật lí</c:v>
                </c:pt>
              </c:strCache>
            </c:strRef>
          </c:cat>
          <c:val>
            <c:numRef>
              <c:f>'3. Tiết dạy'!$R$3:$R$30</c:f>
              <c:numCache>
                <c:formatCode>General</c:formatCode>
                <c:ptCount val="27"/>
                <c:pt idx="1">
                  <c:v>6</c:v>
                </c:pt>
                <c:pt idx="2">
                  <c:v>1</c:v>
                </c:pt>
                <c:pt idx="3">
                  <c:v>2</c:v>
                </c:pt>
                <c:pt idx="4">
                  <c:v>2</c:v>
                </c:pt>
                <c:pt idx="10">
                  <c:v>1</c:v>
                </c:pt>
                <c:pt idx="15">
                  <c:v>4</c:v>
                </c:pt>
                <c:pt idx="16">
                  <c:v>2</c:v>
                </c:pt>
                <c:pt idx="20">
                  <c:v>1</c:v>
                </c:pt>
              </c:numCache>
            </c:numRef>
          </c:val>
          <c:extLst>
            <c:ext xmlns:c16="http://schemas.microsoft.com/office/drawing/2014/chart" uri="{C3380CC4-5D6E-409C-BE32-E72D297353CC}">
              <c16:uniqueId val="{00000001-5A4C-48EE-8881-676AC905CA83}"/>
            </c:ext>
          </c:extLst>
        </c:ser>
        <c:dLbls>
          <c:showLegendKey val="0"/>
          <c:showVal val="0"/>
          <c:showCatName val="0"/>
          <c:showSerName val="0"/>
          <c:showPercent val="0"/>
          <c:showBubbleSize val="0"/>
        </c:dLbls>
        <c:gapWidth val="219"/>
        <c:overlap val="100"/>
        <c:axId val="2140773168"/>
        <c:axId val="554032623"/>
      </c:barChart>
      <c:catAx>
        <c:axId val="21407731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54032623"/>
        <c:crosses val="autoZero"/>
        <c:auto val="1"/>
        <c:lblAlgn val="ctr"/>
        <c:lblOffset val="100"/>
        <c:noMultiLvlLbl val="0"/>
      </c:catAx>
      <c:valAx>
        <c:axId val="554032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140773168"/>
        <c:crosses val="autoZero"/>
        <c:crossBetween val="between"/>
      </c:valAx>
      <c:spPr>
        <a:noFill/>
        <a:ln>
          <a:noFill/>
        </a:ln>
        <a:effectLst/>
      </c:spPr>
    </c:plotArea>
    <c:legend>
      <c:legendPos val="r"/>
      <c:layout>
        <c:manualLayout>
          <c:xMode val="edge"/>
          <c:yMode val="edge"/>
          <c:x val="0.58940255504512029"/>
          <c:y val="0.88634921259842525"/>
          <c:w val="0.38962362972256476"/>
          <c:h val="3.95840551181102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van hanh thang 9.xlsx]3. Tiết dạy!PivotTable5</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20000"/>
              <a:lumOff val="80000"/>
            </a:schemeClr>
          </a:solidFill>
          <a:ln>
            <a:solidFill>
              <a:schemeClr val="accent1">
                <a:lumMod val="40000"/>
                <a:lumOff val="6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'3. Tiết dạy'!$Q$44</c:f>
              <c:strCache>
                <c:ptCount val="1"/>
                <c:pt idx="0">
                  <c:v>Count of Tiet</c:v>
                </c:pt>
              </c:strCache>
            </c:strRef>
          </c:tx>
          <c:spPr>
            <a:solidFill>
              <a:schemeClr val="accent1">
                <a:lumMod val="20000"/>
                <a:lumOff val="80000"/>
              </a:schemeClr>
            </a:solidFill>
            <a:ln>
              <a:solidFill>
                <a:schemeClr val="accent1">
                  <a:lumMod val="40000"/>
                  <a:lumOff val="6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 Tiết dạy'!$P$45:$P$80</c:f>
              <c:strCache>
                <c:ptCount val="35"/>
                <c:pt idx="0">
                  <c:v>Carreon Gugol Vanessa Ariane</c:v>
                </c:pt>
                <c:pt idx="1">
                  <c:v>Đỗ Thị Duyên</c:v>
                </c:pt>
                <c:pt idx="2">
                  <c:v>Đỗ Thị Thanh Huyền</c:v>
                </c:pt>
                <c:pt idx="3">
                  <c:v>Đoàn Anh Hào</c:v>
                </c:pt>
                <c:pt idx="4">
                  <c:v>Dương Hồng Thủy</c:v>
                </c:pt>
                <c:pt idx="5">
                  <c:v>Dương Kim Cương</c:v>
                </c:pt>
                <c:pt idx="6">
                  <c:v>La Gia Nghi</c:v>
                </c:pt>
                <c:pt idx="7">
                  <c:v>Lê Nguyễn Anh Thư</c:v>
                </c:pt>
                <c:pt idx="8">
                  <c:v>Lê Thị Hạnh</c:v>
                </c:pt>
                <c:pt idx="9">
                  <c:v>Lê Thị Ngọc Linh</c:v>
                </c:pt>
                <c:pt idx="10">
                  <c:v>Lê Thị Thanh Huyền</c:v>
                </c:pt>
                <c:pt idx="11">
                  <c:v>Lopez Anne Julia Redor</c:v>
                </c:pt>
                <c:pt idx="12">
                  <c:v>Mai Kiều Anh Thư</c:v>
                </c:pt>
                <c:pt idx="13">
                  <c:v>Nguyễn Mai Khanh</c:v>
                </c:pt>
                <c:pt idx="14">
                  <c:v>Nguyễn Ngọc Bảo Trâm</c:v>
                </c:pt>
                <c:pt idx="15">
                  <c:v>Nguyễn Ngọc Thanh Vy</c:v>
                </c:pt>
                <c:pt idx="16">
                  <c:v>Nguyễn Quang Nam</c:v>
                </c:pt>
                <c:pt idx="17">
                  <c:v>Nguyễn Quang Thịnh</c:v>
                </c:pt>
                <c:pt idx="18">
                  <c:v>Nguyễn Thị Bích Ngọc</c:v>
                </c:pt>
                <c:pt idx="19">
                  <c:v>Nguyễn Thị Bích Trâm</c:v>
                </c:pt>
                <c:pt idx="20">
                  <c:v>Nguyễn Thị Hạnh</c:v>
                </c:pt>
                <c:pt idx="21">
                  <c:v>Nguyễn Thị Thảo Loan</c:v>
                </c:pt>
                <c:pt idx="22">
                  <c:v>Nguyễn Thụy Ngọc Minh</c:v>
                </c:pt>
                <c:pt idx="23">
                  <c:v>PEÑAFLORIDA LACHICA CHRISTY MA. NATION</c:v>
                </c:pt>
                <c:pt idx="24">
                  <c:v>Phạm Thị Mỹ Yến</c:v>
                </c:pt>
                <c:pt idx="25">
                  <c:v>Phan Hoàng Uyên Thy</c:v>
                </c:pt>
                <c:pt idx="26">
                  <c:v>Thạch Thị Sa My</c:v>
                </c:pt>
                <c:pt idx="27">
                  <c:v>Tống Mỹ Kiều Loan</c:v>
                </c:pt>
                <c:pt idx="28">
                  <c:v>Trần Đắc Mùi</c:v>
                </c:pt>
                <c:pt idx="29">
                  <c:v>Trần Đức Thanh</c:v>
                </c:pt>
                <c:pt idx="30">
                  <c:v>Trần Thị Bích Đào</c:v>
                </c:pt>
                <c:pt idx="31">
                  <c:v>Trần Thị Như Vy</c:v>
                </c:pt>
                <c:pt idx="32">
                  <c:v>Trần Thuỳ Dung</c:v>
                </c:pt>
                <c:pt idx="33">
                  <c:v>Trịnh Văn Tự</c:v>
                </c:pt>
                <c:pt idx="34">
                  <c:v>Võ Thị Lan Anh</c:v>
                </c:pt>
              </c:strCache>
            </c:strRef>
          </c:cat>
          <c:val>
            <c:numRef>
              <c:f>'3. Tiết dạy'!$Q$45:$Q$80</c:f>
              <c:numCache>
                <c:formatCode>General</c:formatCode>
                <c:ptCount val="35"/>
                <c:pt idx="0">
                  <c:v>2</c:v>
                </c:pt>
                <c:pt idx="1">
                  <c:v>14</c:v>
                </c:pt>
                <c:pt idx="2">
                  <c:v>6</c:v>
                </c:pt>
                <c:pt idx="3">
                  <c:v>3</c:v>
                </c:pt>
                <c:pt idx="4">
                  <c:v>1</c:v>
                </c:pt>
                <c:pt idx="5">
                  <c:v>3</c:v>
                </c:pt>
                <c:pt idx="6">
                  <c:v>4</c:v>
                </c:pt>
                <c:pt idx="7">
                  <c:v>1</c:v>
                </c:pt>
                <c:pt idx="8">
                  <c:v>3</c:v>
                </c:pt>
                <c:pt idx="9">
                  <c:v>10</c:v>
                </c:pt>
                <c:pt idx="10">
                  <c:v>4</c:v>
                </c:pt>
                <c:pt idx="11">
                  <c:v>2</c:v>
                </c:pt>
                <c:pt idx="12">
                  <c:v>6</c:v>
                </c:pt>
                <c:pt idx="13">
                  <c:v>5</c:v>
                </c:pt>
                <c:pt idx="14">
                  <c:v>2</c:v>
                </c:pt>
                <c:pt idx="15">
                  <c:v>2</c:v>
                </c:pt>
                <c:pt idx="16">
                  <c:v>2</c:v>
                </c:pt>
                <c:pt idx="17">
                  <c:v>1</c:v>
                </c:pt>
                <c:pt idx="18">
                  <c:v>2</c:v>
                </c:pt>
                <c:pt idx="19">
                  <c:v>1</c:v>
                </c:pt>
                <c:pt idx="20">
                  <c:v>5</c:v>
                </c:pt>
                <c:pt idx="21">
                  <c:v>9</c:v>
                </c:pt>
                <c:pt idx="22">
                  <c:v>10</c:v>
                </c:pt>
                <c:pt idx="23">
                  <c:v>4</c:v>
                </c:pt>
                <c:pt idx="24">
                  <c:v>3</c:v>
                </c:pt>
                <c:pt idx="25">
                  <c:v>2</c:v>
                </c:pt>
                <c:pt idx="26">
                  <c:v>5</c:v>
                </c:pt>
                <c:pt idx="27">
                  <c:v>1</c:v>
                </c:pt>
                <c:pt idx="28">
                  <c:v>3</c:v>
                </c:pt>
                <c:pt idx="29">
                  <c:v>3</c:v>
                </c:pt>
                <c:pt idx="30">
                  <c:v>1</c:v>
                </c:pt>
                <c:pt idx="31">
                  <c:v>8</c:v>
                </c:pt>
                <c:pt idx="32">
                  <c:v>10</c:v>
                </c:pt>
                <c:pt idx="33">
                  <c:v>3</c:v>
                </c:pt>
                <c:pt idx="34">
                  <c:v>3</c:v>
                </c:pt>
              </c:numCache>
            </c:numRef>
          </c:val>
          <c:extLst>
            <c:ext xmlns:c16="http://schemas.microsoft.com/office/drawing/2014/chart" uri="{C3380CC4-5D6E-409C-BE32-E72D297353CC}">
              <c16:uniqueId val="{00000000-1EE9-4699-9DD4-1EDA13EE01EF}"/>
            </c:ext>
          </c:extLst>
        </c:ser>
        <c:ser>
          <c:idx val="1"/>
          <c:order val="1"/>
          <c:tx>
            <c:strRef>
              <c:f>'3. Tiết dạy'!$R$44</c:f>
              <c:strCache>
                <c:ptCount val="1"/>
                <c:pt idx="0">
                  <c:v>Sum of Số tiết chưa được bù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'3. Tiết dạy'!$P$45:$P$80</c:f>
              <c:strCache>
                <c:ptCount val="35"/>
                <c:pt idx="0">
                  <c:v>Carreon Gugol Vanessa Ariane</c:v>
                </c:pt>
                <c:pt idx="1">
                  <c:v>Đỗ Thị Duyên</c:v>
                </c:pt>
                <c:pt idx="2">
                  <c:v>Đỗ Thị Thanh Huyền</c:v>
                </c:pt>
                <c:pt idx="3">
                  <c:v>Đoàn Anh Hào</c:v>
                </c:pt>
                <c:pt idx="4">
                  <c:v>Dương Hồng Thủy</c:v>
                </c:pt>
                <c:pt idx="5">
                  <c:v>Dương Kim Cương</c:v>
                </c:pt>
                <c:pt idx="6">
                  <c:v>La Gia Nghi</c:v>
                </c:pt>
                <c:pt idx="7">
                  <c:v>Lê Nguyễn Anh Thư</c:v>
                </c:pt>
                <c:pt idx="8">
                  <c:v>Lê Thị Hạnh</c:v>
                </c:pt>
                <c:pt idx="9">
                  <c:v>Lê Thị Ngọc Linh</c:v>
                </c:pt>
                <c:pt idx="10">
                  <c:v>Lê Thị Thanh Huyền</c:v>
                </c:pt>
                <c:pt idx="11">
                  <c:v>Lopez Anne Julia Redor</c:v>
                </c:pt>
                <c:pt idx="12">
                  <c:v>Mai Kiều Anh Thư</c:v>
                </c:pt>
                <c:pt idx="13">
                  <c:v>Nguyễn Mai Khanh</c:v>
                </c:pt>
                <c:pt idx="14">
                  <c:v>Nguyễn Ngọc Bảo Trâm</c:v>
                </c:pt>
                <c:pt idx="15">
                  <c:v>Nguyễn Ngọc Thanh Vy</c:v>
                </c:pt>
                <c:pt idx="16">
                  <c:v>Nguyễn Quang Nam</c:v>
                </c:pt>
                <c:pt idx="17">
                  <c:v>Nguyễn Quang Thịnh</c:v>
                </c:pt>
                <c:pt idx="18">
                  <c:v>Nguyễn Thị Bích Ngọc</c:v>
                </c:pt>
                <c:pt idx="19">
                  <c:v>Nguyễn Thị Bích Trâm</c:v>
                </c:pt>
                <c:pt idx="20">
                  <c:v>Nguyễn Thị Hạnh</c:v>
                </c:pt>
                <c:pt idx="21">
                  <c:v>Nguyễn Thị Thảo Loan</c:v>
                </c:pt>
                <c:pt idx="22">
                  <c:v>Nguyễn Thụy Ngọc Minh</c:v>
                </c:pt>
                <c:pt idx="23">
                  <c:v>PEÑAFLORIDA LACHICA CHRISTY MA. NATION</c:v>
                </c:pt>
                <c:pt idx="24">
                  <c:v>Phạm Thị Mỹ Yến</c:v>
                </c:pt>
                <c:pt idx="25">
                  <c:v>Phan Hoàng Uyên Thy</c:v>
                </c:pt>
                <c:pt idx="26">
                  <c:v>Thạch Thị Sa My</c:v>
                </c:pt>
                <c:pt idx="27">
                  <c:v>Tống Mỹ Kiều Loan</c:v>
                </c:pt>
                <c:pt idx="28">
                  <c:v>Trần Đắc Mùi</c:v>
                </c:pt>
                <c:pt idx="29">
                  <c:v>Trần Đức Thanh</c:v>
                </c:pt>
                <c:pt idx="30">
                  <c:v>Trần Thị Bích Đào</c:v>
                </c:pt>
                <c:pt idx="31">
                  <c:v>Trần Thị Như Vy</c:v>
                </c:pt>
                <c:pt idx="32">
                  <c:v>Trần Thuỳ Dung</c:v>
                </c:pt>
                <c:pt idx="33">
                  <c:v>Trịnh Văn Tự</c:v>
                </c:pt>
                <c:pt idx="34">
                  <c:v>Võ Thị Lan Anh</c:v>
                </c:pt>
              </c:strCache>
            </c:strRef>
          </c:cat>
          <c:val>
            <c:numRef>
              <c:f>'3. Tiết dạy'!$R$45:$R$80</c:f>
              <c:numCache>
                <c:formatCode>General</c:formatCode>
                <c:ptCount val="35"/>
                <c:pt idx="5">
                  <c:v>3</c:v>
                </c:pt>
                <c:pt idx="6">
                  <c:v>1</c:v>
                </c:pt>
                <c:pt idx="8">
                  <c:v>2</c:v>
                </c:pt>
                <c:pt idx="17">
                  <c:v>1</c:v>
                </c:pt>
                <c:pt idx="19">
                  <c:v>1</c:v>
                </c:pt>
                <c:pt idx="27">
                  <c:v>1</c:v>
                </c:pt>
                <c:pt idx="28">
                  <c:v>3</c:v>
                </c:pt>
                <c:pt idx="29">
                  <c:v>3</c:v>
                </c:pt>
                <c:pt idx="32">
                  <c:v>2</c:v>
                </c:pt>
                <c:pt idx="33">
                  <c:v>2</c:v>
                </c:pt>
              </c:numCache>
            </c:numRef>
          </c:val>
          <c:extLst>
            <c:ext xmlns:c16="http://schemas.microsoft.com/office/drawing/2014/chart" uri="{C3380CC4-5D6E-409C-BE32-E72D297353CC}">
              <c16:uniqueId val="{00000001-1EE9-4699-9DD4-1EDA13EE01EF}"/>
            </c:ext>
          </c:extLst>
        </c:ser>
        <c:dLbls>
          <c:showLegendKey val="0"/>
          <c:showVal val="0"/>
          <c:showCatName val="0"/>
          <c:showSerName val="0"/>
          <c:showPercent val="0"/>
          <c:showBubbleSize val="0"/>
        </c:dLbls>
        <c:gapWidth val="75"/>
        <c:overlap val="100"/>
        <c:axId val="628809535"/>
        <c:axId val="554143023"/>
      </c:barChart>
      <c:catAx>
        <c:axId val="6288095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54143023"/>
        <c:crosses val="autoZero"/>
        <c:auto val="1"/>
        <c:lblAlgn val="ctr"/>
        <c:lblOffset val="100"/>
        <c:noMultiLvlLbl val="0"/>
      </c:catAx>
      <c:valAx>
        <c:axId val="554143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2880953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van hanh thang 9.xlsx]5. Nghỉ phép!PivotTable8</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2">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'5. Nghỉ phép'!$M$3</c:f>
              <c:strCache>
                <c:ptCount val="1"/>
                <c:pt idx="0">
                  <c:v>Total</c:v>
                </c:pt>
              </c:strCache>
            </c:strRef>
          </c:tx>
          <c:spPr>
            <a:solidFill>
              <a:schemeClr val="accent2">
                <a:lumMod val="40000"/>
                <a:lumOff val="60000"/>
              </a:schemeClr>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Nghỉ phép'!$L$4:$L$14</c:f>
              <c:strCache>
                <c:ptCount val="10"/>
                <c:pt idx="0">
                  <c:v>Bản thân kết hôn</c:v>
                </c:pt>
                <c:pt idx="1">
                  <c:v>Khám thai định kỳ (5 ngày/1 chu kỳ)</c:v>
                </c:pt>
                <c:pt idx="2">
                  <c:v>Nghỉ khám bệnh trong 1 học kỳ</c:v>
                </c:pt>
                <c:pt idx="3">
                  <c:v>Nghỉ không lương -Có BHXH</c:v>
                </c:pt>
                <c:pt idx="4">
                  <c:v>Nghỉ không lương -Không BHXH</c:v>
                </c:pt>
                <c:pt idx="5">
                  <c:v>Nghỉ ốm (1 ngày/1 quý)</c:v>
                </c:pt>
                <c:pt idx="6">
                  <c:v>Nghỉ phép năm</c:v>
                </c:pt>
                <c:pt idx="7">
                  <c:v>Nghỉ thai sản - Hưởng BHXH</c:v>
                </c:pt>
                <c:pt idx="8">
                  <c:v>Tập huấn. công tác</c:v>
                </c:pt>
                <c:pt idx="9">
                  <c:v>Tứ thân phụ mẫu, vợ (chồng), con: mất</c:v>
                </c:pt>
              </c:strCache>
            </c:strRef>
          </c:cat>
          <c:val>
            <c:numRef>
              <c:f>'5. Nghỉ phép'!$M$4:$M$14</c:f>
              <c:numCache>
                <c:formatCode>General</c:formatCode>
                <c:ptCount val="10"/>
                <c:pt idx="0">
                  <c:v>1</c:v>
                </c:pt>
                <c:pt idx="1">
                  <c:v>6</c:v>
                </c:pt>
                <c:pt idx="2">
                  <c:v>32</c:v>
                </c:pt>
                <c:pt idx="3">
                  <c:v>52.5</c:v>
                </c:pt>
                <c:pt idx="4">
                  <c:v>15</c:v>
                </c:pt>
                <c:pt idx="5">
                  <c:v>4</c:v>
                </c:pt>
                <c:pt idx="6">
                  <c:v>105.5</c:v>
                </c:pt>
                <c:pt idx="7">
                  <c:v>6</c:v>
                </c:pt>
                <c:pt idx="8">
                  <c:v>50</c:v>
                </c:pt>
                <c:pt idx="9">
                  <c:v>17</c:v>
                </c:pt>
              </c:numCache>
            </c:numRef>
          </c:val>
          <c:extLst>
            <c:ext xmlns:c16="http://schemas.microsoft.com/office/drawing/2014/chart" uri="{C3380CC4-5D6E-409C-BE32-E72D297353CC}">
              <c16:uniqueId val="{00000000-8BBE-4A39-92C1-B986F49E05E8}"/>
            </c:ext>
          </c:extLst>
        </c:ser>
        <c:dLbls>
          <c:showLegendKey val="0"/>
          <c:showVal val="0"/>
          <c:showCatName val="0"/>
          <c:showSerName val="0"/>
          <c:showPercent val="0"/>
          <c:showBubbleSize val="0"/>
        </c:dLbls>
        <c:gapWidth val="219"/>
        <c:axId val="109588191"/>
        <c:axId val="61242671"/>
      </c:barChart>
      <c:catAx>
        <c:axId val="109588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61242671"/>
        <c:crosses val="autoZero"/>
        <c:auto val="1"/>
        <c:lblAlgn val="ctr"/>
        <c:lblOffset val="100"/>
        <c:noMultiLvlLbl val="0"/>
      </c:catAx>
      <c:valAx>
        <c:axId val="6124267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8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van hanh thang 9.xlsx]5. Nghỉ phép!PivotTable15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21819058331994"/>
          <c:y val="8.6291463952004488E-2"/>
          <c:w val="0.62459585408966745"/>
          <c:h val="0.82497199668809429"/>
        </c:manualLayout>
      </c:layout>
      <c:barChart>
        <c:barDir val="bar"/>
        <c:grouping val="clustered"/>
        <c:varyColors val="0"/>
        <c:ser>
          <c:idx val="0"/>
          <c:order val="0"/>
          <c:tx>
            <c:strRef>
              <c:f>'5. Nghỉ phép'!$P$3</c:f>
              <c:strCache>
                <c:ptCount val="1"/>
                <c:pt idx="0">
                  <c:v>Total</c:v>
                </c:pt>
              </c:strCache>
            </c:strRef>
          </c:tx>
          <c:spPr>
            <a:solidFill>
              <a:schemeClr val="accent2">
                <a:lumMod val="40000"/>
                <a:lumOff val="6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'5. Nghỉ phép'!$O$4:$O$17</c:f>
              <c:strCache>
                <c:ptCount val="13"/>
                <c:pt idx="0">
                  <c:v>ABDUL MAJID MARANI SWALLAH</c:v>
                </c:pt>
                <c:pt idx="1">
                  <c:v>Hoàng Thị Diễm Trang</c:v>
                </c:pt>
                <c:pt idx="2">
                  <c:v>Huỳnh Thanh Trí</c:v>
                </c:pt>
                <c:pt idx="3">
                  <c:v>Khương Anh Tuấn</c:v>
                </c:pt>
                <c:pt idx="4">
                  <c:v>Khương Thị Ngọc Phụng</c:v>
                </c:pt>
                <c:pt idx="5">
                  <c:v>Lê Bá Quang Thắng</c:v>
                </c:pt>
                <c:pt idx="6">
                  <c:v>Nguyễn Duy Thanh Thảo</c:v>
                </c:pt>
                <c:pt idx="7">
                  <c:v>Nguyễn Ngọc Mai Anh</c:v>
                </c:pt>
                <c:pt idx="8">
                  <c:v>Nguyễn Thị Hồng Vân</c:v>
                </c:pt>
                <c:pt idx="9">
                  <c:v>Nguyễn Thị Nga</c:v>
                </c:pt>
                <c:pt idx="10">
                  <c:v>Nguyễn Thị Thanh Tâm</c:v>
                </c:pt>
                <c:pt idx="11">
                  <c:v>Trần Thanh Hiền</c:v>
                </c:pt>
                <c:pt idx="12">
                  <c:v>Trương Thu Trang</c:v>
                </c:pt>
              </c:strCache>
            </c:strRef>
          </c:cat>
          <c:val>
            <c:numRef>
              <c:f>'5. Nghỉ phép'!$P$4:$P$17</c:f>
              <c:numCache>
                <c:formatCode>General</c:formatCode>
                <c:ptCount val="13"/>
                <c:pt idx="0">
                  <c:v>15</c:v>
                </c:pt>
                <c:pt idx="1">
                  <c:v>8</c:v>
                </c:pt>
                <c:pt idx="2">
                  <c:v>10</c:v>
                </c:pt>
                <c:pt idx="3">
                  <c:v>8.5</c:v>
                </c:pt>
                <c:pt idx="4">
                  <c:v>5</c:v>
                </c:pt>
                <c:pt idx="5">
                  <c:v>10.5</c:v>
                </c:pt>
                <c:pt idx="6">
                  <c:v>5</c:v>
                </c:pt>
                <c:pt idx="7">
                  <c:v>6</c:v>
                </c:pt>
                <c:pt idx="8">
                  <c:v>16</c:v>
                </c:pt>
                <c:pt idx="9">
                  <c:v>5</c:v>
                </c:pt>
                <c:pt idx="10">
                  <c:v>5</c:v>
                </c:pt>
                <c:pt idx="11">
                  <c:v>8</c:v>
                </c:pt>
                <c:pt idx="12">
                  <c:v>8</c:v>
                </c:pt>
              </c:numCache>
            </c:numRef>
          </c:val>
          <c:extLst>
            <c:ext xmlns:c16="http://schemas.microsoft.com/office/drawing/2014/chart" uri="{C3380CC4-5D6E-409C-BE32-E72D297353CC}">
              <c16:uniqueId val="{00000000-8DB0-4D69-AD1C-051BD457E560}"/>
            </c:ext>
          </c:extLst>
        </c:ser>
        <c:dLbls>
          <c:dLblPos val="outEnd"/>
          <c:showLegendKey val="0"/>
          <c:showVal val="1"/>
          <c:showCatName val="0"/>
          <c:showSerName val="0"/>
          <c:showPercent val="0"/>
          <c:showBubbleSize val="0"/>
        </c:dLbls>
        <c:gapWidth val="219"/>
        <c:axId val="109508847"/>
        <c:axId val="554046063"/>
      </c:barChart>
      <c:catAx>
        <c:axId val="10950884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54046063"/>
        <c:crosses val="autoZero"/>
        <c:auto val="1"/>
        <c:lblAlgn val="ctr"/>
        <c:lblOffset val="100"/>
        <c:noMultiLvlLbl val="0"/>
      </c:catAx>
      <c:valAx>
        <c:axId val="5540460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09508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van hanh thang 9.xlsx]7. Biến động nhân sự!PivotTable17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20000"/>
              <a:lumOff val="80000"/>
            </a:schemeClr>
          </a:solidFill>
          <a:ln>
            <a:solidFill>
              <a:schemeClr val="accent4">
                <a:lumMod val="20000"/>
                <a:lumOff val="8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'7. Biến động nhân sự'!$P$27:$P$28</c:f>
              <c:strCache>
                <c:ptCount val="1"/>
                <c:pt idx="0">
                  <c:v>Giảm</c:v>
                </c:pt>
              </c:strCache>
            </c:strRef>
          </c:tx>
          <c:spPr>
            <a:solidFill>
              <a:schemeClr val="accent4">
                <a:lumMod val="20000"/>
                <a:lumOff val="80000"/>
              </a:schemeClr>
            </a:solidFill>
            <a:ln>
              <a:solidFill>
                <a:schemeClr val="accent4">
                  <a:lumMod val="20000"/>
                  <a:lumOff val="8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'7. Biến động nhân sự'!$O$29:$O$38</c:f>
              <c:strCache>
                <c:ptCount val="9"/>
                <c:pt idx="0">
                  <c:v>Bộ Phận Bếp</c:v>
                </c:pt>
                <c:pt idx="1">
                  <c:v>Đơn vị Long Khánh</c:v>
                </c:pt>
                <c:pt idx="2">
                  <c:v>Hành chính chuyên môn </c:v>
                </c:pt>
                <c:pt idx="3">
                  <c:v>Khối Mầm Non</c:v>
                </c:pt>
                <c:pt idx="4">
                  <c:v>Khối Tiểu Học</c:v>
                </c:pt>
                <c:pt idx="5">
                  <c:v>Tổ Hoạt động trải nghiệm, hướng nghiệp</c:v>
                </c:pt>
                <c:pt idx="6">
                  <c:v>Tổ Khoa học Tự nhiên và Công nghệ</c:v>
                </c:pt>
                <c:pt idx="7">
                  <c:v>Tổ Ngoại Ngữ</c:v>
                </c:pt>
                <c:pt idx="8">
                  <c:v>Tổ ngữ văn</c:v>
                </c:pt>
              </c:strCache>
            </c:strRef>
          </c:cat>
          <c:val>
            <c:numRef>
              <c:f>'7. Biến động nhân sự'!$P$29:$P$38</c:f>
              <c:numCache>
                <c:formatCode>General</c:formatCode>
                <c:ptCount val="9"/>
                <c:pt idx="0">
                  <c:v>1</c:v>
                </c:pt>
                <c:pt idx="1">
                  <c:v>4</c:v>
                </c:pt>
                <c:pt idx="3">
                  <c:v>4</c:v>
                </c:pt>
                <c:pt idx="4">
                  <c:v>1</c:v>
                </c:pt>
                <c:pt idx="6">
                  <c:v>1</c:v>
                </c:pt>
                <c:pt idx="7">
                  <c:v>2</c:v>
                </c:pt>
                <c:pt idx="8">
                  <c:v>1</c:v>
                </c:pt>
              </c:numCache>
            </c:numRef>
          </c:val>
          <c:extLst>
            <c:ext xmlns:c16="http://schemas.microsoft.com/office/drawing/2014/chart" uri="{C3380CC4-5D6E-409C-BE32-E72D297353CC}">
              <c16:uniqueId val="{00000000-8273-4F62-91C1-75CBE761BF0A}"/>
            </c:ext>
          </c:extLst>
        </c:ser>
        <c:ser>
          <c:idx val="1"/>
          <c:order val="1"/>
          <c:tx>
            <c:strRef>
              <c:f>'7. Biến động nhân sự'!$Q$27:$Q$28</c:f>
              <c:strCache>
                <c:ptCount val="1"/>
                <c:pt idx="0">
                  <c:v>Tăng</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'7. Biến động nhân sự'!$O$29:$O$38</c:f>
              <c:strCache>
                <c:ptCount val="9"/>
                <c:pt idx="0">
                  <c:v>Bộ Phận Bếp</c:v>
                </c:pt>
                <c:pt idx="1">
                  <c:v>Đơn vị Long Khánh</c:v>
                </c:pt>
                <c:pt idx="2">
                  <c:v>Hành chính chuyên môn </c:v>
                </c:pt>
                <c:pt idx="3">
                  <c:v>Khối Mầm Non</c:v>
                </c:pt>
                <c:pt idx="4">
                  <c:v>Khối Tiểu Học</c:v>
                </c:pt>
                <c:pt idx="5">
                  <c:v>Tổ Hoạt động trải nghiệm, hướng nghiệp</c:v>
                </c:pt>
                <c:pt idx="6">
                  <c:v>Tổ Khoa học Tự nhiên và Công nghệ</c:v>
                </c:pt>
                <c:pt idx="7">
                  <c:v>Tổ Ngoại Ngữ</c:v>
                </c:pt>
                <c:pt idx="8">
                  <c:v>Tổ ngữ văn</c:v>
                </c:pt>
              </c:strCache>
            </c:strRef>
          </c:cat>
          <c:val>
            <c:numRef>
              <c:f>'7. Biến động nhân sự'!$Q$29:$Q$38</c:f>
              <c:numCache>
                <c:formatCode>General</c:formatCode>
                <c:ptCount val="9"/>
                <c:pt idx="0">
                  <c:v>3</c:v>
                </c:pt>
                <c:pt idx="1">
                  <c:v>3</c:v>
                </c:pt>
                <c:pt idx="2">
                  <c:v>1</c:v>
                </c:pt>
                <c:pt idx="3">
                  <c:v>3</c:v>
                </c:pt>
                <c:pt idx="4">
                  <c:v>1</c:v>
                </c:pt>
                <c:pt idx="5">
                  <c:v>1</c:v>
                </c:pt>
                <c:pt idx="6">
                  <c:v>1</c:v>
                </c:pt>
                <c:pt idx="7">
                  <c:v>1</c:v>
                </c:pt>
              </c:numCache>
            </c:numRef>
          </c:val>
          <c:extLst>
            <c:ext xmlns:c16="http://schemas.microsoft.com/office/drawing/2014/chart" uri="{C3380CC4-5D6E-409C-BE32-E72D297353CC}">
              <c16:uniqueId val="{00000007-8273-4F62-91C1-75CBE761BF0A}"/>
            </c:ext>
          </c:extLst>
        </c:ser>
        <c:dLbls>
          <c:dLblPos val="outEnd"/>
          <c:showLegendKey val="0"/>
          <c:showVal val="1"/>
          <c:showCatName val="0"/>
          <c:showSerName val="0"/>
          <c:showPercent val="0"/>
          <c:showBubbleSize val="0"/>
        </c:dLbls>
        <c:gapWidth val="219"/>
        <c:overlap val="-27"/>
        <c:axId val="2140714240"/>
        <c:axId val="554063343"/>
      </c:barChart>
      <c:catAx>
        <c:axId val="2140714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54063343"/>
        <c:crosses val="autoZero"/>
        <c:auto val="1"/>
        <c:lblAlgn val="ctr"/>
        <c:lblOffset val="100"/>
        <c:noMultiLvlLbl val="0"/>
      </c:catAx>
      <c:valAx>
        <c:axId val="554063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07142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a:t>Số lead và số học sinh nhập học trong tháng</a:t>
            </a:r>
          </a:p>
        </c:rich>
      </c:tx>
      <c:overlay val="0"/>
      <c:spPr>
        <a:noFill/>
        <a:ln>
          <a:noFill/>
        </a:ln>
        <a:effectLst/>
      </c:spPr>
      <c:txPr>
        <a:bodyPr rot="0" spcFirstLastPara="1" vertOverflow="ellipsis" vert="horz" wrap="square" anchor="ctr" anchorCtr="1"/>
        <a:lstStyle/>
        <a:p>
          <a:pPr>
            <a:defRPr sz="12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barChart>
        <c:barDir val="col"/>
        <c:grouping val="clustered"/>
        <c:varyColors val="0"/>
        <c:ser>
          <c:idx val="0"/>
          <c:order val="0"/>
          <c:tx>
            <c:strRef>
              <c:f>'8. Tư vấn tuyển sinh'!$B$2</c:f>
              <c:strCache>
                <c:ptCount val="1"/>
                <c:pt idx="0">
                  <c:v>Tháng 08/2026</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 Tư vấn tuyển sinh'!$A$10:$A$12,'8. Tư vấn tuyển sinh'!$A$14:$A$16)</c:f>
              <c:strCache>
                <c:ptCount val="6"/>
                <c:pt idx="0">
                  <c:v>PTLC</c:v>
                </c:pt>
                <c:pt idx="1">
                  <c:v>MNBH</c:v>
                </c:pt>
                <c:pt idx="2">
                  <c:v>MNLK</c:v>
                </c:pt>
                <c:pt idx="3">
                  <c:v>PTLC</c:v>
                </c:pt>
                <c:pt idx="4">
                  <c:v>MNBH</c:v>
                </c:pt>
                <c:pt idx="5">
                  <c:v>MNLK</c:v>
                </c:pt>
              </c:strCache>
            </c:strRef>
          </c:cat>
          <c:val>
            <c:numRef>
              <c:f>('8. Tư vấn tuyển sinh'!$B$10:$B$12,'8. Tư vấn tuyển sinh'!$B$14:$B$16)</c:f>
              <c:numCache>
                <c:formatCode>General</c:formatCode>
                <c:ptCount val="6"/>
                <c:pt idx="0">
                  <c:v>30</c:v>
                </c:pt>
                <c:pt idx="1">
                  <c:v>144</c:v>
                </c:pt>
                <c:pt idx="2">
                  <c:v>185</c:v>
                </c:pt>
                <c:pt idx="3">
                  <c:v>9</c:v>
                </c:pt>
                <c:pt idx="4">
                  <c:v>16</c:v>
                </c:pt>
                <c:pt idx="5">
                  <c:v>8</c:v>
                </c:pt>
              </c:numCache>
            </c:numRef>
          </c:val>
          <c:extLst>
            <c:ext xmlns:c16="http://schemas.microsoft.com/office/drawing/2014/chart" uri="{C3380CC4-5D6E-409C-BE32-E72D297353CC}">
              <c16:uniqueId val="{00000000-5CE9-4715-939F-8F7458C01CA4}"/>
            </c:ext>
          </c:extLst>
        </c:ser>
        <c:ser>
          <c:idx val="1"/>
          <c:order val="1"/>
          <c:tx>
            <c:strRef>
              <c:f>'8. Tư vấn tuyển sinh'!$C$2</c:f>
              <c:strCache>
                <c:ptCount val="1"/>
                <c:pt idx="0">
                  <c:v>Tháng 09/2026</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 Tư vấn tuyển sinh'!$A$10:$A$12,'8. Tư vấn tuyển sinh'!$A$14:$A$16)</c:f>
              <c:strCache>
                <c:ptCount val="6"/>
                <c:pt idx="0">
                  <c:v>PTLC</c:v>
                </c:pt>
                <c:pt idx="1">
                  <c:v>MNBH</c:v>
                </c:pt>
                <c:pt idx="2">
                  <c:v>MNLK</c:v>
                </c:pt>
                <c:pt idx="3">
                  <c:v>PTLC</c:v>
                </c:pt>
                <c:pt idx="4">
                  <c:v>MNBH</c:v>
                </c:pt>
                <c:pt idx="5">
                  <c:v>MNLK</c:v>
                </c:pt>
              </c:strCache>
            </c:strRef>
          </c:cat>
          <c:val>
            <c:numRef>
              <c:f>('8. Tư vấn tuyển sinh'!$C$10:$C$12,'8. Tư vấn tuyển sinh'!$C$14:$C$16)</c:f>
              <c:numCache>
                <c:formatCode>General</c:formatCode>
                <c:ptCount val="6"/>
                <c:pt idx="0">
                  <c:v>23</c:v>
                </c:pt>
                <c:pt idx="1">
                  <c:v>77</c:v>
                </c:pt>
                <c:pt idx="2">
                  <c:v>61</c:v>
                </c:pt>
                <c:pt idx="3">
                  <c:v>4</c:v>
                </c:pt>
                <c:pt idx="4">
                  <c:v>7</c:v>
                </c:pt>
                <c:pt idx="5">
                  <c:v>10</c:v>
                </c:pt>
              </c:numCache>
            </c:numRef>
          </c:val>
          <c:extLst>
            <c:ext xmlns:c16="http://schemas.microsoft.com/office/drawing/2014/chart" uri="{C3380CC4-5D6E-409C-BE32-E72D297353CC}">
              <c16:uniqueId val="{00000001-5CE9-4715-939F-8F7458C01CA4}"/>
            </c:ext>
          </c:extLst>
        </c:ser>
        <c:dLbls>
          <c:dLblPos val="outEnd"/>
          <c:showLegendKey val="0"/>
          <c:showVal val="1"/>
          <c:showCatName val="0"/>
          <c:showSerName val="0"/>
          <c:showPercent val="0"/>
          <c:showBubbleSize val="0"/>
        </c:dLbls>
        <c:gapWidth val="219"/>
        <c:overlap val="-27"/>
        <c:axId val="548275551"/>
        <c:axId val="451526255"/>
        <c:extLst>
          <c:ext xmlns:c15="http://schemas.microsoft.com/office/drawing/2012/chart" uri="{02D57815-91ED-43cb-92C2-25804820EDAC}">
            <c15:filteredBarSeries>
              <c15:ser>
                <c:idx val="2"/>
                <c:order val="2"/>
                <c:tx>
                  <c:strRef>
                    <c:extLst>
                      <c:ext uri="{02D57815-91ED-43cb-92C2-25804820EDAC}">
                        <c15:formulaRef>
                          <c15:sqref>'8. Tư vấn tuyển sinh'!$D$2</c15:sqref>
                        </c15:formulaRef>
                      </c:ext>
                    </c:extLst>
                    <c:strCache>
                      <c:ptCount val="1"/>
                      <c:pt idx="0">
                        <c:v>Tháng 10/2026</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('8. Tư vấn tuyển sinh'!$A$10:$A$12,'8. Tư vấn tuyển sinh'!$A$14:$A$16)</c15:sqref>
                        </c15:formulaRef>
                      </c:ext>
                    </c:extLst>
                    <c:strCache>
                      <c:ptCount val="6"/>
                      <c:pt idx="0">
                        <c:v>PTLC</c:v>
                      </c:pt>
                      <c:pt idx="1">
                        <c:v>MNBH</c:v>
                      </c:pt>
                      <c:pt idx="2">
                        <c:v>MNLK</c:v>
                      </c:pt>
                      <c:pt idx="3">
                        <c:v>PTLC</c:v>
                      </c:pt>
                      <c:pt idx="4">
                        <c:v>MNBH</c:v>
                      </c:pt>
                      <c:pt idx="5">
                        <c:v>MNLK</c:v>
                      </c:pt>
                    </c:strCache>
                  </c:strRef>
                </c:cat>
                <c:val>
                  <c:numRef>
                    <c:extLst>
                      <c:ext uri="{02D57815-91ED-43cb-92C2-25804820EDAC}">
                        <c15:formulaRef>
                          <c15:sqref>('8. Tư vấn tuyển sinh'!$D$10:$D$12,'8. Tư vấn tuyển sinh'!$D$14:$D$16)</c15:sqref>
                        </c15:formulaRef>
                      </c:ext>
                    </c:extLst>
                    <c:numCache>
                      <c:formatCode>General</c:formatCode>
                      <c:ptCount val="6"/>
                      <c:pt idx="0">
                        <c:v>3</c:v>
                      </c:pt>
                      <c:pt idx="1">
                        <c:v>2</c:v>
                      </c:pt>
                      <c:pt idx="2">
                        <c:v>1</c:v>
                      </c:pt>
                      <c:pt idx="3">
                        <c:v>0</c:v>
                      </c:pt>
                      <c:pt idx="4">
                        <c:v>1</c:v>
                      </c:pt>
                      <c:pt idx="5">
                        <c:v>0</c:v>
                      </c:pt>
                    </c:numCache>
                  </c:numRef>
                </c:val>
                <c:extLst>
                  <c:ext xmlns:c16="http://schemas.microsoft.com/office/drawing/2014/chart" uri="{C3380CC4-5D6E-409C-BE32-E72D297353CC}">
                    <c16:uniqueId val="{00000002-5CE9-4715-939F-8F7458C01CA4}"/>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'8. Tư vấn tuyển sinh'!$E$2</c15:sqref>
                        </c15:formulaRef>
                      </c:ext>
                    </c:extLst>
                    <c:strCache>
                      <c:ptCount val="1"/>
                      <c:pt idx="0">
                        <c:v>Tháng 11/2026</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('8. Tư vấn tuyển sinh'!$A$10:$A$12,'8. Tư vấn tuyển sinh'!$A$14:$A$16)</c15:sqref>
                        </c15:formulaRef>
                      </c:ext>
                    </c:extLst>
                    <c:strCache>
                      <c:ptCount val="6"/>
                      <c:pt idx="0">
                        <c:v>PTLC</c:v>
                      </c:pt>
                      <c:pt idx="1">
                        <c:v>MNBH</c:v>
                      </c:pt>
                      <c:pt idx="2">
                        <c:v>MNLK</c:v>
                      </c:pt>
                      <c:pt idx="3">
                        <c:v>PTLC</c:v>
                      </c:pt>
                      <c:pt idx="4">
                        <c:v>MNBH</c:v>
                      </c:pt>
                      <c:pt idx="5">
                        <c:v>MNLK</c:v>
                      </c:pt>
                    </c:strCache>
                  </c:strRef>
                </c:cat>
                <c:val>
                  <c:numRef>
                    <c:extLst xmlns:c15="http://schemas.microsoft.com/office/drawing/2012/chart">
                      <c:ext xmlns:c15="http://schemas.microsoft.com/office/drawing/2012/chart" uri="{02D57815-91ED-43cb-92C2-25804820EDAC}">
                        <c15:formulaRef>
                          <c15:sqref>('8. Tư vấn tuyển sinh'!$E$10:$E$12,'8. Tư vấn tuyển sinh'!$E$14:$E$16)</c15:sqref>
                        </c15:formulaRef>
                      </c:ext>
                    </c:extLst>
                    <c:numCache>
                      <c:formatCode>General</c:formatCode>
                      <c:ptCount val="6"/>
                      <c:pt idx="0">
                        <c:v>0</c:v>
                      </c:pt>
                      <c:pt idx="1">
                        <c:v>0</c:v>
                      </c:pt>
                      <c:pt idx="2">
                        <c:v>0</c:v>
                      </c:pt>
                      <c:pt idx="3">
                        <c:v>0</c:v>
                      </c:pt>
                      <c:pt idx="4">
                        <c:v>0</c:v>
                      </c:pt>
                      <c:pt idx="5">
                        <c:v>0</c:v>
                      </c:pt>
                    </c:numCache>
                  </c:numRef>
                </c:val>
                <c:extLst xmlns:c15="http://schemas.microsoft.com/office/drawing/2012/chart">
                  <c:ext xmlns:c16="http://schemas.microsoft.com/office/drawing/2014/chart" uri="{C3380CC4-5D6E-409C-BE32-E72D297353CC}">
                    <c16:uniqueId val="{00000003-5CE9-4715-939F-8F7458C01CA4}"/>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'8. Tư vấn tuyển sinh'!$F$2</c15:sqref>
                        </c15:formulaRef>
                      </c:ext>
                    </c:extLst>
                    <c:strCache>
                      <c:ptCount val="1"/>
                      <c:pt idx="0">
                        <c:v>Tháng 12/2026</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('8. Tư vấn tuyển sinh'!$A$10:$A$12,'8. Tư vấn tuyển sinh'!$A$14:$A$16)</c15:sqref>
                        </c15:formulaRef>
                      </c:ext>
                    </c:extLst>
                    <c:strCache>
                      <c:ptCount val="6"/>
                      <c:pt idx="0">
                        <c:v>PTLC</c:v>
                      </c:pt>
                      <c:pt idx="1">
                        <c:v>MNBH</c:v>
                      </c:pt>
                      <c:pt idx="2">
                        <c:v>MNLK</c:v>
                      </c:pt>
                      <c:pt idx="3">
                        <c:v>PTLC</c:v>
                      </c:pt>
                      <c:pt idx="4">
                        <c:v>MNBH</c:v>
                      </c:pt>
                      <c:pt idx="5">
                        <c:v>MNLK</c:v>
                      </c:pt>
                    </c:strCache>
                  </c:strRef>
                </c:cat>
                <c:val>
                  <c:numRef>
                    <c:extLst xmlns:c15="http://schemas.microsoft.com/office/drawing/2012/chart">
                      <c:ext xmlns:c15="http://schemas.microsoft.com/office/drawing/2012/chart" uri="{02D57815-91ED-43cb-92C2-25804820EDAC}">
                        <c15:formulaRef>
                          <c15:sqref>('8. Tư vấn tuyển sinh'!$F$10:$F$12,'8. Tư vấn tuyển sinh'!$F$14:$F$16)</c15:sqref>
                        </c15:formulaRef>
                      </c:ext>
                    </c:extLst>
                    <c:numCache>
                      <c:formatCode>General</c:formatCode>
                      <c:ptCount val="6"/>
                      <c:pt idx="0">
                        <c:v>0</c:v>
                      </c:pt>
                      <c:pt idx="1">
                        <c:v>0</c:v>
                      </c:pt>
                      <c:pt idx="2">
                        <c:v>0</c:v>
                      </c:pt>
                      <c:pt idx="3">
                        <c:v>0</c:v>
                      </c:pt>
                      <c:pt idx="4">
                        <c:v>0</c:v>
                      </c:pt>
                      <c:pt idx="5">
                        <c:v>0</c:v>
                      </c:pt>
                    </c:numCache>
                  </c:numRef>
                </c:val>
                <c:extLst xmlns:c15="http://schemas.microsoft.com/office/drawing/2012/chart">
                  <c:ext xmlns:c16="http://schemas.microsoft.com/office/drawing/2014/chart" uri="{C3380CC4-5D6E-409C-BE32-E72D297353CC}">
                    <c16:uniqueId val="{00000004-5CE9-4715-939F-8F7458C01CA4}"/>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'8. Tư vấn tuyển sinh'!$G$2</c15:sqref>
                        </c15:formulaRef>
                      </c:ext>
                    </c:extLst>
                    <c:strCache>
                      <c:ptCount val="1"/>
                      <c:pt idx="0">
                        <c:v>Tháng 01/2027</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('8. Tư vấn tuyển sinh'!$A$10:$A$12,'8. Tư vấn tuyển sinh'!$A$14:$A$16)</c15:sqref>
                        </c15:formulaRef>
                      </c:ext>
                    </c:extLst>
                    <c:strCache>
                      <c:ptCount val="6"/>
                      <c:pt idx="0">
                        <c:v>PTLC</c:v>
                      </c:pt>
                      <c:pt idx="1">
                        <c:v>MNBH</c:v>
                      </c:pt>
                      <c:pt idx="2">
                        <c:v>MNLK</c:v>
                      </c:pt>
                      <c:pt idx="3">
                        <c:v>PTLC</c:v>
                      </c:pt>
                      <c:pt idx="4">
                        <c:v>MNBH</c:v>
                      </c:pt>
                      <c:pt idx="5">
                        <c:v>MNLK</c:v>
                      </c:pt>
                    </c:strCache>
                  </c:strRef>
                </c:cat>
                <c:val>
                  <c:numRef>
                    <c:extLst xmlns:c15="http://schemas.microsoft.com/office/drawing/2012/chart">
                      <c:ext xmlns:c15="http://schemas.microsoft.com/office/drawing/2012/chart" uri="{02D57815-91ED-43cb-92C2-25804820EDAC}">
                        <c15:formulaRef>
                          <c15:sqref>('8. Tư vấn tuyển sinh'!$G$10:$G$12,'8. Tư vấn tuyển sinh'!$G$14:$G$16)</c15:sqref>
                        </c15:formulaRef>
                      </c:ext>
                    </c:extLst>
                    <c:numCache>
                      <c:formatCode>General</c:formatCode>
                      <c:ptCount val="6"/>
                      <c:pt idx="0">
                        <c:v>0</c:v>
                      </c:pt>
                      <c:pt idx="1">
                        <c:v>0</c:v>
                      </c:pt>
                      <c:pt idx="2">
                        <c:v>0</c:v>
                      </c:pt>
                      <c:pt idx="3">
                        <c:v>0</c:v>
                      </c:pt>
                      <c:pt idx="4">
                        <c:v>0</c:v>
                      </c:pt>
                      <c:pt idx="5">
                        <c:v>0</c:v>
                      </c:pt>
                    </c:numCache>
                  </c:numRef>
                </c:val>
                <c:extLst xmlns:c15="http://schemas.microsoft.com/office/drawing/2012/chart">
                  <c:ext xmlns:c16="http://schemas.microsoft.com/office/drawing/2014/chart" uri="{C3380CC4-5D6E-409C-BE32-E72D297353CC}">
                    <c16:uniqueId val="{00000005-5CE9-4715-939F-8F7458C01CA4}"/>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'8. Tư vấn tuyển sinh'!$H$2</c15:sqref>
                        </c15:formulaRef>
                      </c:ext>
                    </c:extLst>
                    <c:strCache>
                      <c:ptCount val="1"/>
                      <c:pt idx="0">
                        <c:v>Tháng 02/2027</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('8. Tư vấn tuyển sinh'!$A$10:$A$12,'8. Tư vấn tuyển sinh'!$A$14:$A$16)</c15:sqref>
                        </c15:formulaRef>
                      </c:ext>
                    </c:extLst>
                    <c:strCache>
                      <c:ptCount val="6"/>
                      <c:pt idx="0">
                        <c:v>PTLC</c:v>
                      </c:pt>
                      <c:pt idx="1">
                        <c:v>MNBH</c:v>
                      </c:pt>
                      <c:pt idx="2">
                        <c:v>MNLK</c:v>
                      </c:pt>
                      <c:pt idx="3">
                        <c:v>PTLC</c:v>
                      </c:pt>
                      <c:pt idx="4">
                        <c:v>MNBH</c:v>
                      </c:pt>
                      <c:pt idx="5">
                        <c:v>MNLK</c:v>
                      </c:pt>
                    </c:strCache>
                  </c:strRef>
                </c:cat>
                <c:val>
                  <c:numRef>
                    <c:extLst xmlns:c15="http://schemas.microsoft.com/office/drawing/2012/chart">
                      <c:ext xmlns:c15="http://schemas.microsoft.com/office/drawing/2012/chart" uri="{02D57815-91ED-43cb-92C2-25804820EDAC}">
                        <c15:formulaRef>
                          <c15:sqref>('8. Tư vấn tuyển sinh'!$H$10:$H$12,'8. Tư vấn tuyển sinh'!$H$14:$H$16)</c15:sqref>
                        </c15:formulaRef>
                      </c:ext>
                    </c:extLst>
                    <c:numCache>
                      <c:formatCode>General</c:formatCode>
                      <c:ptCount val="6"/>
                      <c:pt idx="0">
                        <c:v>0</c:v>
                      </c:pt>
                      <c:pt idx="1">
                        <c:v>0</c:v>
                      </c:pt>
                      <c:pt idx="2">
                        <c:v>0</c:v>
                      </c:pt>
                      <c:pt idx="3">
                        <c:v>0</c:v>
                      </c:pt>
                      <c:pt idx="4">
                        <c:v>0</c:v>
                      </c:pt>
                      <c:pt idx="5">
                        <c:v>0</c:v>
                      </c:pt>
                    </c:numCache>
                  </c:numRef>
                </c:val>
                <c:extLst xmlns:c15="http://schemas.microsoft.com/office/drawing/2012/chart">
                  <c:ext xmlns:c16="http://schemas.microsoft.com/office/drawing/2014/chart" uri="{C3380CC4-5D6E-409C-BE32-E72D297353CC}">
                    <c16:uniqueId val="{00000006-5CE9-4715-939F-8F7458C01CA4}"/>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'8. Tư vấn tuyển sinh'!$I$2</c15:sqref>
                        </c15:formulaRef>
                      </c:ext>
                    </c:extLst>
                    <c:strCache>
                      <c:ptCount val="1"/>
                      <c:pt idx="0">
                        <c:v>Tháng 03/2027</c:v>
                      </c:pt>
                    </c:strCache>
                  </c:strRef>
                </c:tx>
                <c:spPr>
                  <a:solidFill>
                    <a:schemeClr val="accent2">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('8. Tư vấn tuyển sinh'!$A$10:$A$12,'8. Tư vấn tuyển sinh'!$A$14:$A$16)</c15:sqref>
                        </c15:formulaRef>
                      </c:ext>
                    </c:extLst>
                    <c:strCache>
                      <c:ptCount val="6"/>
                      <c:pt idx="0">
                        <c:v>PTLC</c:v>
                      </c:pt>
                      <c:pt idx="1">
                        <c:v>MNBH</c:v>
                      </c:pt>
                      <c:pt idx="2">
                        <c:v>MNLK</c:v>
                      </c:pt>
                      <c:pt idx="3">
                        <c:v>PTLC</c:v>
                      </c:pt>
                      <c:pt idx="4">
                        <c:v>MNBH</c:v>
                      </c:pt>
                      <c:pt idx="5">
                        <c:v>MNLK</c:v>
                      </c:pt>
                    </c:strCache>
                  </c:strRef>
                </c:cat>
                <c:val>
                  <c:numRef>
                    <c:extLst xmlns:c15="http://schemas.microsoft.com/office/drawing/2012/chart">
                      <c:ext xmlns:c15="http://schemas.microsoft.com/office/drawing/2012/chart" uri="{02D57815-91ED-43cb-92C2-25804820EDAC}">
                        <c15:formulaRef>
                          <c15:sqref>('8. Tư vấn tuyển sinh'!$I$10:$I$12,'8. Tư vấn tuyển sinh'!$I$14:$I$16)</c15:sqref>
                        </c15:formulaRef>
                      </c:ext>
                    </c:extLst>
                    <c:numCache>
                      <c:formatCode>General</c:formatCode>
                      <c:ptCount val="6"/>
                      <c:pt idx="0">
                        <c:v>0</c:v>
                      </c:pt>
                      <c:pt idx="1">
                        <c:v>0</c:v>
                      </c:pt>
                      <c:pt idx="2">
                        <c:v>0</c:v>
                      </c:pt>
                      <c:pt idx="3">
                        <c:v>0</c:v>
                      </c:pt>
                      <c:pt idx="4">
                        <c:v>0</c:v>
                      </c:pt>
                      <c:pt idx="5">
                        <c:v>0</c:v>
                      </c:pt>
                    </c:numCache>
                  </c:numRef>
                </c:val>
                <c:extLst xmlns:c15="http://schemas.microsoft.com/office/drawing/2012/chart">
                  <c:ext xmlns:c16="http://schemas.microsoft.com/office/drawing/2014/chart" uri="{C3380CC4-5D6E-409C-BE32-E72D297353CC}">
                    <c16:uniqueId val="{00000007-5CE9-4715-939F-8F7458C01CA4}"/>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'8. Tư vấn tuyển sinh'!$J$2</c15:sqref>
                        </c15:formulaRef>
                      </c:ext>
                    </c:extLst>
                    <c:strCache>
                      <c:ptCount val="1"/>
                      <c:pt idx="0">
                        <c:v>Tháng 04/2027</c:v>
                      </c:pt>
                    </c:strCache>
                  </c:strRef>
                </c:tx>
                <c:spPr>
                  <a:solidFill>
                    <a:schemeClr val="accent3">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('8. Tư vấn tuyển sinh'!$A$10:$A$12,'8. Tư vấn tuyển sinh'!$A$14:$A$16)</c15:sqref>
                        </c15:formulaRef>
                      </c:ext>
                    </c:extLst>
                    <c:strCache>
                      <c:ptCount val="6"/>
                      <c:pt idx="0">
                        <c:v>PTLC</c:v>
                      </c:pt>
                      <c:pt idx="1">
                        <c:v>MNBH</c:v>
                      </c:pt>
                      <c:pt idx="2">
                        <c:v>MNLK</c:v>
                      </c:pt>
                      <c:pt idx="3">
                        <c:v>PTLC</c:v>
                      </c:pt>
                      <c:pt idx="4">
                        <c:v>MNBH</c:v>
                      </c:pt>
                      <c:pt idx="5">
                        <c:v>MNLK</c:v>
                      </c:pt>
                    </c:strCache>
                  </c:strRef>
                </c:cat>
                <c:val>
                  <c:numRef>
                    <c:extLst xmlns:c15="http://schemas.microsoft.com/office/drawing/2012/chart">
                      <c:ext xmlns:c15="http://schemas.microsoft.com/office/drawing/2012/chart" uri="{02D57815-91ED-43cb-92C2-25804820EDAC}">
                        <c15:formulaRef>
                          <c15:sqref>('8. Tư vấn tuyển sinh'!$J$10:$J$12,'8. Tư vấn tuyển sinh'!$J$14:$J$16)</c15:sqref>
                        </c15:formulaRef>
                      </c:ext>
                    </c:extLst>
                    <c:numCache>
                      <c:formatCode>General</c:formatCode>
                      <c:ptCount val="6"/>
                      <c:pt idx="0">
                        <c:v>0</c:v>
                      </c:pt>
                      <c:pt idx="1">
                        <c:v>0</c:v>
                      </c:pt>
                      <c:pt idx="2">
                        <c:v>0</c:v>
                      </c:pt>
                      <c:pt idx="3">
                        <c:v>0</c:v>
                      </c:pt>
                      <c:pt idx="4">
                        <c:v>0</c:v>
                      </c:pt>
                      <c:pt idx="5">
                        <c:v>0</c:v>
                      </c:pt>
                    </c:numCache>
                  </c:numRef>
                </c:val>
                <c:extLst xmlns:c15="http://schemas.microsoft.com/office/drawing/2012/chart">
                  <c:ext xmlns:c16="http://schemas.microsoft.com/office/drawing/2014/chart" uri="{C3380CC4-5D6E-409C-BE32-E72D297353CC}">
                    <c16:uniqueId val="{00000008-5CE9-4715-939F-8F7458C01CA4}"/>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'8. Tư vấn tuyển sinh'!$K$2</c15:sqref>
                        </c15:formulaRef>
                      </c:ext>
                    </c:extLst>
                    <c:strCache>
                      <c:ptCount val="1"/>
                      <c:pt idx="0">
                        <c:v>Tháng 05/2027</c:v>
                      </c:pt>
                    </c:strCache>
                  </c:strRef>
                </c:tx>
                <c:spPr>
                  <a:solidFill>
                    <a:schemeClr val="accent4">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('8. Tư vấn tuyển sinh'!$A$10:$A$12,'8. Tư vấn tuyển sinh'!$A$14:$A$16)</c15:sqref>
                        </c15:formulaRef>
                      </c:ext>
                    </c:extLst>
                    <c:strCache>
                      <c:ptCount val="6"/>
                      <c:pt idx="0">
                        <c:v>PTLC</c:v>
                      </c:pt>
                      <c:pt idx="1">
                        <c:v>MNBH</c:v>
                      </c:pt>
                      <c:pt idx="2">
                        <c:v>MNLK</c:v>
                      </c:pt>
                      <c:pt idx="3">
                        <c:v>PTLC</c:v>
                      </c:pt>
                      <c:pt idx="4">
                        <c:v>MNBH</c:v>
                      </c:pt>
                      <c:pt idx="5">
                        <c:v>MNLK</c:v>
                      </c:pt>
                    </c:strCache>
                  </c:strRef>
                </c:cat>
                <c:val>
                  <c:numRef>
                    <c:extLst xmlns:c15="http://schemas.microsoft.com/office/drawing/2012/chart">
                      <c:ext xmlns:c15="http://schemas.microsoft.com/office/drawing/2012/chart" uri="{02D57815-91ED-43cb-92C2-25804820EDAC}">
                        <c15:formulaRef>
                          <c15:sqref>('8. Tư vấn tuyển sinh'!$K$10:$K$12,'8. Tư vấn tuyển sinh'!$K$14:$K$16)</c15:sqref>
                        </c15:formulaRef>
                      </c:ext>
                    </c:extLst>
                    <c:numCache>
                      <c:formatCode>General</c:formatCode>
                      <c:ptCount val="6"/>
                      <c:pt idx="0">
                        <c:v>0</c:v>
                      </c:pt>
                      <c:pt idx="1">
                        <c:v>0</c:v>
                      </c:pt>
                      <c:pt idx="2">
                        <c:v>0</c:v>
                      </c:pt>
                      <c:pt idx="3">
                        <c:v>0</c:v>
                      </c:pt>
                      <c:pt idx="4">
                        <c:v>0</c:v>
                      </c:pt>
                      <c:pt idx="5">
                        <c:v>0</c:v>
                      </c:pt>
                    </c:numCache>
                  </c:numRef>
                </c:val>
                <c:extLst xmlns:c15="http://schemas.microsoft.com/office/drawing/2012/chart">
                  <c:ext xmlns:c16="http://schemas.microsoft.com/office/drawing/2014/chart" uri="{C3380CC4-5D6E-409C-BE32-E72D297353CC}">
                    <c16:uniqueId val="{00000009-5CE9-4715-939F-8F7458C01CA4}"/>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'8. Tư vấn tuyển sinh'!$L$2</c15:sqref>
                        </c15:formulaRef>
                      </c:ext>
                    </c:extLst>
                    <c:strCache>
                      <c:ptCount val="1"/>
                      <c:pt idx="0">
                        <c:v>Tháng 06/2027</c:v>
                      </c:pt>
                    </c:strCache>
                  </c:strRef>
                </c:tx>
                <c:spPr>
                  <a:solidFill>
                    <a:schemeClr val="accent5">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('8. Tư vấn tuyển sinh'!$A$10:$A$12,'8. Tư vấn tuyển sinh'!$A$14:$A$16)</c15:sqref>
                        </c15:formulaRef>
                      </c:ext>
                    </c:extLst>
                    <c:strCache>
                      <c:ptCount val="6"/>
                      <c:pt idx="0">
                        <c:v>PTLC</c:v>
                      </c:pt>
                      <c:pt idx="1">
                        <c:v>MNBH</c:v>
                      </c:pt>
                      <c:pt idx="2">
                        <c:v>MNLK</c:v>
                      </c:pt>
                      <c:pt idx="3">
                        <c:v>PTLC</c:v>
                      </c:pt>
                      <c:pt idx="4">
                        <c:v>MNBH</c:v>
                      </c:pt>
                      <c:pt idx="5">
                        <c:v>MNLK</c:v>
                      </c:pt>
                    </c:strCache>
                  </c:strRef>
                </c:cat>
                <c:val>
                  <c:numRef>
                    <c:extLst xmlns:c15="http://schemas.microsoft.com/office/drawing/2012/chart">
                      <c:ext xmlns:c15="http://schemas.microsoft.com/office/drawing/2012/chart" uri="{02D57815-91ED-43cb-92C2-25804820EDAC}">
                        <c15:formulaRef>
                          <c15:sqref>('8. Tư vấn tuyển sinh'!$L$10:$L$12,'8. Tư vấn tuyển sinh'!$L$14:$L$16)</c15:sqref>
                        </c15:formulaRef>
                      </c:ext>
                    </c:extLst>
                    <c:numCache>
                      <c:formatCode>General</c:formatCode>
                      <c:ptCount val="6"/>
                      <c:pt idx="0">
                        <c:v>0</c:v>
                      </c:pt>
                      <c:pt idx="1">
                        <c:v>0</c:v>
                      </c:pt>
                      <c:pt idx="2">
                        <c:v>0</c:v>
                      </c:pt>
                      <c:pt idx="3">
                        <c:v>0</c:v>
                      </c:pt>
                      <c:pt idx="4">
                        <c:v>0</c:v>
                      </c:pt>
                      <c:pt idx="5">
                        <c:v>0</c:v>
                      </c:pt>
                    </c:numCache>
                  </c:numRef>
                </c:val>
                <c:extLst xmlns:c15="http://schemas.microsoft.com/office/drawing/2012/chart">
                  <c:ext xmlns:c16="http://schemas.microsoft.com/office/drawing/2014/chart" uri="{C3380CC4-5D6E-409C-BE32-E72D297353CC}">
                    <c16:uniqueId val="{0000000A-5CE9-4715-939F-8F7458C01CA4}"/>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'8. Tư vấn tuyển sinh'!$M$2</c15:sqref>
                        </c15:formulaRef>
                      </c:ext>
                    </c:extLst>
                    <c:strCache>
                      <c:ptCount val="1"/>
                      <c:pt idx="0">
                        <c:v>Tháng 07/2027</c:v>
                      </c:pt>
                    </c:strCache>
                  </c:strRef>
                </c:tx>
                <c:spPr>
                  <a:solidFill>
                    <a:schemeClr val="accent6">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('8. Tư vấn tuyển sinh'!$A$10:$A$12,'8. Tư vấn tuyển sinh'!$A$14:$A$16)</c15:sqref>
                        </c15:formulaRef>
                      </c:ext>
                    </c:extLst>
                    <c:strCache>
                      <c:ptCount val="6"/>
                      <c:pt idx="0">
                        <c:v>PTLC</c:v>
                      </c:pt>
                      <c:pt idx="1">
                        <c:v>MNBH</c:v>
                      </c:pt>
                      <c:pt idx="2">
                        <c:v>MNLK</c:v>
                      </c:pt>
                      <c:pt idx="3">
                        <c:v>PTLC</c:v>
                      </c:pt>
                      <c:pt idx="4">
                        <c:v>MNBH</c:v>
                      </c:pt>
                      <c:pt idx="5">
                        <c:v>MNLK</c:v>
                      </c:pt>
                    </c:strCache>
                  </c:strRef>
                </c:cat>
                <c:val>
                  <c:numRef>
                    <c:extLst xmlns:c15="http://schemas.microsoft.com/office/drawing/2012/chart">
                      <c:ext xmlns:c15="http://schemas.microsoft.com/office/drawing/2012/chart" uri="{02D57815-91ED-43cb-92C2-25804820EDAC}">
                        <c15:formulaRef>
                          <c15:sqref>('8. Tư vấn tuyển sinh'!$M$10:$M$12,'8. Tư vấn tuyển sinh'!$M$14:$M$16)</c15:sqref>
                        </c15:formulaRef>
                      </c:ext>
                    </c:extLst>
                    <c:numCache>
                      <c:formatCode>General</c:formatCode>
                      <c:ptCount val="6"/>
                      <c:pt idx="0">
                        <c:v>0</c:v>
                      </c:pt>
                      <c:pt idx="1">
                        <c:v>0</c:v>
                      </c:pt>
                      <c:pt idx="2">
                        <c:v>0</c:v>
                      </c:pt>
                      <c:pt idx="3">
                        <c:v>0</c:v>
                      </c:pt>
                      <c:pt idx="4">
                        <c:v>0</c:v>
                      </c:pt>
                      <c:pt idx="5">
                        <c:v>0</c:v>
                      </c:pt>
                    </c:numCache>
                  </c:numRef>
                </c:val>
                <c:extLst xmlns:c15="http://schemas.microsoft.com/office/drawing/2012/chart">
                  <c:ext xmlns:c16="http://schemas.microsoft.com/office/drawing/2014/chart" uri="{C3380CC4-5D6E-409C-BE32-E72D297353CC}">
                    <c16:uniqueId val="{0000000B-5CE9-4715-939F-8F7458C01CA4}"/>
                  </c:ext>
                </c:extLst>
              </c15:ser>
            </c15:filteredBarSeries>
          </c:ext>
        </c:extLst>
      </c:barChart>
      <c:catAx>
        <c:axId val="54827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51526255"/>
        <c:crosses val="autoZero"/>
        <c:auto val="1"/>
        <c:lblAlgn val="ctr"/>
        <c:lblOffset val="100"/>
        <c:noMultiLvlLbl val="0"/>
      </c:catAx>
      <c:valAx>
        <c:axId val="4515262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4827555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US"/>
              <a:t>Tỷ</a:t>
            </a:r>
            <a:r>
              <a:rPr lang="en-US" baseline="0"/>
              <a:t> lệ chuyển đổi học sinh</a:t>
            </a:r>
            <a:endParaRPr lang="en-US"/>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lotArea>
      <c:layout/>
      <c:lineChart>
        <c:grouping val="standard"/>
        <c:varyColors val="0"/>
        <c:ser>
          <c:idx val="0"/>
          <c:order val="0"/>
          <c:tx>
            <c:strRef>
              <c:f>'8. Tư vấn tuyển sinh'!$B$2</c:f>
              <c:strCache>
                <c:ptCount val="1"/>
                <c:pt idx="0">
                  <c:v>Tháng 08/2026</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 Tư vấn tuyển sinh'!$A$18:$A$20</c:f>
              <c:strCache>
                <c:ptCount val="3"/>
                <c:pt idx="0">
                  <c:v>PTLC</c:v>
                </c:pt>
                <c:pt idx="1">
                  <c:v>MNBH</c:v>
                </c:pt>
                <c:pt idx="2">
                  <c:v>MNLK</c:v>
                </c:pt>
              </c:strCache>
            </c:strRef>
          </c:cat>
          <c:val>
            <c:numRef>
              <c:f>'8. Tư vấn tuyển sinh'!$B$18:$B$20</c:f>
              <c:numCache>
                <c:formatCode>0.00%</c:formatCode>
                <c:ptCount val="3"/>
                <c:pt idx="0">
                  <c:v>0.3</c:v>
                </c:pt>
                <c:pt idx="1">
                  <c:v>0.1111</c:v>
                </c:pt>
                <c:pt idx="2">
                  <c:v>4.3200000000000002E-2</c:v>
                </c:pt>
              </c:numCache>
            </c:numRef>
          </c:val>
          <c:smooth val="0"/>
          <c:extLst>
            <c:ext xmlns:c16="http://schemas.microsoft.com/office/drawing/2014/chart" uri="{C3380CC4-5D6E-409C-BE32-E72D297353CC}">
              <c16:uniqueId val="{00000000-DACA-4C08-8B44-DDEF78D66387}"/>
            </c:ext>
          </c:extLst>
        </c:ser>
        <c:ser>
          <c:idx val="1"/>
          <c:order val="1"/>
          <c:tx>
            <c:strRef>
              <c:f>'8. Tư vấn tuyển sinh'!$C$2</c:f>
              <c:strCache>
                <c:ptCount val="1"/>
                <c:pt idx="0">
                  <c:v>Tháng 09/2026</c:v>
                </c:pt>
              </c:strCache>
            </c:strRef>
          </c:tx>
          <c:spPr>
            <a:ln w="28575" cap="rnd">
              <a:solidFill>
                <a:schemeClr val="accent2"/>
              </a:solidFill>
              <a:round/>
            </a:ln>
            <a:effectLst/>
          </c:spPr>
          <c:marker>
            <c:symbol val="none"/>
          </c:marker>
          <c:dLbls>
            <c:dLbl>
              <c:idx val="1"/>
              <c:layout>
                <c:manualLayout>
                  <c:x val="-0.13164708831706642"/>
                  <c:y val="6.079813105587683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DACA-4C08-8B44-DDEF78D66387}"/>
                </c:ext>
              </c:extLst>
            </c:dLbl>
            <c:spPr>
              <a:noFill/>
              <a:ln>
                <a:noFill/>
              </a:ln>
              <a:effectLst/>
            </c:spPr>
            <c:txPr>
              <a:bodyPr rot="0" spcFirstLastPara="1" vertOverflow="ellipsis" vert="horz" wrap="square" anchor="ctr" anchorCtr="1"/>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'8. Tư vấn tuyển sinh'!$A$18:$A$20</c:f>
              <c:strCache>
                <c:ptCount val="3"/>
                <c:pt idx="0">
                  <c:v>PTLC</c:v>
                </c:pt>
                <c:pt idx="1">
                  <c:v>MNBH</c:v>
                </c:pt>
                <c:pt idx="2">
                  <c:v>MNLK</c:v>
                </c:pt>
              </c:strCache>
            </c:strRef>
          </c:cat>
          <c:val>
            <c:numRef>
              <c:f>'8. Tư vấn tuyển sinh'!$C$18:$C$20</c:f>
              <c:numCache>
                <c:formatCode>0.00%</c:formatCode>
                <c:ptCount val="3"/>
                <c:pt idx="0">
                  <c:v>0.1739</c:v>
                </c:pt>
                <c:pt idx="1">
                  <c:v>9.0899999999999995E-2</c:v>
                </c:pt>
                <c:pt idx="2">
                  <c:v>0.16389999999999999</c:v>
                </c:pt>
              </c:numCache>
            </c:numRef>
          </c:val>
          <c:smooth val="0"/>
          <c:extLst>
            <c:ext xmlns:c16="http://schemas.microsoft.com/office/drawing/2014/chart" uri="{C3380CC4-5D6E-409C-BE32-E72D297353CC}">
              <c16:uniqueId val="{00000001-DACA-4C08-8B44-DDEF78D66387}"/>
            </c:ext>
          </c:extLst>
        </c:ser>
        <c:dLbls>
          <c:dLblPos val="t"/>
          <c:showLegendKey val="0"/>
          <c:showVal val="1"/>
          <c:showCatName val="0"/>
          <c:showSerName val="0"/>
          <c:showPercent val="0"/>
          <c:showBubbleSize val="0"/>
        </c:dLbls>
        <c:smooth val="0"/>
        <c:axId val="2134122864"/>
        <c:axId val="451542575"/>
        <c:extLst>
          <c:ext xmlns:c15="http://schemas.microsoft.com/office/drawing/2012/chart" uri="{02D57815-91ED-43cb-92C2-25804820EDAC}">
            <c15:filteredLineSeries>
              <c15:ser>
                <c:idx val="2"/>
                <c:order val="2"/>
                <c:tx>
                  <c:strRef>
                    <c:extLst>
                      <c:ext uri="{02D57815-91ED-43cb-92C2-25804820EDAC}">
                        <c15:formulaRef>
                          <c15:sqref>'8. Tư vấn tuyển sinh'!$D$2</c15:sqref>
                        </c15:formulaRef>
                      </c:ext>
                    </c:extLst>
                    <c:strCache>
                      <c:ptCount val="1"/>
                      <c:pt idx="0">
                        <c:v>Tháng 10/2026</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'8. Tư vấn tuyển sinh'!$A$18:$A$20</c15:sqref>
                        </c15:formulaRef>
                      </c:ext>
                    </c:extLst>
                    <c:strCache>
                      <c:ptCount val="3"/>
                      <c:pt idx="0">
                        <c:v>PTLC</c:v>
                      </c:pt>
                      <c:pt idx="1">
                        <c:v>MNBH</c:v>
                      </c:pt>
                      <c:pt idx="2">
                        <c:v>MNLK</c:v>
                      </c:pt>
                    </c:strCache>
                  </c:strRef>
                </c:cat>
                <c:val>
                  <c:numRef>
                    <c:extLst>
                      <c:ext uri="{02D57815-91ED-43cb-92C2-25804820EDAC}">
                        <c15:formulaRef>
                          <c15:sqref>'8. Tư vấn tuyển sinh'!$D$18:$D$20</c15:sqref>
                        </c15:formulaRef>
                      </c:ext>
                    </c:extLst>
                    <c:numCache>
                      <c:formatCode>0%</c:formatCode>
                      <c:ptCount val="3"/>
                      <c:pt idx="0">
                        <c:v>0</c:v>
                      </c:pt>
                      <c:pt idx="1">
                        <c:v>0.5</c:v>
                      </c:pt>
                      <c:pt idx="2">
                        <c:v>0</c:v>
                      </c:pt>
                    </c:numCache>
                  </c:numRef>
                </c:val>
                <c:smooth val="0"/>
                <c:extLst>
                  <c:ext xmlns:c16="http://schemas.microsoft.com/office/drawing/2014/chart" uri="{C3380CC4-5D6E-409C-BE32-E72D297353CC}">
                    <c16:uniqueId val="{00000002-DACA-4C08-8B44-DDEF78D66387}"/>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'8. Tư vấn tuyển sinh'!$E$2</c15:sqref>
                        </c15:formulaRef>
                      </c:ext>
                    </c:extLst>
                    <c:strCache>
                      <c:ptCount val="1"/>
                      <c:pt idx="0">
                        <c:v>Tháng 11/2026</c:v>
                      </c:pt>
                    </c:strCache>
                  </c:strRef>
                </c:tx>
                <c:spPr>
                  <a:ln w="28575" cap="rnd">
                    <a:solidFill>
                      <a:schemeClr val="accent4"/>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'8. Tư vấn tuyển sinh'!$A$18:$A$20</c15:sqref>
                        </c15:formulaRef>
                      </c:ext>
                    </c:extLst>
                    <c:strCache>
                      <c:ptCount val="3"/>
                      <c:pt idx="0">
                        <c:v>PTLC</c:v>
                      </c:pt>
                      <c:pt idx="1">
                        <c:v>MNBH</c:v>
                      </c:pt>
                      <c:pt idx="2">
                        <c:v>MNLK</c:v>
                      </c:pt>
                    </c:strCache>
                  </c:strRef>
                </c:cat>
                <c:val>
                  <c:numRef>
                    <c:extLst xmlns:c15="http://schemas.microsoft.com/office/drawing/2012/chart">
                      <c:ext xmlns:c15="http://schemas.microsoft.com/office/drawing/2012/chart" uri="{02D57815-91ED-43cb-92C2-25804820EDAC}">
                        <c15:formulaRef>
                          <c15:sqref>'8. Tư vấn tuyển sinh'!$E$18:$E$20</c15:sqref>
                        </c15:formulaRef>
                      </c:ext>
                    </c:extLst>
                    <c:numCache>
                      <c:formatCode>General</c:formatCode>
                      <c:ptCount val="3"/>
                    </c:numCache>
                  </c:numRef>
                </c:val>
                <c:smooth val="0"/>
                <c:extLst xmlns:c15="http://schemas.microsoft.com/office/drawing/2012/chart">
                  <c:ext xmlns:c16="http://schemas.microsoft.com/office/drawing/2014/chart" uri="{C3380CC4-5D6E-409C-BE32-E72D297353CC}">
                    <c16:uniqueId val="{00000003-DACA-4C08-8B44-DDEF78D66387}"/>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'8. Tư vấn tuyển sinh'!$F$2</c15:sqref>
                        </c15:formulaRef>
                      </c:ext>
                    </c:extLst>
                    <c:strCache>
                      <c:ptCount val="1"/>
                      <c:pt idx="0">
                        <c:v>Tháng 12/2026</c:v>
                      </c:pt>
                    </c:strCache>
                  </c:strRef>
                </c:tx>
                <c:spPr>
                  <a:ln w="28575" cap="rnd">
                    <a:solidFill>
                      <a:schemeClr val="accent5"/>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'8. Tư vấn tuyển sinh'!$A$18:$A$20</c15:sqref>
                        </c15:formulaRef>
                      </c:ext>
                    </c:extLst>
                    <c:strCache>
                      <c:ptCount val="3"/>
                      <c:pt idx="0">
                        <c:v>PTLC</c:v>
                      </c:pt>
                      <c:pt idx="1">
                        <c:v>MNBH</c:v>
                      </c:pt>
                      <c:pt idx="2">
                        <c:v>MNLK</c:v>
                      </c:pt>
                    </c:strCache>
                  </c:strRef>
                </c:cat>
                <c:val>
                  <c:numRef>
                    <c:extLst xmlns:c15="http://schemas.microsoft.com/office/drawing/2012/chart">
                      <c:ext xmlns:c15="http://schemas.microsoft.com/office/drawing/2012/chart" uri="{02D57815-91ED-43cb-92C2-25804820EDAC}">
                        <c15:formulaRef>
                          <c15:sqref>'8. Tư vấn tuyển sinh'!$F$18:$F$20</c15:sqref>
                        </c15:formulaRef>
                      </c:ext>
                    </c:extLst>
                    <c:numCache>
                      <c:formatCode>General</c:formatCode>
                      <c:ptCount val="3"/>
                    </c:numCache>
                  </c:numRef>
                </c:val>
                <c:smooth val="0"/>
                <c:extLst xmlns:c15="http://schemas.microsoft.com/office/drawing/2012/chart">
                  <c:ext xmlns:c16="http://schemas.microsoft.com/office/drawing/2014/chart" uri="{C3380CC4-5D6E-409C-BE32-E72D297353CC}">
                    <c16:uniqueId val="{00000004-DACA-4C08-8B44-DDEF78D66387}"/>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'8. Tư vấn tuyển sinh'!$G$2</c15:sqref>
                        </c15:formulaRef>
                      </c:ext>
                    </c:extLst>
                    <c:strCache>
                      <c:ptCount val="1"/>
                      <c:pt idx="0">
                        <c:v>Tháng 01/2027</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'8. Tư vấn tuyển sinh'!$A$18:$A$20</c15:sqref>
                        </c15:formulaRef>
                      </c:ext>
                    </c:extLst>
                    <c:strCache>
                      <c:ptCount val="3"/>
                      <c:pt idx="0">
                        <c:v>PTLC</c:v>
                      </c:pt>
                      <c:pt idx="1">
                        <c:v>MNBH</c:v>
                      </c:pt>
                      <c:pt idx="2">
                        <c:v>MNLK</c:v>
                      </c:pt>
                    </c:strCache>
                  </c:strRef>
                </c:cat>
                <c:val>
                  <c:numRef>
                    <c:extLst xmlns:c15="http://schemas.microsoft.com/office/drawing/2012/chart">
                      <c:ext xmlns:c15="http://schemas.microsoft.com/office/drawing/2012/chart" uri="{02D57815-91ED-43cb-92C2-25804820EDAC}">
                        <c15:formulaRef>
                          <c15:sqref>'8. Tư vấn tuyển sinh'!$G$18:$G$20</c15:sqref>
                        </c15:formulaRef>
                      </c:ext>
                    </c:extLst>
                    <c:numCache>
                      <c:formatCode>General</c:formatCode>
                      <c:ptCount val="3"/>
                    </c:numCache>
                  </c:numRef>
                </c:val>
                <c:smooth val="0"/>
                <c:extLst xmlns:c15="http://schemas.microsoft.com/office/drawing/2012/chart">
                  <c:ext xmlns:c16="http://schemas.microsoft.com/office/drawing/2014/chart" uri="{C3380CC4-5D6E-409C-BE32-E72D297353CC}">
                    <c16:uniqueId val="{00000005-DACA-4C08-8B44-DDEF78D66387}"/>
                  </c:ext>
                </c:extLst>
              </c15:ser>
            </c15:filteredLineSeries>
            <c15:filteredLineSeries>
              <c15:ser>
                <c:idx val="6"/>
                <c:order val="6"/>
                <c:tx>
                  <c:strRef>
                    <c:extLst xmlns:c15="http://schemas.microsoft.com/office/drawing/2012/chart">
                      <c:ext xmlns:c15="http://schemas.microsoft.com/office/drawing/2012/chart" uri="{02D57815-91ED-43cb-92C2-25804820EDAC}">
                        <c15:formulaRef>
                          <c15:sqref>'8. Tư vấn tuyển sinh'!$H$2</c15:sqref>
                        </c15:formulaRef>
                      </c:ext>
                    </c:extLst>
                    <c:strCache>
                      <c:ptCount val="1"/>
                      <c:pt idx="0">
                        <c:v>Tháng 02/2027</c:v>
                      </c:pt>
                    </c:strCache>
                  </c:strRef>
                </c:tx>
                <c:spPr>
                  <a:ln w="28575" cap="rnd">
                    <a:solidFill>
                      <a:schemeClr val="accent1">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'8. Tư vấn tuyển sinh'!$A$18:$A$20</c15:sqref>
                        </c15:formulaRef>
                      </c:ext>
                    </c:extLst>
                    <c:strCache>
                      <c:ptCount val="3"/>
                      <c:pt idx="0">
                        <c:v>PTLC</c:v>
                      </c:pt>
                      <c:pt idx="1">
                        <c:v>MNBH</c:v>
                      </c:pt>
                      <c:pt idx="2">
                        <c:v>MNLK</c:v>
                      </c:pt>
                    </c:strCache>
                  </c:strRef>
                </c:cat>
                <c:val>
                  <c:numRef>
                    <c:extLst xmlns:c15="http://schemas.microsoft.com/office/drawing/2012/chart">
                      <c:ext xmlns:c15="http://schemas.microsoft.com/office/drawing/2012/chart" uri="{02D57815-91ED-43cb-92C2-25804820EDAC}">
                        <c15:formulaRef>
                          <c15:sqref>'8. Tư vấn tuyển sinh'!$H$18:$H$20</c15:sqref>
                        </c15:formulaRef>
                      </c:ext>
                    </c:extLst>
                    <c:numCache>
                      <c:formatCode>General</c:formatCode>
                      <c:ptCount val="3"/>
                    </c:numCache>
                  </c:numRef>
                </c:val>
                <c:smooth val="0"/>
                <c:extLst xmlns:c15="http://schemas.microsoft.com/office/drawing/2012/chart">
                  <c:ext xmlns:c16="http://schemas.microsoft.com/office/drawing/2014/chart" uri="{C3380CC4-5D6E-409C-BE32-E72D297353CC}">
                    <c16:uniqueId val="{00000006-DACA-4C08-8B44-DDEF78D66387}"/>
                  </c:ext>
                </c:extLst>
              </c15:ser>
            </c15:filteredLineSeries>
            <c15:filteredLineSeries>
              <c15:ser>
                <c:idx val="7"/>
                <c:order val="7"/>
                <c:tx>
                  <c:strRef>
                    <c:extLst xmlns:c15="http://schemas.microsoft.com/office/drawing/2012/chart">
                      <c:ext xmlns:c15="http://schemas.microsoft.com/office/drawing/2012/chart" uri="{02D57815-91ED-43cb-92C2-25804820EDAC}">
                        <c15:formulaRef>
                          <c15:sqref>'8. Tư vấn tuyển sinh'!$I$2</c15:sqref>
                        </c15:formulaRef>
                      </c:ext>
                    </c:extLst>
                    <c:strCache>
                      <c:ptCount val="1"/>
                      <c:pt idx="0">
                        <c:v>Tháng 03/2027</c:v>
                      </c:pt>
                    </c:strCache>
                  </c:strRef>
                </c:tx>
                <c:spPr>
                  <a:ln w="28575" cap="rnd">
                    <a:solidFill>
                      <a:schemeClr val="accent2">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'8. Tư vấn tuyển sinh'!$A$18:$A$20</c15:sqref>
                        </c15:formulaRef>
                      </c:ext>
                    </c:extLst>
                    <c:strCache>
                      <c:ptCount val="3"/>
                      <c:pt idx="0">
                        <c:v>PTLC</c:v>
                      </c:pt>
                      <c:pt idx="1">
                        <c:v>MNBH</c:v>
                      </c:pt>
                      <c:pt idx="2">
                        <c:v>MNLK</c:v>
                      </c:pt>
                    </c:strCache>
                  </c:strRef>
                </c:cat>
                <c:val>
                  <c:numRef>
                    <c:extLst xmlns:c15="http://schemas.microsoft.com/office/drawing/2012/chart">
                      <c:ext xmlns:c15="http://schemas.microsoft.com/office/drawing/2012/chart" uri="{02D57815-91ED-43cb-92C2-25804820EDAC}">
                        <c15:formulaRef>
                          <c15:sqref>'8. Tư vấn tuyển sinh'!$I$18:$I$20</c15:sqref>
                        </c15:formulaRef>
                      </c:ext>
                    </c:extLst>
                    <c:numCache>
                      <c:formatCode>General</c:formatCode>
                      <c:ptCount val="3"/>
                    </c:numCache>
                  </c:numRef>
                </c:val>
                <c:smooth val="0"/>
                <c:extLst xmlns:c15="http://schemas.microsoft.com/office/drawing/2012/chart">
                  <c:ext xmlns:c16="http://schemas.microsoft.com/office/drawing/2014/chart" uri="{C3380CC4-5D6E-409C-BE32-E72D297353CC}">
                    <c16:uniqueId val="{00000007-DACA-4C08-8B44-DDEF78D66387}"/>
                  </c:ext>
                </c:extLst>
              </c15:ser>
            </c15:filteredLineSeries>
            <c15:filteredLineSeries>
              <c15:ser>
                <c:idx val="8"/>
                <c:order val="8"/>
                <c:tx>
                  <c:strRef>
                    <c:extLst xmlns:c15="http://schemas.microsoft.com/office/drawing/2012/chart">
                      <c:ext xmlns:c15="http://schemas.microsoft.com/office/drawing/2012/chart" uri="{02D57815-91ED-43cb-92C2-25804820EDAC}">
                        <c15:formulaRef>
                          <c15:sqref>'8. Tư vấn tuyển sinh'!$J$2</c15:sqref>
                        </c15:formulaRef>
                      </c:ext>
                    </c:extLst>
                    <c:strCache>
                      <c:ptCount val="1"/>
                      <c:pt idx="0">
                        <c:v>Tháng 04/2027</c:v>
                      </c:pt>
                    </c:strCache>
                  </c:strRef>
                </c:tx>
                <c:spPr>
                  <a:ln w="28575" cap="rnd">
                    <a:solidFill>
                      <a:schemeClr val="accent3">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'8. Tư vấn tuyển sinh'!$A$18:$A$20</c15:sqref>
                        </c15:formulaRef>
                      </c:ext>
                    </c:extLst>
                    <c:strCache>
                      <c:ptCount val="3"/>
                      <c:pt idx="0">
                        <c:v>PTLC</c:v>
                      </c:pt>
                      <c:pt idx="1">
                        <c:v>MNBH</c:v>
                      </c:pt>
                      <c:pt idx="2">
                        <c:v>MNLK</c:v>
                      </c:pt>
                    </c:strCache>
                  </c:strRef>
                </c:cat>
                <c:val>
                  <c:numRef>
                    <c:extLst xmlns:c15="http://schemas.microsoft.com/office/drawing/2012/chart">
                      <c:ext xmlns:c15="http://schemas.microsoft.com/office/drawing/2012/chart" uri="{02D57815-91ED-43cb-92C2-25804820EDAC}">
                        <c15:formulaRef>
                          <c15:sqref>'8. Tư vấn tuyển sinh'!$J$18:$J$20</c15:sqref>
                        </c15:formulaRef>
                      </c:ext>
                    </c:extLst>
                    <c:numCache>
                      <c:formatCode>General</c:formatCode>
                      <c:ptCount val="3"/>
                    </c:numCache>
                  </c:numRef>
                </c:val>
                <c:smooth val="0"/>
                <c:extLst xmlns:c15="http://schemas.microsoft.com/office/drawing/2012/chart">
                  <c:ext xmlns:c16="http://schemas.microsoft.com/office/drawing/2014/chart" uri="{C3380CC4-5D6E-409C-BE32-E72D297353CC}">
                    <c16:uniqueId val="{00000008-DACA-4C08-8B44-DDEF78D66387}"/>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'8. Tư vấn tuyển sinh'!$K$2</c15:sqref>
                        </c15:formulaRef>
                      </c:ext>
                    </c:extLst>
                    <c:strCache>
                      <c:ptCount val="1"/>
                      <c:pt idx="0">
                        <c:v>Tháng 05/2027</c:v>
                      </c:pt>
                    </c:strCache>
                  </c:strRef>
                </c:tx>
                <c:spPr>
                  <a:ln w="28575" cap="rnd">
                    <a:solidFill>
                      <a:schemeClr val="accent4">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'8. Tư vấn tuyển sinh'!$A$18:$A$20</c15:sqref>
                        </c15:formulaRef>
                      </c:ext>
                    </c:extLst>
                    <c:strCache>
                      <c:ptCount val="3"/>
                      <c:pt idx="0">
                        <c:v>PTLC</c:v>
                      </c:pt>
                      <c:pt idx="1">
                        <c:v>MNBH</c:v>
                      </c:pt>
                      <c:pt idx="2">
                        <c:v>MNLK</c:v>
                      </c:pt>
                    </c:strCache>
                  </c:strRef>
                </c:cat>
                <c:val>
                  <c:numRef>
                    <c:extLst xmlns:c15="http://schemas.microsoft.com/office/drawing/2012/chart">
                      <c:ext xmlns:c15="http://schemas.microsoft.com/office/drawing/2012/chart" uri="{02D57815-91ED-43cb-92C2-25804820EDAC}">
                        <c15:formulaRef>
                          <c15:sqref>'8. Tư vấn tuyển sinh'!$K$18:$K$20</c15:sqref>
                        </c15:formulaRef>
                      </c:ext>
                    </c:extLst>
                    <c:numCache>
                      <c:formatCode>General</c:formatCode>
                      <c:ptCount val="3"/>
                    </c:numCache>
                  </c:numRef>
                </c:val>
                <c:smooth val="0"/>
                <c:extLst xmlns:c15="http://schemas.microsoft.com/office/drawing/2012/chart">
                  <c:ext xmlns:c16="http://schemas.microsoft.com/office/drawing/2014/chart" uri="{C3380CC4-5D6E-409C-BE32-E72D297353CC}">
                    <c16:uniqueId val="{00000009-DACA-4C08-8B44-DDEF78D66387}"/>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'8. Tư vấn tuyển sinh'!$L$2</c15:sqref>
                        </c15:formulaRef>
                      </c:ext>
                    </c:extLst>
                    <c:strCache>
                      <c:ptCount val="1"/>
                      <c:pt idx="0">
                        <c:v>Tháng 06/2027</c:v>
                      </c:pt>
                    </c:strCache>
                  </c:strRef>
                </c:tx>
                <c:spPr>
                  <a:ln w="28575" cap="rnd">
                    <a:solidFill>
                      <a:schemeClr val="accent5">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'8. Tư vấn tuyển sinh'!$A$18:$A$20</c15:sqref>
                        </c15:formulaRef>
                      </c:ext>
                    </c:extLst>
                    <c:strCache>
                      <c:ptCount val="3"/>
                      <c:pt idx="0">
                        <c:v>PTLC</c:v>
                      </c:pt>
                      <c:pt idx="1">
                        <c:v>MNBH</c:v>
                      </c:pt>
                      <c:pt idx="2">
                        <c:v>MNLK</c:v>
                      </c:pt>
                    </c:strCache>
                  </c:strRef>
                </c:cat>
                <c:val>
                  <c:numRef>
                    <c:extLst xmlns:c15="http://schemas.microsoft.com/office/drawing/2012/chart">
                      <c:ext xmlns:c15="http://schemas.microsoft.com/office/drawing/2012/chart" uri="{02D57815-91ED-43cb-92C2-25804820EDAC}">
                        <c15:formulaRef>
                          <c15:sqref>'8. Tư vấn tuyển sinh'!$L$18:$L$20</c15:sqref>
                        </c15:formulaRef>
                      </c:ext>
                    </c:extLst>
                    <c:numCache>
                      <c:formatCode>General</c:formatCode>
                      <c:ptCount val="3"/>
                    </c:numCache>
                  </c:numRef>
                </c:val>
                <c:smooth val="0"/>
                <c:extLst xmlns:c15="http://schemas.microsoft.com/office/drawing/2012/chart">
                  <c:ext xmlns:c16="http://schemas.microsoft.com/office/drawing/2014/chart" uri="{C3380CC4-5D6E-409C-BE32-E72D297353CC}">
                    <c16:uniqueId val="{0000000A-DACA-4C08-8B44-DDEF78D66387}"/>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'8. Tư vấn tuyển sinh'!$M$2</c15:sqref>
                        </c15:formulaRef>
                      </c:ext>
                    </c:extLst>
                    <c:strCache>
                      <c:ptCount val="1"/>
                      <c:pt idx="0">
                        <c:v>Tháng 07/2027</c:v>
                      </c:pt>
                    </c:strCache>
                  </c:strRef>
                </c:tx>
                <c:spPr>
                  <a:ln w="28575" cap="rnd">
                    <a:solidFill>
                      <a:schemeClr val="accent6">
                        <a:lumMod val="6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xmlns:c15="http://schemas.microsoft.com/office/drawing/2012/chart">
                      <c:ext xmlns:c15="http://schemas.microsoft.com/office/drawing/2012/chart" uri="{02D57815-91ED-43cb-92C2-25804820EDAC}">
                        <c15:formulaRef>
                          <c15:sqref>'8. Tư vấn tuyển sinh'!$A$18:$A$20</c15:sqref>
                        </c15:formulaRef>
                      </c:ext>
                    </c:extLst>
                    <c:strCache>
                      <c:ptCount val="3"/>
                      <c:pt idx="0">
                        <c:v>PTLC</c:v>
                      </c:pt>
                      <c:pt idx="1">
                        <c:v>MNBH</c:v>
                      </c:pt>
                      <c:pt idx="2">
                        <c:v>MNLK</c:v>
                      </c:pt>
                    </c:strCache>
                  </c:strRef>
                </c:cat>
                <c:val>
                  <c:numRef>
                    <c:extLst xmlns:c15="http://schemas.microsoft.com/office/drawing/2012/chart">
                      <c:ext xmlns:c15="http://schemas.microsoft.com/office/drawing/2012/chart" uri="{02D57815-91ED-43cb-92C2-25804820EDAC}">
                        <c15:formulaRef>
                          <c15:sqref>'8. Tư vấn tuyển sinh'!$M$18:$M$20</c15:sqref>
                        </c15:formulaRef>
                      </c:ext>
                    </c:extLst>
                    <c:numCache>
                      <c:formatCode>General</c:formatCode>
                      <c:ptCount val="3"/>
                    </c:numCache>
                  </c:numRef>
                </c:val>
                <c:smooth val="0"/>
                <c:extLst xmlns:c15="http://schemas.microsoft.com/office/drawing/2012/chart">
                  <c:ext xmlns:c16="http://schemas.microsoft.com/office/drawing/2014/chart" uri="{C3380CC4-5D6E-409C-BE32-E72D297353CC}">
                    <c16:uniqueId val="{0000000B-DACA-4C08-8B44-DDEF78D66387}"/>
                  </c:ext>
                </c:extLst>
              </c15:ser>
            </c15:filteredLineSeries>
          </c:ext>
        </c:extLst>
      </c:lineChart>
      <c:catAx>
        <c:axId val="2134122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451542575"/>
        <c:crosses val="autoZero"/>
        <c:auto val="1"/>
        <c:lblAlgn val="ctr"/>
        <c:lblOffset val="100"/>
        <c:noMultiLvlLbl val="0"/>
      </c:catAx>
      <c:valAx>
        <c:axId val="45154257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21341228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00">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8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US"/>
              <a:t>Nguồn tiếp cận thông tin của PH mới</a:t>
            </a:r>
          </a:p>
        </c:rich>
      </c:tx>
      <c:overlay val="0"/>
      <c:spPr>
        <a:noFill/>
        <a:ln>
          <a:noFill/>
        </a:ln>
        <a:effectLst/>
      </c:spPr>
      <c:txPr>
        <a:bodyPr rot="0" spcFirstLastPara="1" vertOverflow="ellipsis" vert="horz" wrap="square" anchor="ctr" anchorCtr="1"/>
        <a:lstStyle/>
        <a:p>
          <a:pPr>
            <a:defRPr sz="108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CE-4C36-B636-195B5C6AB69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CE-4C36-B636-195B5C6AB69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CE-4C36-B636-195B5C6AB69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3CE-4C36-B636-195B5C6AB69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53CE-4C36-B636-195B5C6AB69A}"/>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53CE-4C36-B636-195B5C6AB69A}"/>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53CE-4C36-B636-195B5C6AB69A}"/>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53CE-4C36-B636-195B5C6AB69A}"/>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53CE-4C36-B636-195B5C6AB69A}"/>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53CE-4C36-B636-195B5C6AB69A}"/>
              </c:ext>
            </c:extLst>
          </c:dPt>
          <c:dLbls>
            <c:dLbl>
              <c:idx val="1"/>
              <c:layout>
                <c:manualLayout>
                  <c:x val="-2.7777777777777779E-3"/>
                  <c:y val="-0.2037037037037036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3CE-4C36-B636-195B5C6AB69A}"/>
                </c:ext>
              </c:extLst>
            </c:dLbl>
            <c:dLbl>
              <c:idx val="2"/>
              <c:delete val="1"/>
              <c:extLst>
                <c:ext xmlns:c15="http://schemas.microsoft.com/office/drawing/2012/chart" uri="{CE6537A1-D6FC-4f65-9D91-7224C49458BB}"/>
                <c:ext xmlns:c16="http://schemas.microsoft.com/office/drawing/2014/chart" uri="{C3380CC4-5D6E-409C-BE32-E72D297353CC}">
                  <c16:uniqueId val="{00000005-53CE-4C36-B636-195B5C6AB69A}"/>
                </c:ext>
              </c:extLst>
            </c:dLbl>
            <c:dLbl>
              <c:idx val="3"/>
              <c:delete val="1"/>
              <c:extLst>
                <c:ext xmlns:c15="http://schemas.microsoft.com/office/drawing/2012/chart" uri="{CE6537A1-D6FC-4f65-9D91-7224C49458BB}"/>
                <c:ext xmlns:c16="http://schemas.microsoft.com/office/drawing/2014/chart" uri="{C3380CC4-5D6E-409C-BE32-E72D297353CC}">
                  <c16:uniqueId val="{00000007-53CE-4C36-B636-195B5C6AB69A}"/>
                </c:ext>
              </c:extLst>
            </c:dLbl>
            <c:dLbl>
              <c:idx val="4"/>
              <c:layout>
                <c:manualLayout>
                  <c:x val="-0.20000000000000004"/>
                  <c:y val="-0.1342592592592592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3CE-4C36-B636-195B5C6AB69A}"/>
                </c:ext>
              </c:extLst>
            </c:dLbl>
            <c:dLbl>
              <c:idx val="5"/>
              <c:layout>
                <c:manualLayout>
                  <c:x val="0.28333333333333344"/>
                  <c:y val="-0.1296296296296296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B-53CE-4C36-B636-195B5C6AB69A}"/>
                </c:ext>
              </c:extLst>
            </c:dLbl>
            <c:dLbl>
              <c:idx val="6"/>
              <c:delete val="1"/>
              <c:extLst>
                <c:ext xmlns:c15="http://schemas.microsoft.com/office/drawing/2012/chart" uri="{CE6537A1-D6FC-4f65-9D91-7224C49458BB}"/>
                <c:ext xmlns:c16="http://schemas.microsoft.com/office/drawing/2014/chart" uri="{C3380CC4-5D6E-409C-BE32-E72D297353CC}">
                  <c16:uniqueId val="{0000000D-53CE-4C36-B636-195B5C6AB69A}"/>
                </c:ext>
              </c:extLst>
            </c:dLbl>
            <c:dLbl>
              <c:idx val="7"/>
              <c:layout>
                <c:manualLayout>
                  <c:x val="0.25555555555555537"/>
                  <c:y val="5.555555555555555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53CE-4C36-B636-195B5C6AB69A}"/>
                </c:ext>
              </c:extLst>
            </c:dLbl>
            <c:dLbl>
              <c:idx val="8"/>
              <c:delete val="1"/>
              <c:extLst>
                <c:ext xmlns:c15="http://schemas.microsoft.com/office/drawing/2012/chart" uri="{CE6537A1-D6FC-4f65-9D91-7224C49458BB}"/>
                <c:ext xmlns:c16="http://schemas.microsoft.com/office/drawing/2014/chart" uri="{C3380CC4-5D6E-409C-BE32-E72D297353CC}">
                  <c16:uniqueId val="{00000011-53CE-4C36-B636-195B5C6AB69A}"/>
                </c:ext>
              </c:extLst>
            </c:dLbl>
            <c:dLbl>
              <c:idx val="9"/>
              <c:delete val="1"/>
              <c:extLst>
                <c:ext xmlns:c15="http://schemas.microsoft.com/office/drawing/2012/chart" uri="{CE6537A1-D6FC-4f65-9D91-7224C49458BB}"/>
                <c:ext xmlns:c16="http://schemas.microsoft.com/office/drawing/2014/chart" uri="{C3380CC4-5D6E-409C-BE32-E72D297353CC}">
                  <c16:uniqueId val="{00000013-53CE-4C36-B636-195B5C6AB69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'8. Tư vấn tuyển sinh'!$A$179:$A$188</c:f>
              <c:strCache>
                <c:ptCount val="10"/>
                <c:pt idx="0">
                  <c:v>Facebook</c:v>
                </c:pt>
                <c:pt idx="1">
                  <c:v>Zalo</c:v>
                </c:pt>
                <c:pt idx="2">
                  <c:v>Website</c:v>
                </c:pt>
                <c:pt idx="3">
                  <c:v>Tiktok</c:v>
                </c:pt>
                <c:pt idx="4">
                  <c:v>Người quen giới thiệu</c:v>
                </c:pt>
                <c:pt idx="5">
                  <c:v>Nhận diện thương hiệu</c:v>
                </c:pt>
                <c:pt idx="6">
                  <c:v>Phụ huynh LHBS</c:v>
                </c:pt>
                <c:pt idx="7">
                  <c:v>Đại sứ cung cấp</c:v>
                </c:pt>
                <c:pt idx="8">
                  <c:v>Sự kiện &amp; Trải nghiệm</c:v>
                </c:pt>
                <c:pt idx="9">
                  <c:v>Giáo viên/Nhân viên</c:v>
                </c:pt>
              </c:strCache>
            </c:strRef>
          </c:cat>
          <c:val>
            <c:numRef>
              <c:f>'8. Tư vấn tuyển sinh'!$N$179:$N$188</c:f>
              <c:numCache>
                <c:formatCode>General</c:formatCode>
                <c:ptCount val="10"/>
                <c:pt idx="0">
                  <c:v>459</c:v>
                </c:pt>
                <c:pt idx="1">
                  <c:v>4</c:v>
                </c:pt>
                <c:pt idx="2">
                  <c:v>0</c:v>
                </c:pt>
                <c:pt idx="3">
                  <c:v>0</c:v>
                </c:pt>
                <c:pt idx="4">
                  <c:v>19</c:v>
                </c:pt>
                <c:pt idx="5">
                  <c:v>21</c:v>
                </c:pt>
                <c:pt idx="6">
                  <c:v>13</c:v>
                </c:pt>
                <c:pt idx="7">
                  <c:v>4</c:v>
                </c:pt>
                <c:pt idx="8">
                  <c:v>0</c:v>
                </c:pt>
                <c:pt idx="9">
                  <c:v>6</c:v>
                </c:pt>
              </c:numCache>
            </c:numRef>
          </c:val>
          <c:extLst>
            <c:ext xmlns:c16="http://schemas.microsoft.com/office/drawing/2014/chart" uri="{C3380CC4-5D6E-409C-BE32-E72D297353CC}">
              <c16:uniqueId val="{00000014-53CE-4C36-B636-195B5C6AB69A}"/>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l"/>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900">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Top 10 hư hỏng báo sửa trong tháng</cx:v>
        </cx:txData>
      </cx:tx>
      <cx:txPr>
        <a:bodyPr spcFirstLastPara="1" vertOverflow="ellipsis" horzOverflow="overflow" wrap="square" lIns="0" tIns="0" rIns="0" bIns="0" anchor="ctr" anchorCtr="1"/>
        <a:lstStyle/>
        <a:p>
          <a:pPr algn="ctr" rtl="0">
            <a:defRPr sz="1200">
              <a:latin typeface="Arial" panose="020B0604020202020204" pitchFamily="34" charset="0"/>
              <a:ea typeface="Arial" panose="020B0604020202020204" pitchFamily="34" charset="0"/>
              <a:cs typeface="Arial" panose="020B0604020202020204" pitchFamily="34" charset="0"/>
            </a:defRPr>
          </a:pPr>
          <a:r>
            <a:rPr lang="en-US" sz="1000" b="1" i="0" u="none" strike="noStrike" cap="none" spc="20" baseline="0">
              <a:solidFill>
                <a:sysClr val="windowText" lastClr="000000"/>
              </a:solidFill>
              <a:latin typeface="Arial" panose="020B0604020202020204" pitchFamily="34" charset="0"/>
              <a:cs typeface="Arial" panose="020B0604020202020204" pitchFamily="34" charset="0"/>
            </a:rPr>
            <a:t>Top 10 hư hỏng báo sửa trong tháng</a:t>
          </a:r>
        </a:p>
      </cx:txPr>
    </cx:title>
    <cx:plotArea>
      <cx:plotAreaRegion>
        <cx:series layoutId="funnel" uniqueId="{F51E350C-785D-4D2D-AE7B-655D076FECC2}">
          <cx:tx>
            <cx:txData>
              <cx:f>_xlchart.v2.1</cx:f>
              <cx:v>Tổng cộng</cx:v>
            </cx:txData>
          </cx:tx>
          <cx:dataLabels>
            <cx:txPr>
              <a:bodyPr vertOverflow="overflow" horzOverflow="overflow" wrap="square" lIns="0" tIns="0" rIns="0" bIns="0"/>
              <a:lstStyle/>
              <a:p>
                <a:pPr algn="ctr" rtl="0">
                  <a:defRPr sz="800" b="0" i="0">
                    <a:solidFill>
                      <a:srgbClr val="595959"/>
                    </a:solidFill>
                    <a:latin typeface="Arial" panose="020B0604020202020204" pitchFamily="34" charset="0"/>
                    <a:ea typeface="Arial" panose="020B0604020202020204" pitchFamily="34" charset="0"/>
                    <a:cs typeface="Arial" panose="020B0604020202020204" pitchFamily="34" charset="0"/>
                  </a:defRPr>
                </a:pPr>
                <a:endParaRPr lang="en-US" sz="800">
                  <a:latin typeface="Arial" panose="020B0604020202020204" pitchFamily="34" charset="0"/>
                  <a:cs typeface="Arial" panose="020B0604020202020204" pitchFamily="34" charset="0"/>
                </a:endParaRPr>
              </a:p>
            </cx:txPr>
            <cx:visibility seriesName="0" categoryName="0" value="1"/>
          </cx:dataLabels>
          <cx:dataId val="0"/>
        </cx:series>
      </cx:plotAreaRegion>
      <cx:axis id="0">
        <cx:catScaling gapWidth="0.5"/>
        <cx:tickLabels/>
        <cx:txPr>
          <a:bodyPr vertOverflow="overflow" horzOverflow="overflow" wrap="square" lIns="0" tIns="0" rIns="0" bIns="0"/>
          <a:lstStyle/>
          <a:p>
            <a:pPr algn="ctr" rtl="0">
              <a:defRPr sz="800" b="0" i="0">
                <a:solidFill>
                  <a:srgbClr val="595959"/>
                </a:solidFill>
                <a:latin typeface="Arial" panose="020B0604020202020204" pitchFamily="34" charset="0"/>
                <a:ea typeface="Arial" panose="020B0604020202020204" pitchFamily="34" charset="0"/>
                <a:cs typeface="Arial" panose="020B0604020202020204" pitchFamily="34" charset="0"/>
              </a:defRPr>
            </a:pPr>
            <a:endParaRPr lang="en-US" sz="800">
              <a:latin typeface="Arial" panose="020B0604020202020204" pitchFamily="34" charset="0"/>
              <a:cs typeface="Arial" panose="020B0604020202020204" pitchFamily="34" charset="0"/>
            </a:endParaRPr>
          </a:p>
        </cx:txPr>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_xlchart.v1.4</cx:f>
      </cx:numDim>
    </cx:data>
  </cx:chartData>
  <cx:chart>
    <cx:title pos="t" align="ctr" overlay="0">
      <cx:tx>
        <cx:txData>
          <cx:v>Số lượng xử lý theo nhân viên</cx:v>
        </cx:txData>
      </cx:tx>
      <cx:txPr>
        <a:bodyPr spcFirstLastPara="1" vertOverflow="ellipsis" horzOverflow="overflow" wrap="square" lIns="0" tIns="0" rIns="0" bIns="0" anchor="ctr" anchorCtr="1"/>
        <a:lstStyle/>
        <a:p>
          <a:pPr algn="ctr" rtl="0">
            <a:defRPr sz="1000" b="1">
              <a:solidFill>
                <a:sysClr val="windowText" lastClr="000000"/>
              </a:solidFill>
              <a:latin typeface="Arial" panose="020B0604020202020204" pitchFamily="34" charset="0"/>
              <a:ea typeface="Arial" panose="020B0604020202020204" pitchFamily="34" charset="0"/>
              <a:cs typeface="Arial" panose="020B0604020202020204" pitchFamily="34" charset="0"/>
            </a:defRPr>
          </a:pPr>
          <a:r>
            <a:rPr lang="en-US" sz="1000" b="1" i="0" u="none" strike="noStrike" baseline="0">
              <a:solidFill>
                <a:sysClr val="windowText" lastClr="000000"/>
              </a:solidFill>
              <a:latin typeface="Arial" panose="020B0604020202020204" pitchFamily="34" charset="0"/>
              <a:cs typeface="Arial" panose="020B0604020202020204" pitchFamily="34" charset="0"/>
            </a:rPr>
            <a:t>Số lượng xử lý theo nhân viên</a:t>
          </a:r>
        </a:p>
      </cx:txPr>
    </cx:title>
    <cx:plotArea>
      <cx:plotAreaRegion>
        <cx:series layoutId="waterfall" uniqueId="{0FC464E9-EB27-4566-AC3D-76B1B38F55C8}" formatIdx="0">
          <cx:dataLabels>
            <cx:txPr>
              <a:bodyPr vertOverflow="overflow" horzOverflow="overflow" wrap="square" lIns="0" tIns="0" rIns="0" bIns="0"/>
              <a:lstStyle/>
              <a:p>
                <a:pPr algn="ctr" rtl="0">
                  <a:defRPr sz="900" b="0" i="0">
                    <a:solidFill>
                      <a:srgbClr val="595959"/>
                    </a:solidFill>
                    <a:latin typeface="Arial" panose="020B0604020202020204" pitchFamily="34" charset="0"/>
                    <a:ea typeface="Arial" panose="020B0604020202020204" pitchFamily="34" charset="0"/>
                    <a:cs typeface="Arial" panose="020B0604020202020204" pitchFamily="34" charset="0"/>
                  </a:defRPr>
                </a:pPr>
                <a:endParaRPr lang="en-US">
                  <a:latin typeface="Arial" panose="020B0604020202020204" pitchFamily="34" charset="0"/>
                  <a:cs typeface="Arial" panose="020B0604020202020204" pitchFamily="34" charset="0"/>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sz="500">
                <a:latin typeface="Arial" panose="020B0604020202020204" pitchFamily="34" charset="0"/>
                <a:ea typeface="Arial" panose="020B0604020202020204" pitchFamily="34" charset="0"/>
                <a:cs typeface="Arial" panose="020B0604020202020204" pitchFamily="34" charset="0"/>
              </a:defRPr>
            </a:pPr>
            <a:endParaRPr lang="en-US" sz="500" b="0" i="0" u="none" strike="noStrike" baseline="0">
              <a:solidFill>
                <a:sysClr val="windowText" lastClr="000000">
                  <a:lumMod val="65000"/>
                  <a:lumOff val="35000"/>
                </a:sysClr>
              </a:solidFill>
              <a:latin typeface="Arial" panose="020B0604020202020204" pitchFamily="34" charset="0"/>
              <a:cs typeface="Arial" panose="020B0604020202020204" pitchFamily="34" charset="0"/>
            </a:endParaRPr>
          </a:p>
        </cx:txPr>
      </cx:axis>
      <cx:axis id="1">
        <cx:valScaling/>
        <cx:tickLabels/>
        <cx:txPr>
          <a:bodyPr vertOverflow="overflow" horzOverflow="overflow" wrap="square" lIns="0" tIns="0" rIns="0" bIns="0"/>
          <a:lstStyle/>
          <a:p>
            <a:pPr algn="ctr" rtl="0">
              <a:defRPr sz="900" b="0" i="0">
                <a:solidFill>
                  <a:srgbClr val="595959"/>
                </a:solidFill>
                <a:latin typeface="Arial" panose="020B0604020202020204" pitchFamily="34" charset="0"/>
                <a:ea typeface="Arial" panose="020B0604020202020204" pitchFamily="34" charset="0"/>
                <a:cs typeface="Arial" panose="020B0604020202020204" pitchFamily="34" charset="0"/>
              </a:defRPr>
            </a:pPr>
            <a:endParaRPr lang="en-US">
              <a:latin typeface="Arial" panose="020B0604020202020204" pitchFamily="34" charset="0"/>
              <a:cs typeface="Arial" panose="020B0604020202020204" pitchFamily="34" charset="0"/>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425">
  <cs:axisTitle>
    <cs:lnRef idx="0"/>
    <cs:fillRef idx="0"/>
    <cs:effectRef idx="0"/>
    <cs:fontRef idx="minor">
      <a:schemeClr val="tx1">
        <a:lumMod val="50000"/>
        <a:lumOff val="50000"/>
      </a:schemeClr>
    </cs:fontRef>
    <cs:defRPr sz="900"/>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50000"/>
        <a:lumOff val="50000"/>
      </a:schemeClr>
    </cs:fontRef>
    <cs:defRPr sz="900"/>
  </cs:dataLabel>
  <cs:dataLabelCallout>
    <cs:lnRef idx="0"/>
    <cs:fillRef idx="0"/>
    <cs:effectRef idx="0"/>
    <cs:fontRef idx="minor">
      <a:schemeClr val="dk1">
        <a:lumMod val="50000"/>
        <a:lumOff val="50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ln w="9525" cap="flat" cmpd="sng" algn="ctr">
        <a:solidFill>
          <a:schemeClr val="phClr">
            <a:alpha val="50000"/>
          </a:schemeClr>
        </a:solidFill>
        <a:round/>
      </a:ln>
    </cs:spPr>
  </cs:dataPoint>
  <cs:dataPoint3D>
    <cs:lnRef idx="0">
      <cs:styleClr val="auto"/>
    </cs:lnRef>
    <cs:fillRef idx="0">
      <cs:styleClr val="auto"/>
    </cs:fillRef>
    <cs:effectRef idx="0"/>
    <cs:fontRef idx="minor">
      <a:schemeClr val="dk1"/>
    </cs:fontRef>
    <cs:spPr>
      <a:solidFill>
        <a:schemeClr val="phClr"/>
      </a:solidFill>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4"/>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15000"/>
            <a:lumOff val="85000"/>
            <a:lumOff val="10000"/>
          </a:schemeClr>
        </a:solidFill>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50000"/>
        <a:lumOff val="50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inor">
      <a:schemeClr val="tx1">
        <a:lumMod val="50000"/>
        <a:lumOff val="50000"/>
      </a:schemeClr>
    </cs:fontRef>
    <cs:defRPr sz="1400" cap="none" spc="2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50000"/>
        <a:lumOff val="50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50000"/>
        <a:lumOff val="50000"/>
      </a:schemeClr>
    </cs:fontRef>
    <cs:defRPr sz="9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microsoft.com/office/2014/relationships/chartEx" Target="../charts/chartEx2.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5" Type="http://schemas.openxmlformats.org/officeDocument/2006/relationships/chart" Target="../charts/chart22.xml"/><Relationship Id="rId2" Type="http://schemas.openxmlformats.org/officeDocument/2006/relationships/chart" Target="../charts/chart2.xml"/><Relationship Id="rId16" Type="http://schemas.openxmlformats.org/officeDocument/2006/relationships/chart" Target="../charts/chart16.xml"/><Relationship Id="rId20"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image" Target="../media/image1.png"/><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1.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0</xdr:col>
      <xdr:colOff>362857</xdr:colOff>
      <xdr:row>13</xdr:row>
      <xdr:rowOff>85270</xdr:rowOff>
    </xdr:from>
    <xdr:to>
      <xdr:col>9</xdr:col>
      <xdr:colOff>553357</xdr:colOff>
      <xdr:row>27</xdr:row>
      <xdr:rowOff>498929</xdr:rowOff>
    </xdr:to>
    <xdr:sp macro="" textlink="">
      <xdr:nvSpPr>
        <xdr:cNvPr id="15" name="TextBox 14">
          <a:extLst>
            <a:ext uri="{FF2B5EF4-FFF2-40B4-BE49-F238E27FC236}">
              <a16:creationId xmlns:a16="http://schemas.microsoft.com/office/drawing/2014/main" id="{1660B1A2-0BFF-45FB-FF09-E4BC83874CD6}"/>
            </a:ext>
          </a:extLst>
        </xdr:cNvPr>
        <xdr:cNvSpPr txBox="1"/>
      </xdr:nvSpPr>
      <xdr:spPr>
        <a:xfrm>
          <a:off x="362857" y="2969984"/>
          <a:ext cx="8690429" cy="27359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US" sz="1000" b="0">
              <a:latin typeface="Arial" panose="020B0604020202020204" pitchFamily="34" charset="0"/>
              <a:cs typeface="Arial" panose="020B0604020202020204" pitchFamily="34" charset="0"/>
            </a:rPr>
            <a:t>Tổng quy mô toàn hệ thống: </a:t>
          </a:r>
          <a:r>
            <a:rPr lang="en-US" sz="1000">
              <a:latin typeface="Arial" panose="020B0604020202020204" pitchFamily="34" charset="0"/>
              <a:cs typeface="Arial" panose="020B0604020202020204" pitchFamily="34" charset="0"/>
            </a:rPr>
            <a:t>Đạt </a:t>
          </a:r>
          <a:r>
            <a:rPr lang="en-US" sz="1000" b="1">
              <a:latin typeface="Arial" panose="020B0604020202020204" pitchFamily="34" charset="0"/>
              <a:cs typeface="Arial" panose="020B0604020202020204" pitchFamily="34" charset="0"/>
            </a:rPr>
            <a:t>2.625 (tăng</a:t>
          </a:r>
          <a:r>
            <a:rPr lang="en-US" sz="1000" b="1" baseline="0">
              <a:latin typeface="Arial" panose="020B0604020202020204" pitchFamily="34" charset="0"/>
              <a:cs typeface="Arial" panose="020B0604020202020204" pitchFamily="34" charset="0"/>
            </a:rPr>
            <a:t> 9 HS so với tháng trước)</a:t>
          </a:r>
          <a:r>
            <a:rPr lang="en-US" sz="1000" b="1">
              <a:latin typeface="Arial" panose="020B0604020202020204" pitchFamily="34" charset="0"/>
              <a:cs typeface="Arial" panose="020B0604020202020204" pitchFamily="34" charset="0"/>
            </a:rPr>
            <a:t>/ 2.883 học sinh</a:t>
          </a:r>
          <a:r>
            <a:rPr lang="en-US" sz="1000">
              <a:latin typeface="Arial" panose="020B0604020202020204" pitchFamily="34" charset="0"/>
              <a:cs typeface="Arial" panose="020B0604020202020204" pitchFamily="34" charset="0"/>
            </a:rPr>
            <a:t>, hoàn thành </a:t>
          </a:r>
          <a:r>
            <a:rPr lang="en-US" sz="1000" b="1">
              <a:latin typeface="Arial" panose="020B0604020202020204" pitchFamily="34" charset="0"/>
              <a:cs typeface="Arial" panose="020B0604020202020204" pitchFamily="34" charset="0"/>
            </a:rPr>
            <a:t>91,37%</a:t>
          </a:r>
          <a:r>
            <a:rPr lang="en-US" sz="1000">
              <a:latin typeface="Arial" panose="020B0604020202020204" pitchFamily="34" charset="0"/>
              <a:cs typeface="Arial" panose="020B0604020202020204" pitchFamily="34" charset="0"/>
            </a:rPr>
            <a:t> chỉ tiêu đề ra.</a:t>
          </a:r>
        </a:p>
        <a:p>
          <a:pPr lvl="0"/>
          <a:endParaRPr lang="en-US" sz="1000" b="0">
            <a:latin typeface="Arial" panose="020B0604020202020204" pitchFamily="34" charset="0"/>
            <a:cs typeface="Arial" panose="020B0604020202020204" pitchFamily="34" charset="0"/>
          </a:endParaRPr>
        </a:p>
        <a:p>
          <a:pPr lvl="0"/>
          <a:r>
            <a:rPr lang="en-US" sz="1000" b="0">
              <a:latin typeface="Arial" panose="020B0604020202020204" pitchFamily="34" charset="0"/>
              <a:cs typeface="Arial" panose="020B0604020202020204" pitchFamily="34" charset="0"/>
            </a:rPr>
            <a:t>Tổng lượng thiếu hụt: </a:t>
          </a:r>
          <a:r>
            <a:rPr lang="en-US" sz="1000">
              <a:latin typeface="Arial" panose="020B0604020202020204" pitchFamily="34" charset="0"/>
              <a:cs typeface="Arial" panose="020B0604020202020204" pitchFamily="34" charset="0"/>
            </a:rPr>
            <a:t>Còn thiếu </a:t>
          </a:r>
          <a:r>
            <a:rPr lang="en-US" sz="1000" b="1">
              <a:latin typeface="Arial" panose="020B0604020202020204" pitchFamily="34" charset="0"/>
              <a:cs typeface="Arial" panose="020B0604020202020204" pitchFamily="34" charset="0"/>
            </a:rPr>
            <a:t>248 học sinh</a:t>
          </a:r>
          <a:r>
            <a:rPr lang="en-US" sz="1000">
              <a:latin typeface="Arial" panose="020B0604020202020204" pitchFamily="34" charset="0"/>
              <a:cs typeface="Arial" panose="020B0604020202020204" pitchFamily="34" charset="0"/>
            </a:rPr>
            <a:t> để cán mốc chỉ tiêu năm học.</a:t>
          </a:r>
        </a:p>
        <a:p>
          <a:pPr lvl="1"/>
          <a:endParaRPr lang="en-US" sz="1000" b="1">
            <a:latin typeface="Arial" panose="020B0604020202020204" pitchFamily="34" charset="0"/>
            <a:cs typeface="Arial" panose="020B0604020202020204" pitchFamily="34" charset="0"/>
          </a:endParaRPr>
        </a:p>
        <a:p>
          <a:pPr lvl="0"/>
          <a:r>
            <a:rPr lang="en-US" sz="1000" b="1">
              <a:latin typeface="Arial" panose="020B0604020202020204" pitchFamily="34" charset="0"/>
              <a:cs typeface="Arial" panose="020B0604020202020204" pitchFamily="34" charset="0"/>
            </a:rPr>
            <a:t>MN Long Khánh:</a:t>
          </a:r>
          <a:r>
            <a:rPr lang="en-US" sz="1000">
              <a:latin typeface="Arial" panose="020B0604020202020204" pitchFamily="34" charset="0"/>
              <a:cs typeface="Arial" panose="020B0604020202020204" pitchFamily="34" charset="0"/>
            </a:rPr>
            <a:t> Là đơn vị có tỷ lệ hoàn thành thấp nhất hệ thống (</a:t>
          </a:r>
          <a:r>
            <a:rPr lang="en-US" sz="1000" b="1">
              <a:latin typeface="Arial" panose="020B0604020202020204" pitchFamily="34" charset="0"/>
              <a:cs typeface="Arial" panose="020B0604020202020204" pitchFamily="34" charset="0"/>
            </a:rPr>
            <a:t>74%</a:t>
          </a:r>
          <a:r>
            <a:rPr lang="en-US" sz="1000">
              <a:latin typeface="Arial" panose="020B0604020202020204" pitchFamily="34" charset="0"/>
              <a:cs typeface="Arial" panose="020B0604020202020204" pitchFamily="34" charset="0"/>
            </a:rPr>
            <a:t>), thiếu 37 học sinh. Tỷ lệ tuyển sinh kém nhất nằm ở khối </a:t>
          </a:r>
          <a:r>
            <a:rPr lang="en-US" sz="1000" b="1">
              <a:latin typeface="Arial" panose="020B0604020202020204" pitchFamily="34" charset="0"/>
              <a:cs typeface="Arial" panose="020B0604020202020204" pitchFamily="34" charset="0"/>
            </a:rPr>
            <a:t>Nhà trẻ</a:t>
          </a:r>
          <a:r>
            <a:rPr lang="en-US" sz="1000">
              <a:latin typeface="Arial" panose="020B0604020202020204" pitchFamily="34" charset="0"/>
              <a:cs typeface="Arial" panose="020B0604020202020204" pitchFamily="34" charset="0"/>
            </a:rPr>
            <a:t> (mới đạt 51/76 ~ 67,1%) và khối </a:t>
          </a:r>
          <a:r>
            <a:rPr lang="en-US" sz="1000" b="1">
              <a:latin typeface="Arial" panose="020B0604020202020204" pitchFamily="34" charset="0"/>
              <a:cs typeface="Arial" panose="020B0604020202020204" pitchFamily="34" charset="0"/>
            </a:rPr>
            <a:t>lá</a:t>
          </a:r>
          <a:r>
            <a:rPr lang="en-US" sz="1000">
              <a:latin typeface="Arial" panose="020B0604020202020204" pitchFamily="34" charset="0"/>
              <a:cs typeface="Arial" panose="020B0604020202020204" pitchFamily="34" charset="0"/>
            </a:rPr>
            <a:t> (21/26 ~ 77%).</a:t>
          </a:r>
        </a:p>
        <a:p>
          <a:pPr lvl="0"/>
          <a:endParaRPr lang="en-US" sz="1000" b="1">
            <a:latin typeface="Arial" panose="020B0604020202020204" pitchFamily="34" charset="0"/>
            <a:cs typeface="Arial" panose="020B0604020202020204" pitchFamily="34" charset="0"/>
          </a:endParaRPr>
        </a:p>
        <a:p>
          <a:pPr lvl="0"/>
          <a:r>
            <a:rPr lang="en-US" sz="1000" b="1">
              <a:latin typeface="Arial" panose="020B0604020202020204" pitchFamily="34" charset="0"/>
              <a:cs typeface="Arial" panose="020B0604020202020204" pitchFamily="34" charset="0"/>
            </a:rPr>
            <a:t>MN Biên Hòa:</a:t>
          </a:r>
          <a:r>
            <a:rPr lang="en-US" sz="1000">
              <a:latin typeface="Arial" panose="020B0604020202020204" pitchFamily="34" charset="0"/>
              <a:cs typeface="Arial" panose="020B0604020202020204" pitchFamily="34" charset="0"/>
            </a:rPr>
            <a:t> Đạt </a:t>
          </a:r>
          <a:r>
            <a:rPr lang="en-US" sz="1000" b="1">
              <a:latin typeface="Arial" panose="020B0604020202020204" pitchFamily="34" charset="0"/>
              <a:cs typeface="Arial" panose="020B0604020202020204" pitchFamily="34" charset="0"/>
            </a:rPr>
            <a:t>88%</a:t>
          </a:r>
          <a:r>
            <a:rPr lang="en-US" sz="1000">
              <a:latin typeface="Arial" panose="020B0604020202020204" pitchFamily="34" charset="0"/>
              <a:cs typeface="Arial" panose="020B0604020202020204" pitchFamily="34" charset="0"/>
            </a:rPr>
            <a:t>, thiếu 49 học sinh. Khối </a:t>
          </a:r>
          <a:r>
            <a:rPr lang="en-US" sz="1000" b="1">
              <a:latin typeface="Arial" panose="020B0604020202020204" pitchFamily="34" charset="0"/>
              <a:cs typeface="Arial" panose="020B0604020202020204" pitchFamily="34" charset="0"/>
            </a:rPr>
            <a:t>Mầm</a:t>
          </a:r>
          <a:r>
            <a:rPr lang="en-US" sz="1000">
              <a:latin typeface="Arial" panose="020B0604020202020204" pitchFamily="34" charset="0"/>
              <a:cs typeface="Arial" panose="020B0604020202020204" pitchFamily="34" charset="0"/>
            </a:rPr>
            <a:t> có tỷ lệ lấp đầy thấp nhất (80/100 ~ 80%), trong khi khối </a:t>
          </a:r>
          <a:r>
            <a:rPr lang="en-US" sz="1000" b="1">
              <a:latin typeface="Arial" panose="020B0604020202020204" pitchFamily="34" charset="0"/>
              <a:cs typeface="Arial" panose="020B0604020202020204" pitchFamily="34" charset="0"/>
            </a:rPr>
            <a:t>Chồi</a:t>
          </a:r>
          <a:r>
            <a:rPr lang="en-US" sz="1000">
              <a:latin typeface="Arial" panose="020B0604020202020204" pitchFamily="34" charset="0"/>
              <a:cs typeface="Arial" panose="020B0604020202020204" pitchFamily="34" charset="0"/>
            </a:rPr>
            <a:t> đạt kết quả tốt nhất (93%).</a:t>
          </a:r>
        </a:p>
        <a:p>
          <a:pPr lvl="0"/>
          <a:endParaRPr lang="en-US" sz="1000" b="1">
            <a:latin typeface="Arial" panose="020B0604020202020204" pitchFamily="34" charset="0"/>
            <a:cs typeface="Arial" panose="020B0604020202020204" pitchFamily="34" charset="0"/>
          </a:endParaRPr>
        </a:p>
        <a:p>
          <a:pPr lvl="0"/>
          <a:r>
            <a:rPr lang="en-US" sz="1000" b="1">
              <a:latin typeface="Arial" panose="020B0604020202020204" pitchFamily="34" charset="0"/>
              <a:cs typeface="Arial" panose="020B0604020202020204" pitchFamily="34" charset="0"/>
            </a:rPr>
            <a:t>Tiểu học (91.53%):</a:t>
          </a:r>
          <a:r>
            <a:rPr lang="en-US" sz="1000">
              <a:latin typeface="Arial" panose="020B0604020202020204" pitchFamily="34" charset="0"/>
              <a:cs typeface="Arial" panose="020B0604020202020204" pitchFamily="34" charset="0"/>
            </a:rPr>
            <a:t> Các khối lớp 4 và 5 gần như đã lấp đầy chỉ tiêu (đạt lần lượt 97.96% và 98.47%). Tuy nhiên, các khối tuyển sinh đầu cấp/chuyển tiếp như </a:t>
          </a:r>
          <a:r>
            <a:rPr lang="en-US" sz="1000" b="1">
              <a:latin typeface="Arial" panose="020B0604020202020204" pitchFamily="34" charset="0"/>
              <a:cs typeface="Arial" panose="020B0604020202020204" pitchFamily="34" charset="0"/>
            </a:rPr>
            <a:t>Khối 1, Khối 2 và Khối 3</a:t>
          </a:r>
          <a:r>
            <a:rPr lang="en-US" sz="1000">
              <a:latin typeface="Arial" panose="020B0604020202020204" pitchFamily="34" charset="0"/>
              <a:cs typeface="Arial" panose="020B0604020202020204" pitchFamily="34" charset="0"/>
            </a:rPr>
            <a:t> mới chỉ đạt khoảng 86.7% - 87.7% (mỗi khối thiếu 24 - 26 học sinh ~ thiếu 1</a:t>
          </a:r>
          <a:r>
            <a:rPr lang="en-US" sz="1000" baseline="0">
              <a:latin typeface="Arial" panose="020B0604020202020204" pitchFamily="34" charset="0"/>
              <a:cs typeface="Arial" panose="020B0604020202020204" pitchFamily="34" charset="0"/>
            </a:rPr>
            <a:t> lớp / khối</a:t>
          </a:r>
          <a:r>
            <a:rPr lang="en-US" sz="1000">
              <a:latin typeface="Arial" panose="020B0604020202020204" pitchFamily="34" charset="0"/>
              <a:cs typeface="Arial" panose="020B0604020202020204" pitchFamily="34" charset="0"/>
            </a:rPr>
            <a:t>).</a:t>
          </a:r>
        </a:p>
        <a:p>
          <a:pPr lvl="0"/>
          <a:endParaRPr lang="en-US" sz="1000" b="1">
            <a:latin typeface="Arial" panose="020B0604020202020204" pitchFamily="34" charset="0"/>
            <a:cs typeface="Arial" panose="020B0604020202020204" pitchFamily="34" charset="0"/>
          </a:endParaRPr>
        </a:p>
        <a:p>
          <a:pPr lvl="0"/>
          <a:r>
            <a:rPr lang="en-US" sz="1000" b="1">
              <a:latin typeface="Arial" panose="020B0604020202020204" pitchFamily="34" charset="0"/>
              <a:cs typeface="Arial" panose="020B0604020202020204" pitchFamily="34" charset="0"/>
            </a:rPr>
            <a:t>THCS (95.01%):</a:t>
          </a:r>
          <a:r>
            <a:rPr lang="en-US" sz="1000">
              <a:latin typeface="Arial" panose="020B0604020202020204" pitchFamily="34" charset="0"/>
              <a:cs typeface="Arial" panose="020B0604020202020204" pitchFamily="34" charset="0"/>
            </a:rPr>
            <a:t> Nhìn chung tỷ lệ lấp đầy rất tốt. Điểm sáng là </a:t>
          </a:r>
          <a:r>
            <a:rPr lang="en-US" sz="1000" b="1">
              <a:latin typeface="Arial" panose="020B0604020202020204" pitchFamily="34" charset="0"/>
              <a:cs typeface="Arial" panose="020B0604020202020204" pitchFamily="34" charset="0"/>
            </a:rPr>
            <a:t>Khối 9 vượt chỉ tiêu</a:t>
          </a:r>
          <a:r>
            <a:rPr lang="en-US" sz="1000">
              <a:latin typeface="Arial" panose="020B0604020202020204" pitchFamily="34" charset="0"/>
              <a:cs typeface="Arial" panose="020B0604020202020204" pitchFamily="34" charset="0"/>
            </a:rPr>
            <a:t> (+4 học sinh, đạt 101.97%). Khối 6 và Khối 7 vẫn còn dư dư địa (thiếu lần lượt 16 và 23 học sinh).</a:t>
          </a:r>
        </a:p>
        <a:p>
          <a:pPr lvl="0"/>
          <a:endParaRPr lang="en-US" sz="1000" b="1">
            <a:latin typeface="Arial" panose="020B0604020202020204" pitchFamily="34" charset="0"/>
            <a:cs typeface="Arial" panose="020B0604020202020204" pitchFamily="34" charset="0"/>
          </a:endParaRPr>
        </a:p>
        <a:p>
          <a:pPr lvl="0"/>
          <a:r>
            <a:rPr lang="en-US" sz="1000" b="1">
              <a:latin typeface="Arial" panose="020B0604020202020204" pitchFamily="34" charset="0"/>
              <a:cs typeface="Arial" panose="020B0604020202020204" pitchFamily="34" charset="0"/>
            </a:rPr>
            <a:t>THPT (92.50%):</a:t>
          </a:r>
          <a:r>
            <a:rPr lang="en-US" sz="1000">
              <a:latin typeface="Arial" panose="020B0604020202020204" pitchFamily="34" charset="0"/>
              <a:cs typeface="Arial" panose="020B0604020202020204" pitchFamily="34" charset="0"/>
            </a:rPr>
            <a:t> </a:t>
          </a:r>
          <a:r>
            <a:rPr lang="en-US" sz="1000" b="1">
              <a:latin typeface="Arial" panose="020B0604020202020204" pitchFamily="34" charset="0"/>
              <a:cs typeface="Arial" panose="020B0604020202020204" pitchFamily="34" charset="0"/>
            </a:rPr>
            <a:t>Khối 10 tuyển sinh vượt chỉ tiêu</a:t>
          </a:r>
          <a:r>
            <a:rPr lang="en-US" sz="1000">
              <a:latin typeface="Arial" panose="020B0604020202020204" pitchFamily="34" charset="0"/>
              <a:cs typeface="Arial" panose="020B0604020202020204" pitchFamily="34" charset="0"/>
            </a:rPr>
            <a:t> (+5 học sinh, đạt 102.78%). Tuy nhiên, </a:t>
          </a:r>
          <a:r>
            <a:rPr lang="en-US" sz="1000" b="1">
              <a:latin typeface="Arial" panose="020B0604020202020204" pitchFamily="34" charset="0"/>
              <a:cs typeface="Arial" panose="020B0604020202020204" pitchFamily="34" charset="0"/>
            </a:rPr>
            <a:t>Khối 11 và Khối 12</a:t>
          </a:r>
          <a:r>
            <a:rPr lang="en-US" sz="1000">
              <a:latin typeface="Arial" panose="020B0604020202020204" pitchFamily="34" charset="0"/>
              <a:cs typeface="Arial" panose="020B0604020202020204" pitchFamily="34" charset="0"/>
            </a:rPr>
            <a:t> chưa đạt</a:t>
          </a:r>
          <a:r>
            <a:rPr lang="en-US" sz="1000" baseline="0">
              <a:latin typeface="Arial" panose="020B0604020202020204" pitchFamily="34" charset="0"/>
              <a:cs typeface="Arial" panose="020B0604020202020204" pitchFamily="34" charset="0"/>
            </a:rPr>
            <a:t> do vấn đề mục tiêu đề xuất chưa khả thi so với số lượng học sinh cấp dưới đi lên. Đây là điểm cần rút kinh nghiệm trong việc lập KH tuyển sinh năm học tới. </a:t>
          </a:r>
        </a:p>
      </xdr:txBody>
    </xdr:sp>
    <xdr:clientData/>
  </xdr:twoCellAnchor>
  <xdr:twoCellAnchor>
    <xdr:from>
      <xdr:col>0</xdr:col>
      <xdr:colOff>322035</xdr:colOff>
      <xdr:row>57</xdr:row>
      <xdr:rowOff>263070</xdr:rowOff>
    </xdr:from>
    <xdr:to>
      <xdr:col>4</xdr:col>
      <xdr:colOff>654050</xdr:colOff>
      <xdr:row>63</xdr:row>
      <xdr:rowOff>355600</xdr:rowOff>
    </xdr:to>
    <xdr:graphicFrame macro="">
      <xdr:nvGraphicFramePr>
        <xdr:cNvPr id="28" name="Chart 27">
          <a:extLst>
            <a:ext uri="{FF2B5EF4-FFF2-40B4-BE49-F238E27FC236}">
              <a16:creationId xmlns:a16="http://schemas.microsoft.com/office/drawing/2014/main" id="{FB092C3F-2884-84FA-C3D9-831A2183C1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344713</xdr:colOff>
      <xdr:row>66</xdr:row>
      <xdr:rowOff>44077</xdr:rowOff>
    </xdr:from>
    <xdr:to>
      <xdr:col>9</xdr:col>
      <xdr:colOff>526143</xdr:colOff>
      <xdr:row>75</xdr:row>
      <xdr:rowOff>18144</xdr:rowOff>
    </xdr:to>
    <xdr:graphicFrame macro="">
      <xdr:nvGraphicFramePr>
        <xdr:cNvPr id="3" name="Chart 2">
          <a:extLst>
            <a:ext uri="{FF2B5EF4-FFF2-40B4-BE49-F238E27FC236}">
              <a16:creationId xmlns:a16="http://schemas.microsoft.com/office/drawing/2014/main" id="{BAAF5B36-521C-4716-6A93-32DB09FE38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359219</xdr:colOff>
      <xdr:row>86</xdr:row>
      <xdr:rowOff>125623</xdr:rowOff>
    </xdr:from>
    <xdr:to>
      <xdr:col>9</xdr:col>
      <xdr:colOff>535214</xdr:colOff>
      <xdr:row>100</xdr:row>
      <xdr:rowOff>244928</xdr:rowOff>
    </xdr:to>
    <xdr:graphicFrame macro="">
      <xdr:nvGraphicFramePr>
        <xdr:cNvPr id="9" name="Chart 8">
          <a:extLst>
            <a:ext uri="{FF2B5EF4-FFF2-40B4-BE49-F238E27FC236}">
              <a16:creationId xmlns:a16="http://schemas.microsoft.com/office/drawing/2014/main" id="{E10A4BF4-7BA2-D56F-A5F3-B02553FA44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15475</xdr:colOff>
      <xdr:row>103</xdr:row>
      <xdr:rowOff>408106</xdr:rowOff>
    </xdr:from>
    <xdr:to>
      <xdr:col>3</xdr:col>
      <xdr:colOff>198504</xdr:colOff>
      <xdr:row>106</xdr:row>
      <xdr:rowOff>558159</xdr:rowOff>
    </xdr:to>
    <xdr:graphicFrame macro="">
      <xdr:nvGraphicFramePr>
        <xdr:cNvPr id="16" name="Chart 15">
          <a:extLst>
            <a:ext uri="{FF2B5EF4-FFF2-40B4-BE49-F238E27FC236}">
              <a16:creationId xmlns:a16="http://schemas.microsoft.com/office/drawing/2014/main" id="{715557D0-A0A7-E81F-726C-A99103DC96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308428</xdr:colOff>
      <xdr:row>6</xdr:row>
      <xdr:rowOff>66222</xdr:rowOff>
    </xdr:from>
    <xdr:to>
      <xdr:col>9</xdr:col>
      <xdr:colOff>535214</xdr:colOff>
      <xdr:row>12</xdr:row>
      <xdr:rowOff>54428</xdr:rowOff>
    </xdr:to>
    <xdr:graphicFrame macro="">
      <xdr:nvGraphicFramePr>
        <xdr:cNvPr id="27" name="Chart 26">
          <a:extLst>
            <a:ext uri="{FF2B5EF4-FFF2-40B4-BE49-F238E27FC236}">
              <a16:creationId xmlns:a16="http://schemas.microsoft.com/office/drawing/2014/main" id="{08C0F171-E7F6-F133-7DAE-6042BA9972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49892</xdr:colOff>
      <xdr:row>29</xdr:row>
      <xdr:rowOff>66222</xdr:rowOff>
    </xdr:from>
    <xdr:to>
      <xdr:col>9</xdr:col>
      <xdr:colOff>498927</xdr:colOff>
      <xdr:row>35</xdr:row>
      <xdr:rowOff>29883</xdr:rowOff>
    </xdr:to>
    <xdr:graphicFrame macro="">
      <xdr:nvGraphicFramePr>
        <xdr:cNvPr id="46" name="Chart 45">
          <a:extLst>
            <a:ext uri="{FF2B5EF4-FFF2-40B4-BE49-F238E27FC236}">
              <a16:creationId xmlns:a16="http://schemas.microsoft.com/office/drawing/2014/main" id="{C0C9415F-568B-984D-0150-EFDD339D4B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25400</xdr:colOff>
      <xdr:row>319</xdr:row>
      <xdr:rowOff>66938</xdr:rowOff>
    </xdr:from>
    <xdr:to>
      <xdr:col>9</xdr:col>
      <xdr:colOff>95250</xdr:colOff>
      <xdr:row>333</xdr:row>
      <xdr:rowOff>138384</xdr:rowOff>
    </xdr:to>
    <xdr:grpSp>
      <xdr:nvGrpSpPr>
        <xdr:cNvPr id="21" name="Group 20">
          <a:extLst>
            <a:ext uri="{FF2B5EF4-FFF2-40B4-BE49-F238E27FC236}">
              <a16:creationId xmlns:a16="http://schemas.microsoft.com/office/drawing/2014/main" id="{DA780A7C-7FDA-DD35-4459-8ABF545244E2}"/>
            </a:ext>
          </a:extLst>
        </xdr:cNvPr>
        <xdr:cNvGrpSpPr/>
      </xdr:nvGrpSpPr>
      <xdr:grpSpPr>
        <a:xfrm>
          <a:off x="209372" y="91803667"/>
          <a:ext cx="8657186" cy="3466025"/>
          <a:chOff x="1517122" y="83385305"/>
          <a:chExt cx="7455955" cy="2412221"/>
        </a:xfrm>
      </xdr:grpSpPr>
      <xdr:sp macro="" textlink="">
        <xdr:nvSpPr>
          <xdr:cNvPr id="22" name="Freeform: Shape 21">
            <a:extLst>
              <a:ext uri="{FF2B5EF4-FFF2-40B4-BE49-F238E27FC236}">
                <a16:creationId xmlns:a16="http://schemas.microsoft.com/office/drawing/2014/main" id="{C9CBCF63-8A0F-0472-8B01-CD6095A15775}"/>
              </a:ext>
            </a:extLst>
          </xdr:cNvPr>
          <xdr:cNvSpPr/>
        </xdr:nvSpPr>
        <xdr:spPr>
          <a:xfrm>
            <a:off x="1517122" y="83385305"/>
            <a:ext cx="877171" cy="438585"/>
          </a:xfrm>
          <a:custGeom>
            <a:avLst/>
            <a:gdLst>
              <a:gd name="csX0" fmla="*/ 0 w 877171"/>
              <a:gd name="csY0" fmla="*/ 43859 h 438585"/>
              <a:gd name="csX1" fmla="*/ 43859 w 877171"/>
              <a:gd name="csY1" fmla="*/ 0 h 438585"/>
              <a:gd name="csX2" fmla="*/ 833313 w 877171"/>
              <a:gd name="csY2" fmla="*/ 0 h 438585"/>
              <a:gd name="csX3" fmla="*/ 877172 w 877171"/>
              <a:gd name="csY3" fmla="*/ 43859 h 438585"/>
              <a:gd name="csX4" fmla="*/ 877171 w 877171"/>
              <a:gd name="csY4" fmla="*/ 394727 h 438585"/>
              <a:gd name="csX5" fmla="*/ 833312 w 877171"/>
              <a:gd name="csY5" fmla="*/ 438586 h 438585"/>
              <a:gd name="csX6" fmla="*/ 43859 w 877171"/>
              <a:gd name="csY6" fmla="*/ 438585 h 438585"/>
              <a:gd name="csX7" fmla="*/ 0 w 877171"/>
              <a:gd name="csY7" fmla="*/ 394726 h 438585"/>
              <a:gd name="csX8" fmla="*/ 0 w 877171"/>
              <a:gd name="csY8" fmla="*/ 43859 h 4385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877171" h="438585">
                <a:moveTo>
                  <a:pt x="0" y="43859"/>
                </a:moveTo>
                <a:cubicBezTo>
                  <a:pt x="0" y="19636"/>
                  <a:pt x="19636" y="0"/>
                  <a:pt x="43859" y="0"/>
                </a:cubicBezTo>
                <a:lnTo>
                  <a:pt x="833313" y="0"/>
                </a:lnTo>
                <a:cubicBezTo>
                  <a:pt x="857536" y="0"/>
                  <a:pt x="877172" y="19636"/>
                  <a:pt x="877172" y="43859"/>
                </a:cubicBezTo>
                <a:cubicBezTo>
                  <a:pt x="877172" y="160815"/>
                  <a:pt x="877171" y="277771"/>
                  <a:pt x="877171" y="394727"/>
                </a:cubicBezTo>
                <a:cubicBezTo>
                  <a:pt x="877171" y="418950"/>
                  <a:pt x="857535" y="438586"/>
                  <a:pt x="833312" y="438586"/>
                </a:cubicBezTo>
                <a:lnTo>
                  <a:pt x="43859" y="438585"/>
                </a:lnTo>
                <a:cubicBezTo>
                  <a:pt x="19636" y="438585"/>
                  <a:pt x="0" y="418949"/>
                  <a:pt x="0" y="394726"/>
                </a:cubicBezTo>
                <a:lnTo>
                  <a:pt x="0" y="43859"/>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28086" tIns="23006" rIns="28086" bIns="23006" numCol="1" spcCol="1270" anchor="ctr" anchorCtr="0">
            <a:noAutofit/>
          </a:bodyPr>
          <a:lstStyle/>
          <a:p>
            <a:pPr marL="0" lvl="0" indent="0" algn="ctr" defTabSz="355600">
              <a:lnSpc>
                <a:spcPct val="90000"/>
              </a:lnSpc>
              <a:spcBef>
                <a:spcPct val="0"/>
              </a:spcBef>
              <a:spcAft>
                <a:spcPct val="35000"/>
              </a:spcAft>
              <a:buNone/>
            </a:pPr>
            <a:r>
              <a:rPr lang="en-US" sz="800" kern="1200">
                <a:latin typeface="Arial" panose="020B0604020202020204" pitchFamily="34" charset="0"/>
                <a:cs typeface="Arial" panose="020B0604020202020204" pitchFamily="34" charset="0"/>
              </a:rPr>
              <a:t>Nhân sự </a:t>
            </a:r>
          </a:p>
        </xdr:txBody>
      </xdr:sp>
      <xdr:sp macro="" textlink="">
        <xdr:nvSpPr>
          <xdr:cNvPr id="23" name="Freeform: Shape 22">
            <a:extLst>
              <a:ext uri="{FF2B5EF4-FFF2-40B4-BE49-F238E27FC236}">
                <a16:creationId xmlns:a16="http://schemas.microsoft.com/office/drawing/2014/main" id="{F7E012D7-8C15-5B59-C32D-B964FBC9F4C4}"/>
              </a:ext>
            </a:extLst>
          </xdr:cNvPr>
          <xdr:cNvSpPr/>
        </xdr:nvSpPr>
        <xdr:spPr>
          <a:xfrm>
            <a:off x="1559119" y="83823891"/>
            <a:ext cx="91440" cy="328939"/>
          </a:xfrm>
          <a:custGeom>
            <a:avLst/>
            <a:gdLst/>
            <a:ahLst/>
            <a:cxnLst/>
            <a:rect l="0" t="0" r="0" b="0"/>
            <a:pathLst>
              <a:path>
                <a:moveTo>
                  <a:pt x="45720" y="0"/>
                </a:moveTo>
                <a:lnTo>
                  <a:pt x="45720" y="328939"/>
                </a:lnTo>
                <a:lnTo>
                  <a:pt x="133437" y="328939"/>
                </a:lnTo>
              </a:path>
            </a:pathLst>
          </a:custGeom>
          <a:noFill/>
        </xdr:spPr>
        <xdr:style>
          <a:lnRef idx="2">
            <a:schemeClr val="accent1">
              <a:shade val="6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24" name="Freeform: Shape 23">
            <a:extLst>
              <a:ext uri="{FF2B5EF4-FFF2-40B4-BE49-F238E27FC236}">
                <a16:creationId xmlns:a16="http://schemas.microsoft.com/office/drawing/2014/main" id="{08821871-B600-1848-260F-077D937A7418}"/>
              </a:ext>
            </a:extLst>
          </xdr:cNvPr>
          <xdr:cNvSpPr/>
        </xdr:nvSpPr>
        <xdr:spPr>
          <a:xfrm>
            <a:off x="1692556" y="83933537"/>
            <a:ext cx="701737" cy="438585"/>
          </a:xfrm>
          <a:custGeom>
            <a:avLst/>
            <a:gdLst>
              <a:gd name="csX0" fmla="*/ 0 w 701737"/>
              <a:gd name="csY0" fmla="*/ 43859 h 438585"/>
              <a:gd name="csX1" fmla="*/ 43859 w 701737"/>
              <a:gd name="csY1" fmla="*/ 0 h 438585"/>
              <a:gd name="csX2" fmla="*/ 657879 w 701737"/>
              <a:gd name="csY2" fmla="*/ 0 h 438585"/>
              <a:gd name="csX3" fmla="*/ 701738 w 701737"/>
              <a:gd name="csY3" fmla="*/ 43859 h 438585"/>
              <a:gd name="csX4" fmla="*/ 701737 w 701737"/>
              <a:gd name="csY4" fmla="*/ 394727 h 438585"/>
              <a:gd name="csX5" fmla="*/ 657878 w 701737"/>
              <a:gd name="csY5" fmla="*/ 438586 h 438585"/>
              <a:gd name="csX6" fmla="*/ 43859 w 701737"/>
              <a:gd name="csY6" fmla="*/ 438585 h 438585"/>
              <a:gd name="csX7" fmla="*/ 0 w 701737"/>
              <a:gd name="csY7" fmla="*/ 394726 h 438585"/>
              <a:gd name="csX8" fmla="*/ 0 w 701737"/>
              <a:gd name="csY8" fmla="*/ 43859 h 4385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701737" h="438585">
                <a:moveTo>
                  <a:pt x="0" y="43859"/>
                </a:moveTo>
                <a:cubicBezTo>
                  <a:pt x="0" y="19636"/>
                  <a:pt x="19636" y="0"/>
                  <a:pt x="43859" y="0"/>
                </a:cubicBezTo>
                <a:lnTo>
                  <a:pt x="657879" y="0"/>
                </a:lnTo>
                <a:cubicBezTo>
                  <a:pt x="682102" y="0"/>
                  <a:pt x="701738" y="19636"/>
                  <a:pt x="701738" y="43859"/>
                </a:cubicBezTo>
                <a:cubicBezTo>
                  <a:pt x="701738" y="160815"/>
                  <a:pt x="701737" y="277771"/>
                  <a:pt x="701737" y="394727"/>
                </a:cubicBezTo>
                <a:cubicBezTo>
                  <a:pt x="701737" y="418950"/>
                  <a:pt x="682101" y="438586"/>
                  <a:pt x="657878" y="438586"/>
                </a:cubicBezTo>
                <a:lnTo>
                  <a:pt x="43859" y="438585"/>
                </a:lnTo>
                <a:cubicBezTo>
                  <a:pt x="19636" y="438585"/>
                  <a:pt x="0" y="418949"/>
                  <a:pt x="0" y="394726"/>
                </a:cubicBezTo>
                <a:lnTo>
                  <a:pt x="0" y="43859"/>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28086" tIns="23006" rIns="28086" bIns="23006" numCol="1" spcCol="1270" anchor="ctr" anchorCtr="0">
            <a:noAutofit/>
          </a:bodyPr>
          <a:lstStyle/>
          <a:p>
            <a:pPr marL="0" lvl="0" indent="0" algn="ctr" defTabSz="355600">
              <a:lnSpc>
                <a:spcPct val="90000"/>
              </a:lnSpc>
              <a:spcBef>
                <a:spcPct val="0"/>
              </a:spcBef>
              <a:spcAft>
                <a:spcPct val="35000"/>
              </a:spcAft>
              <a:buNone/>
            </a:pPr>
            <a:r>
              <a:rPr lang="en-US" sz="800" kern="1200">
                <a:latin typeface="Arial" panose="020B0604020202020204" pitchFamily="34" charset="0"/>
                <a:cs typeface="Arial" panose="020B0604020202020204" pitchFamily="34" charset="0"/>
              </a:rPr>
              <a:t>Phối</a:t>
            </a:r>
            <a:r>
              <a:rPr lang="en-US" sz="800" kern="1200" baseline="0">
                <a:latin typeface="Arial" panose="020B0604020202020204" pitchFamily="34" charset="0"/>
                <a:cs typeface="Arial" panose="020B0604020202020204" pitchFamily="34" charset="0"/>
              </a:rPr>
              <a:t> hợp tổ chức Ngày 20/10 (Phụ nữ Việt Nam)</a:t>
            </a:r>
            <a:endParaRPr lang="en-US" sz="800" kern="1200">
              <a:latin typeface="Arial" panose="020B0604020202020204" pitchFamily="34" charset="0"/>
              <a:cs typeface="Arial" panose="020B0604020202020204" pitchFamily="34" charset="0"/>
            </a:endParaRPr>
          </a:p>
        </xdr:txBody>
      </xdr:sp>
      <xdr:sp macro="" textlink="">
        <xdr:nvSpPr>
          <xdr:cNvPr id="25" name="Freeform: Shape 24">
            <a:extLst>
              <a:ext uri="{FF2B5EF4-FFF2-40B4-BE49-F238E27FC236}">
                <a16:creationId xmlns:a16="http://schemas.microsoft.com/office/drawing/2014/main" id="{5D330E74-89D3-8892-1F90-1738AA6B5E23}"/>
              </a:ext>
            </a:extLst>
          </xdr:cNvPr>
          <xdr:cNvSpPr/>
        </xdr:nvSpPr>
        <xdr:spPr>
          <a:xfrm>
            <a:off x="1559119" y="83823891"/>
            <a:ext cx="91440" cy="877171"/>
          </a:xfrm>
          <a:custGeom>
            <a:avLst/>
            <a:gdLst/>
            <a:ahLst/>
            <a:cxnLst/>
            <a:rect l="0" t="0" r="0" b="0"/>
            <a:pathLst>
              <a:path>
                <a:moveTo>
                  <a:pt x="45720" y="0"/>
                </a:moveTo>
                <a:lnTo>
                  <a:pt x="45720" y="877171"/>
                </a:lnTo>
                <a:lnTo>
                  <a:pt x="133437" y="877171"/>
                </a:lnTo>
              </a:path>
            </a:pathLst>
          </a:custGeom>
          <a:noFill/>
        </xdr:spPr>
        <xdr:style>
          <a:lnRef idx="2">
            <a:schemeClr val="accent1">
              <a:shade val="6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36" name="Freeform: Shape 35">
            <a:extLst>
              <a:ext uri="{FF2B5EF4-FFF2-40B4-BE49-F238E27FC236}">
                <a16:creationId xmlns:a16="http://schemas.microsoft.com/office/drawing/2014/main" id="{4DD65A3A-1145-C2A5-34AB-AEBE03376AFC}"/>
              </a:ext>
            </a:extLst>
          </xdr:cNvPr>
          <xdr:cNvSpPr/>
        </xdr:nvSpPr>
        <xdr:spPr>
          <a:xfrm>
            <a:off x="1692556" y="84481769"/>
            <a:ext cx="701737" cy="438585"/>
          </a:xfrm>
          <a:custGeom>
            <a:avLst/>
            <a:gdLst>
              <a:gd name="csX0" fmla="*/ 0 w 701737"/>
              <a:gd name="csY0" fmla="*/ 43859 h 438585"/>
              <a:gd name="csX1" fmla="*/ 43859 w 701737"/>
              <a:gd name="csY1" fmla="*/ 0 h 438585"/>
              <a:gd name="csX2" fmla="*/ 657879 w 701737"/>
              <a:gd name="csY2" fmla="*/ 0 h 438585"/>
              <a:gd name="csX3" fmla="*/ 701738 w 701737"/>
              <a:gd name="csY3" fmla="*/ 43859 h 438585"/>
              <a:gd name="csX4" fmla="*/ 701737 w 701737"/>
              <a:gd name="csY4" fmla="*/ 394727 h 438585"/>
              <a:gd name="csX5" fmla="*/ 657878 w 701737"/>
              <a:gd name="csY5" fmla="*/ 438586 h 438585"/>
              <a:gd name="csX6" fmla="*/ 43859 w 701737"/>
              <a:gd name="csY6" fmla="*/ 438585 h 438585"/>
              <a:gd name="csX7" fmla="*/ 0 w 701737"/>
              <a:gd name="csY7" fmla="*/ 394726 h 438585"/>
              <a:gd name="csX8" fmla="*/ 0 w 701737"/>
              <a:gd name="csY8" fmla="*/ 43859 h 4385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701737" h="438585">
                <a:moveTo>
                  <a:pt x="0" y="43859"/>
                </a:moveTo>
                <a:cubicBezTo>
                  <a:pt x="0" y="19636"/>
                  <a:pt x="19636" y="0"/>
                  <a:pt x="43859" y="0"/>
                </a:cubicBezTo>
                <a:lnTo>
                  <a:pt x="657879" y="0"/>
                </a:lnTo>
                <a:cubicBezTo>
                  <a:pt x="682102" y="0"/>
                  <a:pt x="701738" y="19636"/>
                  <a:pt x="701738" y="43859"/>
                </a:cubicBezTo>
                <a:cubicBezTo>
                  <a:pt x="701738" y="160815"/>
                  <a:pt x="701737" y="277771"/>
                  <a:pt x="701737" y="394727"/>
                </a:cubicBezTo>
                <a:cubicBezTo>
                  <a:pt x="701737" y="418950"/>
                  <a:pt x="682101" y="438586"/>
                  <a:pt x="657878" y="438586"/>
                </a:cubicBezTo>
                <a:lnTo>
                  <a:pt x="43859" y="438585"/>
                </a:lnTo>
                <a:cubicBezTo>
                  <a:pt x="19636" y="438585"/>
                  <a:pt x="0" y="418949"/>
                  <a:pt x="0" y="394726"/>
                </a:cubicBezTo>
                <a:lnTo>
                  <a:pt x="0" y="43859"/>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28086" tIns="23006" rIns="28086" bIns="23006" numCol="1" spcCol="1270" anchor="ctr" anchorCtr="0">
            <a:noAutofit/>
          </a:bodyPr>
          <a:lstStyle/>
          <a:p>
            <a:pPr marL="0" lvl="0" indent="0" algn="ctr" defTabSz="355600">
              <a:lnSpc>
                <a:spcPct val="90000"/>
              </a:lnSpc>
              <a:spcBef>
                <a:spcPct val="0"/>
              </a:spcBef>
              <a:spcAft>
                <a:spcPct val="35000"/>
              </a:spcAft>
              <a:buNone/>
            </a:pPr>
            <a:r>
              <a:rPr lang="en-US" sz="800" kern="1200">
                <a:latin typeface="Arial" panose="020B0604020202020204" pitchFamily="34" charset="0"/>
                <a:cs typeface="Arial" panose="020B0604020202020204" pitchFamily="34" charset="0"/>
              </a:rPr>
              <a:t>ĐIều</a:t>
            </a:r>
            <a:r>
              <a:rPr lang="en-US" sz="800" kern="1200" baseline="0">
                <a:latin typeface="Arial" panose="020B0604020202020204" pitchFamily="34" charset="0"/>
                <a:cs typeface="Arial" panose="020B0604020202020204" pitchFamily="34" charset="0"/>
              </a:rPr>
              <a:t> chỉnh HRM theo quy chế lương và thi đua mới</a:t>
            </a:r>
            <a:endParaRPr lang="en-US" sz="800" kern="1200">
              <a:latin typeface="Arial" panose="020B0604020202020204" pitchFamily="34" charset="0"/>
              <a:cs typeface="Arial" panose="020B0604020202020204" pitchFamily="34" charset="0"/>
            </a:endParaRPr>
          </a:p>
        </xdr:txBody>
      </xdr:sp>
      <xdr:sp macro="" textlink="">
        <xdr:nvSpPr>
          <xdr:cNvPr id="37" name="Freeform: Shape 36">
            <a:extLst>
              <a:ext uri="{FF2B5EF4-FFF2-40B4-BE49-F238E27FC236}">
                <a16:creationId xmlns:a16="http://schemas.microsoft.com/office/drawing/2014/main" id="{AE1B1F26-488E-75CE-888F-A8B02AD8745C}"/>
              </a:ext>
            </a:extLst>
          </xdr:cNvPr>
          <xdr:cNvSpPr/>
        </xdr:nvSpPr>
        <xdr:spPr>
          <a:xfrm>
            <a:off x="2613586" y="83385305"/>
            <a:ext cx="877171" cy="438585"/>
          </a:xfrm>
          <a:custGeom>
            <a:avLst/>
            <a:gdLst>
              <a:gd name="csX0" fmla="*/ 0 w 877171"/>
              <a:gd name="csY0" fmla="*/ 43859 h 438585"/>
              <a:gd name="csX1" fmla="*/ 43859 w 877171"/>
              <a:gd name="csY1" fmla="*/ 0 h 438585"/>
              <a:gd name="csX2" fmla="*/ 833313 w 877171"/>
              <a:gd name="csY2" fmla="*/ 0 h 438585"/>
              <a:gd name="csX3" fmla="*/ 877172 w 877171"/>
              <a:gd name="csY3" fmla="*/ 43859 h 438585"/>
              <a:gd name="csX4" fmla="*/ 877171 w 877171"/>
              <a:gd name="csY4" fmla="*/ 394727 h 438585"/>
              <a:gd name="csX5" fmla="*/ 833312 w 877171"/>
              <a:gd name="csY5" fmla="*/ 438586 h 438585"/>
              <a:gd name="csX6" fmla="*/ 43859 w 877171"/>
              <a:gd name="csY6" fmla="*/ 438585 h 438585"/>
              <a:gd name="csX7" fmla="*/ 0 w 877171"/>
              <a:gd name="csY7" fmla="*/ 394726 h 438585"/>
              <a:gd name="csX8" fmla="*/ 0 w 877171"/>
              <a:gd name="csY8" fmla="*/ 43859 h 4385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877171" h="438585">
                <a:moveTo>
                  <a:pt x="0" y="43859"/>
                </a:moveTo>
                <a:cubicBezTo>
                  <a:pt x="0" y="19636"/>
                  <a:pt x="19636" y="0"/>
                  <a:pt x="43859" y="0"/>
                </a:cubicBezTo>
                <a:lnTo>
                  <a:pt x="833313" y="0"/>
                </a:lnTo>
                <a:cubicBezTo>
                  <a:pt x="857536" y="0"/>
                  <a:pt x="877172" y="19636"/>
                  <a:pt x="877172" y="43859"/>
                </a:cubicBezTo>
                <a:cubicBezTo>
                  <a:pt x="877172" y="160815"/>
                  <a:pt x="877171" y="277771"/>
                  <a:pt x="877171" y="394727"/>
                </a:cubicBezTo>
                <a:cubicBezTo>
                  <a:pt x="877171" y="418950"/>
                  <a:pt x="857535" y="438586"/>
                  <a:pt x="833312" y="438586"/>
                </a:cubicBezTo>
                <a:lnTo>
                  <a:pt x="43859" y="438585"/>
                </a:lnTo>
                <a:cubicBezTo>
                  <a:pt x="19636" y="438585"/>
                  <a:pt x="0" y="418949"/>
                  <a:pt x="0" y="394726"/>
                </a:cubicBezTo>
                <a:lnTo>
                  <a:pt x="0" y="43859"/>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28086" tIns="23006" rIns="28086" bIns="23006" numCol="1" spcCol="1270" anchor="ctr" anchorCtr="0">
            <a:noAutofit/>
          </a:bodyPr>
          <a:lstStyle/>
          <a:p>
            <a:pPr marL="0" lvl="0" indent="0" algn="ctr" defTabSz="355600">
              <a:lnSpc>
                <a:spcPct val="90000"/>
              </a:lnSpc>
              <a:spcBef>
                <a:spcPct val="0"/>
              </a:spcBef>
              <a:spcAft>
                <a:spcPct val="35000"/>
              </a:spcAft>
              <a:buNone/>
            </a:pPr>
            <a:r>
              <a:rPr lang="en-US" sz="800" kern="1200">
                <a:latin typeface="Arial" panose="020B0604020202020204" pitchFamily="34" charset="0"/>
                <a:cs typeface="Arial" panose="020B0604020202020204" pitchFamily="34" charset="0"/>
              </a:rPr>
              <a:t>Kế toán</a:t>
            </a:r>
          </a:p>
        </xdr:txBody>
      </xdr:sp>
      <xdr:sp macro="" textlink="">
        <xdr:nvSpPr>
          <xdr:cNvPr id="38" name="Freeform: Shape 37">
            <a:extLst>
              <a:ext uri="{FF2B5EF4-FFF2-40B4-BE49-F238E27FC236}">
                <a16:creationId xmlns:a16="http://schemas.microsoft.com/office/drawing/2014/main" id="{E97DF2B9-DA8A-4789-0E0A-77E73E52C0A1}"/>
              </a:ext>
            </a:extLst>
          </xdr:cNvPr>
          <xdr:cNvSpPr/>
        </xdr:nvSpPr>
        <xdr:spPr>
          <a:xfrm>
            <a:off x="2655583" y="83823891"/>
            <a:ext cx="91440" cy="328939"/>
          </a:xfrm>
          <a:custGeom>
            <a:avLst/>
            <a:gdLst/>
            <a:ahLst/>
            <a:cxnLst/>
            <a:rect l="0" t="0" r="0" b="0"/>
            <a:pathLst>
              <a:path>
                <a:moveTo>
                  <a:pt x="45720" y="0"/>
                </a:moveTo>
                <a:lnTo>
                  <a:pt x="45720" y="328939"/>
                </a:lnTo>
                <a:lnTo>
                  <a:pt x="133437" y="328939"/>
                </a:lnTo>
              </a:path>
            </a:pathLst>
          </a:custGeom>
          <a:noFill/>
        </xdr:spPr>
        <xdr:style>
          <a:lnRef idx="2">
            <a:schemeClr val="accent1">
              <a:shade val="6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39" name="Freeform: Shape 38">
            <a:extLst>
              <a:ext uri="{FF2B5EF4-FFF2-40B4-BE49-F238E27FC236}">
                <a16:creationId xmlns:a16="http://schemas.microsoft.com/office/drawing/2014/main" id="{F7C7E2F4-9920-85F2-F3A5-5CCEEC75CC09}"/>
              </a:ext>
            </a:extLst>
          </xdr:cNvPr>
          <xdr:cNvSpPr/>
        </xdr:nvSpPr>
        <xdr:spPr>
          <a:xfrm>
            <a:off x="2789020" y="83933537"/>
            <a:ext cx="701737" cy="438585"/>
          </a:xfrm>
          <a:custGeom>
            <a:avLst/>
            <a:gdLst>
              <a:gd name="csX0" fmla="*/ 0 w 701737"/>
              <a:gd name="csY0" fmla="*/ 43859 h 438585"/>
              <a:gd name="csX1" fmla="*/ 43859 w 701737"/>
              <a:gd name="csY1" fmla="*/ 0 h 438585"/>
              <a:gd name="csX2" fmla="*/ 657879 w 701737"/>
              <a:gd name="csY2" fmla="*/ 0 h 438585"/>
              <a:gd name="csX3" fmla="*/ 701738 w 701737"/>
              <a:gd name="csY3" fmla="*/ 43859 h 438585"/>
              <a:gd name="csX4" fmla="*/ 701737 w 701737"/>
              <a:gd name="csY4" fmla="*/ 394727 h 438585"/>
              <a:gd name="csX5" fmla="*/ 657878 w 701737"/>
              <a:gd name="csY5" fmla="*/ 438586 h 438585"/>
              <a:gd name="csX6" fmla="*/ 43859 w 701737"/>
              <a:gd name="csY6" fmla="*/ 438585 h 438585"/>
              <a:gd name="csX7" fmla="*/ 0 w 701737"/>
              <a:gd name="csY7" fmla="*/ 394726 h 438585"/>
              <a:gd name="csX8" fmla="*/ 0 w 701737"/>
              <a:gd name="csY8" fmla="*/ 43859 h 4385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701737" h="438585">
                <a:moveTo>
                  <a:pt x="0" y="43859"/>
                </a:moveTo>
                <a:cubicBezTo>
                  <a:pt x="0" y="19636"/>
                  <a:pt x="19636" y="0"/>
                  <a:pt x="43859" y="0"/>
                </a:cubicBezTo>
                <a:lnTo>
                  <a:pt x="657879" y="0"/>
                </a:lnTo>
                <a:cubicBezTo>
                  <a:pt x="682102" y="0"/>
                  <a:pt x="701738" y="19636"/>
                  <a:pt x="701738" y="43859"/>
                </a:cubicBezTo>
                <a:cubicBezTo>
                  <a:pt x="701738" y="160815"/>
                  <a:pt x="701737" y="277771"/>
                  <a:pt x="701737" y="394727"/>
                </a:cubicBezTo>
                <a:cubicBezTo>
                  <a:pt x="701737" y="418950"/>
                  <a:pt x="682101" y="438586"/>
                  <a:pt x="657878" y="438586"/>
                </a:cubicBezTo>
                <a:lnTo>
                  <a:pt x="43859" y="438585"/>
                </a:lnTo>
                <a:cubicBezTo>
                  <a:pt x="19636" y="438585"/>
                  <a:pt x="0" y="418949"/>
                  <a:pt x="0" y="394726"/>
                </a:cubicBezTo>
                <a:lnTo>
                  <a:pt x="0" y="43859"/>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28086" tIns="23006" rIns="28086" bIns="23006" numCol="1" spcCol="1270" anchor="ctr" anchorCtr="0">
            <a:noAutofit/>
          </a:bodyPr>
          <a:lstStyle/>
          <a:p>
            <a:pPr marL="0" lvl="0" indent="0" algn="ctr" defTabSz="355600">
              <a:lnSpc>
                <a:spcPct val="90000"/>
              </a:lnSpc>
              <a:spcBef>
                <a:spcPct val="0"/>
              </a:spcBef>
              <a:spcAft>
                <a:spcPct val="35000"/>
              </a:spcAft>
              <a:buNone/>
            </a:pPr>
            <a:r>
              <a:rPr lang="en-US" sz="800" kern="1200">
                <a:latin typeface="Arial" panose="020B0604020202020204" pitchFamily="34" charset="0"/>
                <a:cs typeface="Arial" panose="020B0604020202020204" pitchFamily="34" charset="0"/>
              </a:rPr>
              <a:t>Đã</a:t>
            </a:r>
            <a:r>
              <a:rPr lang="en-US" sz="800" kern="1200" baseline="0">
                <a:latin typeface="Arial" panose="020B0604020202020204" pitchFamily="34" charset="0"/>
                <a:cs typeface="Arial" panose="020B0604020202020204" pitchFamily="34" charset="0"/>
              </a:rPr>
              <a:t> có báo cáo kiểm toán dự thảo</a:t>
            </a:r>
            <a:endParaRPr lang="en-US" sz="800" kern="1200">
              <a:latin typeface="Arial" panose="020B0604020202020204" pitchFamily="34" charset="0"/>
              <a:cs typeface="Arial" panose="020B0604020202020204" pitchFamily="34" charset="0"/>
            </a:endParaRPr>
          </a:p>
        </xdr:txBody>
      </xdr:sp>
      <xdr:sp macro="" textlink="">
        <xdr:nvSpPr>
          <xdr:cNvPr id="40" name="Freeform: Shape 39">
            <a:extLst>
              <a:ext uri="{FF2B5EF4-FFF2-40B4-BE49-F238E27FC236}">
                <a16:creationId xmlns:a16="http://schemas.microsoft.com/office/drawing/2014/main" id="{C7755790-AB27-4BE2-6B0B-95190009FF3F}"/>
              </a:ext>
            </a:extLst>
          </xdr:cNvPr>
          <xdr:cNvSpPr/>
        </xdr:nvSpPr>
        <xdr:spPr>
          <a:xfrm>
            <a:off x="2655583" y="83823891"/>
            <a:ext cx="91440" cy="877171"/>
          </a:xfrm>
          <a:custGeom>
            <a:avLst/>
            <a:gdLst/>
            <a:ahLst/>
            <a:cxnLst/>
            <a:rect l="0" t="0" r="0" b="0"/>
            <a:pathLst>
              <a:path>
                <a:moveTo>
                  <a:pt x="45720" y="0"/>
                </a:moveTo>
                <a:lnTo>
                  <a:pt x="45720" y="877171"/>
                </a:lnTo>
                <a:lnTo>
                  <a:pt x="133437" y="877171"/>
                </a:lnTo>
              </a:path>
            </a:pathLst>
          </a:custGeom>
          <a:noFill/>
        </xdr:spPr>
        <xdr:style>
          <a:lnRef idx="2">
            <a:schemeClr val="accent1">
              <a:shade val="6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41" name="Freeform: Shape 40">
            <a:extLst>
              <a:ext uri="{FF2B5EF4-FFF2-40B4-BE49-F238E27FC236}">
                <a16:creationId xmlns:a16="http://schemas.microsoft.com/office/drawing/2014/main" id="{7FE41907-9E11-76BD-32CF-1DE335548AE4}"/>
              </a:ext>
            </a:extLst>
          </xdr:cNvPr>
          <xdr:cNvSpPr/>
        </xdr:nvSpPr>
        <xdr:spPr>
          <a:xfrm>
            <a:off x="2789020" y="84481769"/>
            <a:ext cx="701737" cy="438585"/>
          </a:xfrm>
          <a:custGeom>
            <a:avLst/>
            <a:gdLst>
              <a:gd name="csX0" fmla="*/ 0 w 701737"/>
              <a:gd name="csY0" fmla="*/ 43859 h 438585"/>
              <a:gd name="csX1" fmla="*/ 43859 w 701737"/>
              <a:gd name="csY1" fmla="*/ 0 h 438585"/>
              <a:gd name="csX2" fmla="*/ 657879 w 701737"/>
              <a:gd name="csY2" fmla="*/ 0 h 438585"/>
              <a:gd name="csX3" fmla="*/ 701738 w 701737"/>
              <a:gd name="csY3" fmla="*/ 43859 h 438585"/>
              <a:gd name="csX4" fmla="*/ 701737 w 701737"/>
              <a:gd name="csY4" fmla="*/ 394727 h 438585"/>
              <a:gd name="csX5" fmla="*/ 657878 w 701737"/>
              <a:gd name="csY5" fmla="*/ 438586 h 438585"/>
              <a:gd name="csX6" fmla="*/ 43859 w 701737"/>
              <a:gd name="csY6" fmla="*/ 438585 h 438585"/>
              <a:gd name="csX7" fmla="*/ 0 w 701737"/>
              <a:gd name="csY7" fmla="*/ 394726 h 438585"/>
              <a:gd name="csX8" fmla="*/ 0 w 701737"/>
              <a:gd name="csY8" fmla="*/ 43859 h 4385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701737" h="438585">
                <a:moveTo>
                  <a:pt x="0" y="43859"/>
                </a:moveTo>
                <a:cubicBezTo>
                  <a:pt x="0" y="19636"/>
                  <a:pt x="19636" y="0"/>
                  <a:pt x="43859" y="0"/>
                </a:cubicBezTo>
                <a:lnTo>
                  <a:pt x="657879" y="0"/>
                </a:lnTo>
                <a:cubicBezTo>
                  <a:pt x="682102" y="0"/>
                  <a:pt x="701738" y="19636"/>
                  <a:pt x="701738" y="43859"/>
                </a:cubicBezTo>
                <a:cubicBezTo>
                  <a:pt x="701738" y="160815"/>
                  <a:pt x="701737" y="277771"/>
                  <a:pt x="701737" y="394727"/>
                </a:cubicBezTo>
                <a:cubicBezTo>
                  <a:pt x="701737" y="418950"/>
                  <a:pt x="682101" y="438586"/>
                  <a:pt x="657878" y="438586"/>
                </a:cubicBezTo>
                <a:lnTo>
                  <a:pt x="43859" y="438585"/>
                </a:lnTo>
                <a:cubicBezTo>
                  <a:pt x="19636" y="438585"/>
                  <a:pt x="0" y="418949"/>
                  <a:pt x="0" y="394726"/>
                </a:cubicBezTo>
                <a:lnTo>
                  <a:pt x="0" y="43859"/>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28086" tIns="23006" rIns="28086" bIns="23006" numCol="1" spcCol="1270" anchor="ctr" anchorCtr="0">
            <a:noAutofit/>
          </a:bodyPr>
          <a:lstStyle/>
          <a:p>
            <a:pPr marL="0" lvl="0" indent="0" algn="ctr" defTabSz="355600">
              <a:lnSpc>
                <a:spcPct val="90000"/>
              </a:lnSpc>
              <a:spcBef>
                <a:spcPct val="0"/>
              </a:spcBef>
              <a:spcAft>
                <a:spcPct val="35000"/>
              </a:spcAft>
              <a:buNone/>
            </a:pPr>
            <a:r>
              <a:rPr lang="en-US" sz="800" kern="1200">
                <a:latin typeface="Arial" panose="020B0604020202020204" pitchFamily="34" charset="0"/>
                <a:cs typeface="Arial" panose="020B0604020202020204" pitchFamily="34" charset="0"/>
              </a:rPr>
              <a:t>Bóc</a:t>
            </a:r>
            <a:r>
              <a:rPr lang="en-US" sz="800" kern="1200" baseline="0">
                <a:latin typeface="Arial" panose="020B0604020202020204" pitchFamily="34" charset="0"/>
                <a:cs typeface="Arial" panose="020B0604020202020204" pitchFamily="34" charset="0"/>
              </a:rPr>
              <a:t> tách và hoàn thiện báo cáo quản trị theo mô hình Holding và các P&amp;L độc lập</a:t>
            </a:r>
            <a:endParaRPr lang="en-US" sz="800" kern="1200">
              <a:latin typeface="Arial" panose="020B0604020202020204" pitchFamily="34" charset="0"/>
              <a:cs typeface="Arial" panose="020B0604020202020204" pitchFamily="34" charset="0"/>
            </a:endParaRPr>
          </a:p>
        </xdr:txBody>
      </xdr:sp>
      <xdr:sp macro="" textlink="">
        <xdr:nvSpPr>
          <xdr:cNvPr id="43" name="Freeform: Shape 42">
            <a:extLst>
              <a:ext uri="{FF2B5EF4-FFF2-40B4-BE49-F238E27FC236}">
                <a16:creationId xmlns:a16="http://schemas.microsoft.com/office/drawing/2014/main" id="{4C8F70BB-36A2-AC9E-D714-5FDE244C4A7C}"/>
              </a:ext>
            </a:extLst>
          </xdr:cNvPr>
          <xdr:cNvSpPr/>
        </xdr:nvSpPr>
        <xdr:spPr>
          <a:xfrm>
            <a:off x="2655583" y="83823891"/>
            <a:ext cx="91440" cy="1425403"/>
          </a:xfrm>
          <a:custGeom>
            <a:avLst/>
            <a:gdLst/>
            <a:ahLst/>
            <a:cxnLst/>
            <a:rect l="0" t="0" r="0" b="0"/>
            <a:pathLst>
              <a:path>
                <a:moveTo>
                  <a:pt x="45720" y="0"/>
                </a:moveTo>
                <a:lnTo>
                  <a:pt x="45720" y="1425403"/>
                </a:lnTo>
                <a:lnTo>
                  <a:pt x="133437" y="1425403"/>
                </a:lnTo>
              </a:path>
            </a:pathLst>
          </a:custGeom>
          <a:noFill/>
        </xdr:spPr>
        <xdr:style>
          <a:lnRef idx="2">
            <a:schemeClr val="accent1">
              <a:shade val="6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44" name="Freeform: Shape 43">
            <a:extLst>
              <a:ext uri="{FF2B5EF4-FFF2-40B4-BE49-F238E27FC236}">
                <a16:creationId xmlns:a16="http://schemas.microsoft.com/office/drawing/2014/main" id="{5DEDFFFB-C753-ABFC-BF8B-7B4C2FA2151E}"/>
              </a:ext>
            </a:extLst>
          </xdr:cNvPr>
          <xdr:cNvSpPr/>
        </xdr:nvSpPr>
        <xdr:spPr>
          <a:xfrm>
            <a:off x="2789020" y="85030001"/>
            <a:ext cx="701737" cy="438585"/>
          </a:xfrm>
          <a:custGeom>
            <a:avLst/>
            <a:gdLst>
              <a:gd name="csX0" fmla="*/ 0 w 701737"/>
              <a:gd name="csY0" fmla="*/ 43859 h 438585"/>
              <a:gd name="csX1" fmla="*/ 43859 w 701737"/>
              <a:gd name="csY1" fmla="*/ 0 h 438585"/>
              <a:gd name="csX2" fmla="*/ 657879 w 701737"/>
              <a:gd name="csY2" fmla="*/ 0 h 438585"/>
              <a:gd name="csX3" fmla="*/ 701738 w 701737"/>
              <a:gd name="csY3" fmla="*/ 43859 h 438585"/>
              <a:gd name="csX4" fmla="*/ 701737 w 701737"/>
              <a:gd name="csY4" fmla="*/ 394727 h 438585"/>
              <a:gd name="csX5" fmla="*/ 657878 w 701737"/>
              <a:gd name="csY5" fmla="*/ 438586 h 438585"/>
              <a:gd name="csX6" fmla="*/ 43859 w 701737"/>
              <a:gd name="csY6" fmla="*/ 438585 h 438585"/>
              <a:gd name="csX7" fmla="*/ 0 w 701737"/>
              <a:gd name="csY7" fmla="*/ 394726 h 438585"/>
              <a:gd name="csX8" fmla="*/ 0 w 701737"/>
              <a:gd name="csY8" fmla="*/ 43859 h 4385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701737" h="438585">
                <a:moveTo>
                  <a:pt x="0" y="43859"/>
                </a:moveTo>
                <a:cubicBezTo>
                  <a:pt x="0" y="19636"/>
                  <a:pt x="19636" y="0"/>
                  <a:pt x="43859" y="0"/>
                </a:cubicBezTo>
                <a:lnTo>
                  <a:pt x="657879" y="0"/>
                </a:lnTo>
                <a:cubicBezTo>
                  <a:pt x="682102" y="0"/>
                  <a:pt x="701738" y="19636"/>
                  <a:pt x="701738" y="43859"/>
                </a:cubicBezTo>
                <a:cubicBezTo>
                  <a:pt x="701738" y="160815"/>
                  <a:pt x="701737" y="277771"/>
                  <a:pt x="701737" y="394727"/>
                </a:cubicBezTo>
                <a:cubicBezTo>
                  <a:pt x="701737" y="418950"/>
                  <a:pt x="682101" y="438586"/>
                  <a:pt x="657878" y="438586"/>
                </a:cubicBezTo>
                <a:lnTo>
                  <a:pt x="43859" y="438585"/>
                </a:lnTo>
                <a:cubicBezTo>
                  <a:pt x="19636" y="438585"/>
                  <a:pt x="0" y="418949"/>
                  <a:pt x="0" y="394726"/>
                </a:cubicBezTo>
                <a:lnTo>
                  <a:pt x="0" y="43859"/>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28086" tIns="23006" rIns="28086" bIns="23006" numCol="1" spcCol="1270" anchor="ctr" anchorCtr="0">
            <a:noAutofit/>
          </a:bodyPr>
          <a:lstStyle/>
          <a:p>
            <a:pPr marL="0" lvl="0" indent="0" algn="ctr" defTabSz="355600">
              <a:lnSpc>
                <a:spcPct val="90000"/>
              </a:lnSpc>
              <a:spcBef>
                <a:spcPct val="0"/>
              </a:spcBef>
              <a:spcAft>
                <a:spcPct val="35000"/>
              </a:spcAft>
              <a:buNone/>
            </a:pPr>
            <a:r>
              <a:rPr lang="en-US" sz="800" kern="1200">
                <a:latin typeface="Arial" panose="020B0604020202020204" pitchFamily="34" charset="0"/>
                <a:cs typeface="Arial" panose="020B0604020202020204" pitchFamily="34" charset="0"/>
              </a:rPr>
              <a:t>Xây dựng Quy chế quản trị nội bộ theo TT 99 </a:t>
            </a:r>
          </a:p>
        </xdr:txBody>
      </xdr:sp>
      <xdr:sp macro="" textlink="">
        <xdr:nvSpPr>
          <xdr:cNvPr id="45" name="Freeform: Shape 44">
            <a:extLst>
              <a:ext uri="{FF2B5EF4-FFF2-40B4-BE49-F238E27FC236}">
                <a16:creationId xmlns:a16="http://schemas.microsoft.com/office/drawing/2014/main" id="{702F2F58-2999-88EC-51ED-AFFC0207CA98}"/>
              </a:ext>
            </a:extLst>
          </xdr:cNvPr>
          <xdr:cNvSpPr/>
        </xdr:nvSpPr>
        <xdr:spPr>
          <a:xfrm>
            <a:off x="3710050" y="83385305"/>
            <a:ext cx="877171" cy="438585"/>
          </a:xfrm>
          <a:custGeom>
            <a:avLst/>
            <a:gdLst>
              <a:gd name="csX0" fmla="*/ 0 w 877171"/>
              <a:gd name="csY0" fmla="*/ 43859 h 438585"/>
              <a:gd name="csX1" fmla="*/ 43859 w 877171"/>
              <a:gd name="csY1" fmla="*/ 0 h 438585"/>
              <a:gd name="csX2" fmla="*/ 833313 w 877171"/>
              <a:gd name="csY2" fmla="*/ 0 h 438585"/>
              <a:gd name="csX3" fmla="*/ 877172 w 877171"/>
              <a:gd name="csY3" fmla="*/ 43859 h 438585"/>
              <a:gd name="csX4" fmla="*/ 877171 w 877171"/>
              <a:gd name="csY4" fmla="*/ 394727 h 438585"/>
              <a:gd name="csX5" fmla="*/ 833312 w 877171"/>
              <a:gd name="csY5" fmla="*/ 438586 h 438585"/>
              <a:gd name="csX6" fmla="*/ 43859 w 877171"/>
              <a:gd name="csY6" fmla="*/ 438585 h 438585"/>
              <a:gd name="csX7" fmla="*/ 0 w 877171"/>
              <a:gd name="csY7" fmla="*/ 394726 h 438585"/>
              <a:gd name="csX8" fmla="*/ 0 w 877171"/>
              <a:gd name="csY8" fmla="*/ 43859 h 4385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877171" h="438585">
                <a:moveTo>
                  <a:pt x="0" y="43859"/>
                </a:moveTo>
                <a:cubicBezTo>
                  <a:pt x="0" y="19636"/>
                  <a:pt x="19636" y="0"/>
                  <a:pt x="43859" y="0"/>
                </a:cubicBezTo>
                <a:lnTo>
                  <a:pt x="833313" y="0"/>
                </a:lnTo>
                <a:cubicBezTo>
                  <a:pt x="857536" y="0"/>
                  <a:pt x="877172" y="19636"/>
                  <a:pt x="877172" y="43859"/>
                </a:cubicBezTo>
                <a:cubicBezTo>
                  <a:pt x="877172" y="160815"/>
                  <a:pt x="877171" y="277771"/>
                  <a:pt x="877171" y="394727"/>
                </a:cubicBezTo>
                <a:cubicBezTo>
                  <a:pt x="877171" y="418950"/>
                  <a:pt x="857535" y="438586"/>
                  <a:pt x="833312" y="438586"/>
                </a:cubicBezTo>
                <a:lnTo>
                  <a:pt x="43859" y="438585"/>
                </a:lnTo>
                <a:cubicBezTo>
                  <a:pt x="19636" y="438585"/>
                  <a:pt x="0" y="418949"/>
                  <a:pt x="0" y="394726"/>
                </a:cubicBezTo>
                <a:lnTo>
                  <a:pt x="0" y="43859"/>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28086" tIns="23006" rIns="28086" bIns="23006" numCol="1" spcCol="1270" anchor="ctr" anchorCtr="0">
            <a:noAutofit/>
          </a:bodyPr>
          <a:lstStyle/>
          <a:p>
            <a:pPr marL="0" lvl="0" indent="0" algn="ctr" defTabSz="355600">
              <a:lnSpc>
                <a:spcPct val="90000"/>
              </a:lnSpc>
              <a:spcBef>
                <a:spcPct val="0"/>
              </a:spcBef>
              <a:spcAft>
                <a:spcPct val="35000"/>
              </a:spcAft>
              <a:buNone/>
            </a:pPr>
            <a:r>
              <a:rPr lang="en-US" sz="800" kern="1200">
                <a:latin typeface="Arial" panose="020B0604020202020204" pitchFamily="34" charset="0"/>
                <a:cs typeface="Arial" panose="020B0604020202020204" pitchFamily="34" charset="0"/>
              </a:rPr>
              <a:t>Mua sắm </a:t>
            </a:r>
          </a:p>
        </xdr:txBody>
      </xdr:sp>
      <xdr:sp macro="" textlink="">
        <xdr:nvSpPr>
          <xdr:cNvPr id="48" name="Freeform: Shape 47">
            <a:extLst>
              <a:ext uri="{FF2B5EF4-FFF2-40B4-BE49-F238E27FC236}">
                <a16:creationId xmlns:a16="http://schemas.microsoft.com/office/drawing/2014/main" id="{A33B0011-DF53-DFCD-2327-41960EAD5A14}"/>
              </a:ext>
            </a:extLst>
          </xdr:cNvPr>
          <xdr:cNvSpPr/>
        </xdr:nvSpPr>
        <xdr:spPr>
          <a:xfrm>
            <a:off x="3752047" y="83823891"/>
            <a:ext cx="91440" cy="328939"/>
          </a:xfrm>
          <a:custGeom>
            <a:avLst/>
            <a:gdLst/>
            <a:ahLst/>
            <a:cxnLst/>
            <a:rect l="0" t="0" r="0" b="0"/>
            <a:pathLst>
              <a:path>
                <a:moveTo>
                  <a:pt x="45720" y="0"/>
                </a:moveTo>
                <a:lnTo>
                  <a:pt x="45720" y="328939"/>
                </a:lnTo>
                <a:lnTo>
                  <a:pt x="133437" y="328939"/>
                </a:lnTo>
              </a:path>
            </a:pathLst>
          </a:custGeom>
          <a:noFill/>
        </xdr:spPr>
        <xdr:style>
          <a:lnRef idx="2">
            <a:schemeClr val="accent1">
              <a:shade val="6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49" name="Freeform: Shape 48">
            <a:extLst>
              <a:ext uri="{FF2B5EF4-FFF2-40B4-BE49-F238E27FC236}">
                <a16:creationId xmlns:a16="http://schemas.microsoft.com/office/drawing/2014/main" id="{8804BD3E-D01D-6BFB-629D-D2501CDF0978}"/>
              </a:ext>
            </a:extLst>
          </xdr:cNvPr>
          <xdr:cNvSpPr/>
        </xdr:nvSpPr>
        <xdr:spPr>
          <a:xfrm>
            <a:off x="3885484" y="83933537"/>
            <a:ext cx="701737" cy="438585"/>
          </a:xfrm>
          <a:custGeom>
            <a:avLst/>
            <a:gdLst>
              <a:gd name="csX0" fmla="*/ 0 w 701737"/>
              <a:gd name="csY0" fmla="*/ 43859 h 438585"/>
              <a:gd name="csX1" fmla="*/ 43859 w 701737"/>
              <a:gd name="csY1" fmla="*/ 0 h 438585"/>
              <a:gd name="csX2" fmla="*/ 657879 w 701737"/>
              <a:gd name="csY2" fmla="*/ 0 h 438585"/>
              <a:gd name="csX3" fmla="*/ 701738 w 701737"/>
              <a:gd name="csY3" fmla="*/ 43859 h 438585"/>
              <a:gd name="csX4" fmla="*/ 701737 w 701737"/>
              <a:gd name="csY4" fmla="*/ 394727 h 438585"/>
              <a:gd name="csX5" fmla="*/ 657878 w 701737"/>
              <a:gd name="csY5" fmla="*/ 438586 h 438585"/>
              <a:gd name="csX6" fmla="*/ 43859 w 701737"/>
              <a:gd name="csY6" fmla="*/ 438585 h 438585"/>
              <a:gd name="csX7" fmla="*/ 0 w 701737"/>
              <a:gd name="csY7" fmla="*/ 394726 h 438585"/>
              <a:gd name="csX8" fmla="*/ 0 w 701737"/>
              <a:gd name="csY8" fmla="*/ 43859 h 4385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701737" h="438585">
                <a:moveTo>
                  <a:pt x="0" y="43859"/>
                </a:moveTo>
                <a:cubicBezTo>
                  <a:pt x="0" y="19636"/>
                  <a:pt x="19636" y="0"/>
                  <a:pt x="43859" y="0"/>
                </a:cubicBezTo>
                <a:lnTo>
                  <a:pt x="657879" y="0"/>
                </a:lnTo>
                <a:cubicBezTo>
                  <a:pt x="682102" y="0"/>
                  <a:pt x="701738" y="19636"/>
                  <a:pt x="701738" y="43859"/>
                </a:cubicBezTo>
                <a:cubicBezTo>
                  <a:pt x="701738" y="160815"/>
                  <a:pt x="701737" y="277771"/>
                  <a:pt x="701737" y="394727"/>
                </a:cubicBezTo>
                <a:cubicBezTo>
                  <a:pt x="701737" y="418950"/>
                  <a:pt x="682101" y="438586"/>
                  <a:pt x="657878" y="438586"/>
                </a:cubicBezTo>
                <a:lnTo>
                  <a:pt x="43859" y="438585"/>
                </a:lnTo>
                <a:cubicBezTo>
                  <a:pt x="19636" y="438585"/>
                  <a:pt x="0" y="418949"/>
                  <a:pt x="0" y="394726"/>
                </a:cubicBezTo>
                <a:lnTo>
                  <a:pt x="0" y="43859"/>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28086" tIns="23006" rIns="28086" bIns="23006" numCol="1" spcCol="1270" anchor="ctr" anchorCtr="0">
            <a:noAutofit/>
          </a:bodyPr>
          <a:lstStyle/>
          <a:p>
            <a:pPr marL="0" lvl="0" indent="0" algn="ctr" defTabSz="355600">
              <a:lnSpc>
                <a:spcPct val="90000"/>
              </a:lnSpc>
              <a:spcBef>
                <a:spcPct val="0"/>
              </a:spcBef>
              <a:spcAft>
                <a:spcPct val="35000"/>
              </a:spcAft>
              <a:buNone/>
            </a:pPr>
            <a:r>
              <a:rPr lang="en-US" sz="800" kern="1200">
                <a:latin typeface="Arial" panose="020B0604020202020204" pitchFamily="34" charset="0"/>
                <a:cs typeface="Arial" panose="020B0604020202020204" pitchFamily="34" charset="0"/>
              </a:rPr>
              <a:t>Mua sắm cho sự kiện 15 năm thành lập trường </a:t>
            </a:r>
          </a:p>
        </xdr:txBody>
      </xdr:sp>
      <xdr:sp macro="" textlink="">
        <xdr:nvSpPr>
          <xdr:cNvPr id="50" name="Freeform: Shape 49">
            <a:extLst>
              <a:ext uri="{FF2B5EF4-FFF2-40B4-BE49-F238E27FC236}">
                <a16:creationId xmlns:a16="http://schemas.microsoft.com/office/drawing/2014/main" id="{43BF94BE-28F7-99F7-717A-9822DA6642BD}"/>
              </a:ext>
            </a:extLst>
          </xdr:cNvPr>
          <xdr:cNvSpPr/>
        </xdr:nvSpPr>
        <xdr:spPr>
          <a:xfrm>
            <a:off x="3752047" y="83823891"/>
            <a:ext cx="91440" cy="877171"/>
          </a:xfrm>
          <a:custGeom>
            <a:avLst/>
            <a:gdLst/>
            <a:ahLst/>
            <a:cxnLst/>
            <a:rect l="0" t="0" r="0" b="0"/>
            <a:pathLst>
              <a:path>
                <a:moveTo>
                  <a:pt x="45720" y="0"/>
                </a:moveTo>
                <a:lnTo>
                  <a:pt x="45720" y="877171"/>
                </a:lnTo>
                <a:lnTo>
                  <a:pt x="133437" y="877171"/>
                </a:lnTo>
              </a:path>
            </a:pathLst>
          </a:custGeom>
          <a:noFill/>
        </xdr:spPr>
        <xdr:style>
          <a:lnRef idx="2">
            <a:schemeClr val="accent1">
              <a:shade val="6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52" name="Freeform: Shape 51">
            <a:extLst>
              <a:ext uri="{FF2B5EF4-FFF2-40B4-BE49-F238E27FC236}">
                <a16:creationId xmlns:a16="http://schemas.microsoft.com/office/drawing/2014/main" id="{CD737CBF-051D-AFC0-195F-BFC04AE8F72D}"/>
              </a:ext>
            </a:extLst>
          </xdr:cNvPr>
          <xdr:cNvSpPr/>
        </xdr:nvSpPr>
        <xdr:spPr>
          <a:xfrm>
            <a:off x="3885484" y="84481769"/>
            <a:ext cx="701737" cy="438585"/>
          </a:xfrm>
          <a:custGeom>
            <a:avLst/>
            <a:gdLst>
              <a:gd name="csX0" fmla="*/ 0 w 701737"/>
              <a:gd name="csY0" fmla="*/ 43859 h 438585"/>
              <a:gd name="csX1" fmla="*/ 43859 w 701737"/>
              <a:gd name="csY1" fmla="*/ 0 h 438585"/>
              <a:gd name="csX2" fmla="*/ 657879 w 701737"/>
              <a:gd name="csY2" fmla="*/ 0 h 438585"/>
              <a:gd name="csX3" fmla="*/ 701738 w 701737"/>
              <a:gd name="csY3" fmla="*/ 43859 h 438585"/>
              <a:gd name="csX4" fmla="*/ 701737 w 701737"/>
              <a:gd name="csY4" fmla="*/ 394727 h 438585"/>
              <a:gd name="csX5" fmla="*/ 657878 w 701737"/>
              <a:gd name="csY5" fmla="*/ 438586 h 438585"/>
              <a:gd name="csX6" fmla="*/ 43859 w 701737"/>
              <a:gd name="csY6" fmla="*/ 438585 h 438585"/>
              <a:gd name="csX7" fmla="*/ 0 w 701737"/>
              <a:gd name="csY7" fmla="*/ 394726 h 438585"/>
              <a:gd name="csX8" fmla="*/ 0 w 701737"/>
              <a:gd name="csY8" fmla="*/ 43859 h 4385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701737" h="438585">
                <a:moveTo>
                  <a:pt x="0" y="43859"/>
                </a:moveTo>
                <a:cubicBezTo>
                  <a:pt x="0" y="19636"/>
                  <a:pt x="19636" y="0"/>
                  <a:pt x="43859" y="0"/>
                </a:cubicBezTo>
                <a:lnTo>
                  <a:pt x="657879" y="0"/>
                </a:lnTo>
                <a:cubicBezTo>
                  <a:pt x="682102" y="0"/>
                  <a:pt x="701738" y="19636"/>
                  <a:pt x="701738" y="43859"/>
                </a:cubicBezTo>
                <a:cubicBezTo>
                  <a:pt x="701738" y="160815"/>
                  <a:pt x="701737" y="277771"/>
                  <a:pt x="701737" y="394727"/>
                </a:cubicBezTo>
                <a:cubicBezTo>
                  <a:pt x="701737" y="418950"/>
                  <a:pt x="682101" y="438586"/>
                  <a:pt x="657878" y="438586"/>
                </a:cubicBezTo>
                <a:lnTo>
                  <a:pt x="43859" y="438585"/>
                </a:lnTo>
                <a:cubicBezTo>
                  <a:pt x="19636" y="438585"/>
                  <a:pt x="0" y="418949"/>
                  <a:pt x="0" y="394726"/>
                </a:cubicBezTo>
                <a:lnTo>
                  <a:pt x="0" y="43859"/>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28086" tIns="23006" rIns="28086" bIns="23006" numCol="1" spcCol="1270" anchor="ctr" anchorCtr="0">
            <a:noAutofit/>
          </a:bodyPr>
          <a:lstStyle/>
          <a:p>
            <a:pPr marL="0" lvl="0" indent="0" algn="ctr" defTabSz="355600">
              <a:lnSpc>
                <a:spcPct val="90000"/>
              </a:lnSpc>
              <a:spcBef>
                <a:spcPct val="0"/>
              </a:spcBef>
              <a:spcAft>
                <a:spcPct val="35000"/>
              </a:spcAft>
              <a:buNone/>
            </a:pPr>
            <a:r>
              <a:rPr lang="en-US" sz="800" kern="1200">
                <a:latin typeface="Arial" panose="020B0604020202020204" pitchFamily="34" charset="0"/>
                <a:cs typeface="Arial" panose="020B0604020202020204" pitchFamily="34" charset="0"/>
              </a:rPr>
              <a:t>Mua</a:t>
            </a:r>
            <a:r>
              <a:rPr lang="en-US" sz="800" kern="1200" baseline="0">
                <a:latin typeface="Arial" panose="020B0604020202020204" pitchFamily="34" charset="0"/>
                <a:cs typeface="Arial" panose="020B0604020202020204" pitchFamily="34" charset="0"/>
              </a:rPr>
              <a:t> sắm đơn hàng Phòng Thí nghiệm, 5 phòng máy và bản quyền phần mềm </a:t>
            </a:r>
            <a:endParaRPr lang="en-US" sz="800" kern="1200">
              <a:latin typeface="Arial" panose="020B0604020202020204" pitchFamily="34" charset="0"/>
              <a:cs typeface="Arial" panose="020B0604020202020204" pitchFamily="34" charset="0"/>
            </a:endParaRPr>
          </a:p>
        </xdr:txBody>
      </xdr:sp>
      <xdr:sp macro="" textlink="">
        <xdr:nvSpPr>
          <xdr:cNvPr id="53" name="Freeform: Shape 52">
            <a:extLst>
              <a:ext uri="{FF2B5EF4-FFF2-40B4-BE49-F238E27FC236}">
                <a16:creationId xmlns:a16="http://schemas.microsoft.com/office/drawing/2014/main" id="{E21D0502-EFDF-56B7-A9A3-3CC867B325DE}"/>
              </a:ext>
            </a:extLst>
          </xdr:cNvPr>
          <xdr:cNvSpPr/>
        </xdr:nvSpPr>
        <xdr:spPr>
          <a:xfrm>
            <a:off x="4806514" y="83385305"/>
            <a:ext cx="877171" cy="438585"/>
          </a:xfrm>
          <a:custGeom>
            <a:avLst/>
            <a:gdLst>
              <a:gd name="csX0" fmla="*/ 0 w 877171"/>
              <a:gd name="csY0" fmla="*/ 43859 h 438585"/>
              <a:gd name="csX1" fmla="*/ 43859 w 877171"/>
              <a:gd name="csY1" fmla="*/ 0 h 438585"/>
              <a:gd name="csX2" fmla="*/ 833313 w 877171"/>
              <a:gd name="csY2" fmla="*/ 0 h 438585"/>
              <a:gd name="csX3" fmla="*/ 877172 w 877171"/>
              <a:gd name="csY3" fmla="*/ 43859 h 438585"/>
              <a:gd name="csX4" fmla="*/ 877171 w 877171"/>
              <a:gd name="csY4" fmla="*/ 394727 h 438585"/>
              <a:gd name="csX5" fmla="*/ 833312 w 877171"/>
              <a:gd name="csY5" fmla="*/ 438586 h 438585"/>
              <a:gd name="csX6" fmla="*/ 43859 w 877171"/>
              <a:gd name="csY6" fmla="*/ 438585 h 438585"/>
              <a:gd name="csX7" fmla="*/ 0 w 877171"/>
              <a:gd name="csY7" fmla="*/ 394726 h 438585"/>
              <a:gd name="csX8" fmla="*/ 0 w 877171"/>
              <a:gd name="csY8" fmla="*/ 43859 h 4385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877171" h="438585">
                <a:moveTo>
                  <a:pt x="0" y="43859"/>
                </a:moveTo>
                <a:cubicBezTo>
                  <a:pt x="0" y="19636"/>
                  <a:pt x="19636" y="0"/>
                  <a:pt x="43859" y="0"/>
                </a:cubicBezTo>
                <a:lnTo>
                  <a:pt x="833313" y="0"/>
                </a:lnTo>
                <a:cubicBezTo>
                  <a:pt x="857536" y="0"/>
                  <a:pt x="877172" y="19636"/>
                  <a:pt x="877172" y="43859"/>
                </a:cubicBezTo>
                <a:cubicBezTo>
                  <a:pt x="877172" y="160815"/>
                  <a:pt x="877171" y="277771"/>
                  <a:pt x="877171" y="394727"/>
                </a:cubicBezTo>
                <a:cubicBezTo>
                  <a:pt x="877171" y="418950"/>
                  <a:pt x="857535" y="438586"/>
                  <a:pt x="833312" y="438586"/>
                </a:cubicBezTo>
                <a:lnTo>
                  <a:pt x="43859" y="438585"/>
                </a:lnTo>
                <a:cubicBezTo>
                  <a:pt x="19636" y="438585"/>
                  <a:pt x="0" y="418949"/>
                  <a:pt x="0" y="394726"/>
                </a:cubicBezTo>
                <a:lnTo>
                  <a:pt x="0" y="43859"/>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28086" tIns="23006" rIns="28086" bIns="23006" numCol="1" spcCol="1270" anchor="ctr" anchorCtr="0">
            <a:noAutofit/>
          </a:bodyPr>
          <a:lstStyle/>
          <a:p>
            <a:pPr marL="0" lvl="0" indent="0" algn="ctr" defTabSz="355600">
              <a:lnSpc>
                <a:spcPct val="90000"/>
              </a:lnSpc>
              <a:spcBef>
                <a:spcPct val="0"/>
              </a:spcBef>
              <a:spcAft>
                <a:spcPct val="35000"/>
              </a:spcAft>
              <a:buNone/>
            </a:pPr>
            <a:r>
              <a:rPr lang="en-US" sz="800" kern="1200">
                <a:latin typeface="Arial" panose="020B0604020202020204" pitchFamily="34" charset="0"/>
                <a:cs typeface="Arial" panose="020B0604020202020204" pitchFamily="34" charset="0"/>
              </a:rPr>
              <a:t>Dịch vụ học sinh</a:t>
            </a:r>
          </a:p>
        </xdr:txBody>
      </xdr:sp>
      <xdr:sp macro="" textlink="">
        <xdr:nvSpPr>
          <xdr:cNvPr id="54" name="Freeform: Shape 53">
            <a:extLst>
              <a:ext uri="{FF2B5EF4-FFF2-40B4-BE49-F238E27FC236}">
                <a16:creationId xmlns:a16="http://schemas.microsoft.com/office/drawing/2014/main" id="{45BF4E12-0003-0F09-450F-BC69FDEE5FCF}"/>
              </a:ext>
            </a:extLst>
          </xdr:cNvPr>
          <xdr:cNvSpPr/>
        </xdr:nvSpPr>
        <xdr:spPr>
          <a:xfrm>
            <a:off x="4848511" y="83823891"/>
            <a:ext cx="91440" cy="328939"/>
          </a:xfrm>
          <a:custGeom>
            <a:avLst/>
            <a:gdLst/>
            <a:ahLst/>
            <a:cxnLst/>
            <a:rect l="0" t="0" r="0" b="0"/>
            <a:pathLst>
              <a:path>
                <a:moveTo>
                  <a:pt x="45720" y="0"/>
                </a:moveTo>
                <a:lnTo>
                  <a:pt x="45720" y="328939"/>
                </a:lnTo>
                <a:lnTo>
                  <a:pt x="133437" y="328939"/>
                </a:lnTo>
              </a:path>
            </a:pathLst>
          </a:custGeom>
          <a:noFill/>
        </xdr:spPr>
        <xdr:style>
          <a:lnRef idx="2">
            <a:schemeClr val="accent1">
              <a:shade val="6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55" name="Freeform: Shape 54">
            <a:extLst>
              <a:ext uri="{FF2B5EF4-FFF2-40B4-BE49-F238E27FC236}">
                <a16:creationId xmlns:a16="http://schemas.microsoft.com/office/drawing/2014/main" id="{E7FFC9DB-E4D0-9400-FAA1-3C072EFCFF4C}"/>
              </a:ext>
            </a:extLst>
          </xdr:cNvPr>
          <xdr:cNvSpPr/>
        </xdr:nvSpPr>
        <xdr:spPr>
          <a:xfrm>
            <a:off x="4981948" y="83933537"/>
            <a:ext cx="701737" cy="438585"/>
          </a:xfrm>
          <a:custGeom>
            <a:avLst/>
            <a:gdLst>
              <a:gd name="csX0" fmla="*/ 0 w 701737"/>
              <a:gd name="csY0" fmla="*/ 43859 h 438585"/>
              <a:gd name="csX1" fmla="*/ 43859 w 701737"/>
              <a:gd name="csY1" fmla="*/ 0 h 438585"/>
              <a:gd name="csX2" fmla="*/ 657879 w 701737"/>
              <a:gd name="csY2" fmla="*/ 0 h 438585"/>
              <a:gd name="csX3" fmla="*/ 701738 w 701737"/>
              <a:gd name="csY3" fmla="*/ 43859 h 438585"/>
              <a:gd name="csX4" fmla="*/ 701737 w 701737"/>
              <a:gd name="csY4" fmla="*/ 394727 h 438585"/>
              <a:gd name="csX5" fmla="*/ 657878 w 701737"/>
              <a:gd name="csY5" fmla="*/ 438586 h 438585"/>
              <a:gd name="csX6" fmla="*/ 43859 w 701737"/>
              <a:gd name="csY6" fmla="*/ 438585 h 438585"/>
              <a:gd name="csX7" fmla="*/ 0 w 701737"/>
              <a:gd name="csY7" fmla="*/ 394726 h 438585"/>
              <a:gd name="csX8" fmla="*/ 0 w 701737"/>
              <a:gd name="csY8" fmla="*/ 43859 h 4385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701737" h="438585">
                <a:moveTo>
                  <a:pt x="0" y="43859"/>
                </a:moveTo>
                <a:cubicBezTo>
                  <a:pt x="0" y="19636"/>
                  <a:pt x="19636" y="0"/>
                  <a:pt x="43859" y="0"/>
                </a:cubicBezTo>
                <a:lnTo>
                  <a:pt x="657879" y="0"/>
                </a:lnTo>
                <a:cubicBezTo>
                  <a:pt x="682102" y="0"/>
                  <a:pt x="701738" y="19636"/>
                  <a:pt x="701738" y="43859"/>
                </a:cubicBezTo>
                <a:cubicBezTo>
                  <a:pt x="701738" y="160815"/>
                  <a:pt x="701737" y="277771"/>
                  <a:pt x="701737" y="394727"/>
                </a:cubicBezTo>
                <a:cubicBezTo>
                  <a:pt x="701737" y="418950"/>
                  <a:pt x="682101" y="438586"/>
                  <a:pt x="657878" y="438586"/>
                </a:cubicBezTo>
                <a:lnTo>
                  <a:pt x="43859" y="438585"/>
                </a:lnTo>
                <a:cubicBezTo>
                  <a:pt x="19636" y="438585"/>
                  <a:pt x="0" y="418949"/>
                  <a:pt x="0" y="394726"/>
                </a:cubicBezTo>
                <a:lnTo>
                  <a:pt x="0" y="43859"/>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28086" tIns="23006" rIns="28086" bIns="23006" numCol="1" spcCol="1270" anchor="ctr" anchorCtr="0">
            <a:noAutofit/>
          </a:bodyPr>
          <a:lstStyle/>
          <a:p>
            <a:pPr marL="0" lvl="0" indent="0" algn="ctr" defTabSz="355600">
              <a:lnSpc>
                <a:spcPct val="90000"/>
              </a:lnSpc>
              <a:spcBef>
                <a:spcPct val="0"/>
              </a:spcBef>
              <a:spcAft>
                <a:spcPct val="35000"/>
              </a:spcAft>
              <a:buNone/>
            </a:pPr>
            <a:r>
              <a:rPr lang="en-US" sz="800" kern="1200">
                <a:latin typeface="Arial" panose="020B0604020202020204" pitchFamily="34" charset="0"/>
                <a:cs typeface="Arial" panose="020B0604020202020204" pitchFamily="34" charset="0"/>
              </a:rPr>
              <a:t>Hoàn thành dự án thay đổi mẫu đồng phục học sinh </a:t>
            </a:r>
          </a:p>
        </xdr:txBody>
      </xdr:sp>
      <xdr:sp macro="" textlink="">
        <xdr:nvSpPr>
          <xdr:cNvPr id="56" name="Freeform: Shape 55">
            <a:extLst>
              <a:ext uri="{FF2B5EF4-FFF2-40B4-BE49-F238E27FC236}">
                <a16:creationId xmlns:a16="http://schemas.microsoft.com/office/drawing/2014/main" id="{919DF434-3418-23F8-FF19-8CA490D5AF9D}"/>
              </a:ext>
            </a:extLst>
          </xdr:cNvPr>
          <xdr:cNvSpPr/>
        </xdr:nvSpPr>
        <xdr:spPr>
          <a:xfrm>
            <a:off x="5902978" y="83385305"/>
            <a:ext cx="877171" cy="438585"/>
          </a:xfrm>
          <a:custGeom>
            <a:avLst/>
            <a:gdLst>
              <a:gd name="csX0" fmla="*/ 0 w 877171"/>
              <a:gd name="csY0" fmla="*/ 43859 h 438585"/>
              <a:gd name="csX1" fmla="*/ 43859 w 877171"/>
              <a:gd name="csY1" fmla="*/ 0 h 438585"/>
              <a:gd name="csX2" fmla="*/ 833313 w 877171"/>
              <a:gd name="csY2" fmla="*/ 0 h 438585"/>
              <a:gd name="csX3" fmla="*/ 877172 w 877171"/>
              <a:gd name="csY3" fmla="*/ 43859 h 438585"/>
              <a:gd name="csX4" fmla="*/ 877171 w 877171"/>
              <a:gd name="csY4" fmla="*/ 394727 h 438585"/>
              <a:gd name="csX5" fmla="*/ 833312 w 877171"/>
              <a:gd name="csY5" fmla="*/ 438586 h 438585"/>
              <a:gd name="csX6" fmla="*/ 43859 w 877171"/>
              <a:gd name="csY6" fmla="*/ 438585 h 438585"/>
              <a:gd name="csX7" fmla="*/ 0 w 877171"/>
              <a:gd name="csY7" fmla="*/ 394726 h 438585"/>
              <a:gd name="csX8" fmla="*/ 0 w 877171"/>
              <a:gd name="csY8" fmla="*/ 43859 h 4385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877171" h="438585">
                <a:moveTo>
                  <a:pt x="0" y="43859"/>
                </a:moveTo>
                <a:cubicBezTo>
                  <a:pt x="0" y="19636"/>
                  <a:pt x="19636" y="0"/>
                  <a:pt x="43859" y="0"/>
                </a:cubicBezTo>
                <a:lnTo>
                  <a:pt x="833313" y="0"/>
                </a:lnTo>
                <a:cubicBezTo>
                  <a:pt x="857536" y="0"/>
                  <a:pt x="877172" y="19636"/>
                  <a:pt x="877172" y="43859"/>
                </a:cubicBezTo>
                <a:cubicBezTo>
                  <a:pt x="877172" y="160815"/>
                  <a:pt x="877171" y="277771"/>
                  <a:pt x="877171" y="394727"/>
                </a:cubicBezTo>
                <a:cubicBezTo>
                  <a:pt x="877171" y="418950"/>
                  <a:pt x="857535" y="438586"/>
                  <a:pt x="833312" y="438586"/>
                </a:cubicBezTo>
                <a:lnTo>
                  <a:pt x="43859" y="438585"/>
                </a:lnTo>
                <a:cubicBezTo>
                  <a:pt x="19636" y="438585"/>
                  <a:pt x="0" y="418949"/>
                  <a:pt x="0" y="394726"/>
                </a:cubicBezTo>
                <a:lnTo>
                  <a:pt x="0" y="43859"/>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28086" tIns="23006" rIns="28086" bIns="23006" numCol="1" spcCol="1270" anchor="ctr" anchorCtr="0">
            <a:noAutofit/>
          </a:bodyPr>
          <a:lstStyle/>
          <a:p>
            <a:pPr marL="0" lvl="0" indent="0" algn="ctr" defTabSz="355600">
              <a:lnSpc>
                <a:spcPct val="90000"/>
              </a:lnSpc>
              <a:spcBef>
                <a:spcPct val="0"/>
              </a:spcBef>
              <a:spcAft>
                <a:spcPct val="35000"/>
              </a:spcAft>
              <a:buNone/>
            </a:pPr>
            <a:r>
              <a:rPr lang="en-US" sz="800" kern="1200">
                <a:latin typeface="Arial" panose="020B0604020202020204" pitchFamily="34" charset="0"/>
                <a:cs typeface="Arial" panose="020B0604020202020204" pitchFamily="34" charset="0"/>
              </a:rPr>
              <a:t>CSVC </a:t>
            </a:r>
          </a:p>
        </xdr:txBody>
      </xdr:sp>
      <xdr:sp macro="" textlink="">
        <xdr:nvSpPr>
          <xdr:cNvPr id="57" name="Freeform: Shape 56">
            <a:extLst>
              <a:ext uri="{FF2B5EF4-FFF2-40B4-BE49-F238E27FC236}">
                <a16:creationId xmlns:a16="http://schemas.microsoft.com/office/drawing/2014/main" id="{7E82C903-3E9A-80A5-244A-DCA40404F484}"/>
              </a:ext>
            </a:extLst>
          </xdr:cNvPr>
          <xdr:cNvSpPr/>
        </xdr:nvSpPr>
        <xdr:spPr>
          <a:xfrm>
            <a:off x="5944975" y="83823891"/>
            <a:ext cx="91440" cy="328939"/>
          </a:xfrm>
          <a:custGeom>
            <a:avLst/>
            <a:gdLst/>
            <a:ahLst/>
            <a:cxnLst/>
            <a:rect l="0" t="0" r="0" b="0"/>
            <a:pathLst>
              <a:path>
                <a:moveTo>
                  <a:pt x="45720" y="0"/>
                </a:moveTo>
                <a:lnTo>
                  <a:pt x="45720" y="328939"/>
                </a:lnTo>
                <a:lnTo>
                  <a:pt x="133437" y="328939"/>
                </a:lnTo>
              </a:path>
            </a:pathLst>
          </a:custGeom>
          <a:noFill/>
        </xdr:spPr>
        <xdr:style>
          <a:lnRef idx="2">
            <a:schemeClr val="accent1">
              <a:shade val="6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58" name="Freeform: Shape 57">
            <a:extLst>
              <a:ext uri="{FF2B5EF4-FFF2-40B4-BE49-F238E27FC236}">
                <a16:creationId xmlns:a16="http://schemas.microsoft.com/office/drawing/2014/main" id="{C007D7FF-17B2-5BF8-424A-B9B2A9C828B6}"/>
              </a:ext>
            </a:extLst>
          </xdr:cNvPr>
          <xdr:cNvSpPr/>
        </xdr:nvSpPr>
        <xdr:spPr>
          <a:xfrm>
            <a:off x="6078412" y="83933537"/>
            <a:ext cx="701737" cy="438585"/>
          </a:xfrm>
          <a:custGeom>
            <a:avLst/>
            <a:gdLst>
              <a:gd name="csX0" fmla="*/ 0 w 701737"/>
              <a:gd name="csY0" fmla="*/ 43859 h 438585"/>
              <a:gd name="csX1" fmla="*/ 43859 w 701737"/>
              <a:gd name="csY1" fmla="*/ 0 h 438585"/>
              <a:gd name="csX2" fmla="*/ 657879 w 701737"/>
              <a:gd name="csY2" fmla="*/ 0 h 438585"/>
              <a:gd name="csX3" fmla="*/ 701738 w 701737"/>
              <a:gd name="csY3" fmla="*/ 43859 h 438585"/>
              <a:gd name="csX4" fmla="*/ 701737 w 701737"/>
              <a:gd name="csY4" fmla="*/ 394727 h 438585"/>
              <a:gd name="csX5" fmla="*/ 657878 w 701737"/>
              <a:gd name="csY5" fmla="*/ 438586 h 438585"/>
              <a:gd name="csX6" fmla="*/ 43859 w 701737"/>
              <a:gd name="csY6" fmla="*/ 438585 h 438585"/>
              <a:gd name="csX7" fmla="*/ 0 w 701737"/>
              <a:gd name="csY7" fmla="*/ 394726 h 438585"/>
              <a:gd name="csX8" fmla="*/ 0 w 701737"/>
              <a:gd name="csY8" fmla="*/ 43859 h 4385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701737" h="438585">
                <a:moveTo>
                  <a:pt x="0" y="43859"/>
                </a:moveTo>
                <a:cubicBezTo>
                  <a:pt x="0" y="19636"/>
                  <a:pt x="19636" y="0"/>
                  <a:pt x="43859" y="0"/>
                </a:cubicBezTo>
                <a:lnTo>
                  <a:pt x="657879" y="0"/>
                </a:lnTo>
                <a:cubicBezTo>
                  <a:pt x="682102" y="0"/>
                  <a:pt x="701738" y="19636"/>
                  <a:pt x="701738" y="43859"/>
                </a:cubicBezTo>
                <a:cubicBezTo>
                  <a:pt x="701738" y="160815"/>
                  <a:pt x="701737" y="277771"/>
                  <a:pt x="701737" y="394727"/>
                </a:cubicBezTo>
                <a:cubicBezTo>
                  <a:pt x="701737" y="418950"/>
                  <a:pt x="682101" y="438586"/>
                  <a:pt x="657878" y="438586"/>
                </a:cubicBezTo>
                <a:lnTo>
                  <a:pt x="43859" y="438585"/>
                </a:lnTo>
                <a:cubicBezTo>
                  <a:pt x="19636" y="438585"/>
                  <a:pt x="0" y="418949"/>
                  <a:pt x="0" y="394726"/>
                </a:cubicBezTo>
                <a:lnTo>
                  <a:pt x="0" y="43859"/>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28086" tIns="23006" rIns="28086" bIns="23006" numCol="1" spcCol="1270" anchor="ctr" anchorCtr="0">
            <a:noAutofit/>
          </a:bodyPr>
          <a:lstStyle/>
          <a:p>
            <a:pPr marL="0" lvl="0" indent="0" algn="ctr" defTabSz="355600">
              <a:lnSpc>
                <a:spcPct val="90000"/>
              </a:lnSpc>
              <a:spcBef>
                <a:spcPct val="0"/>
              </a:spcBef>
              <a:spcAft>
                <a:spcPct val="35000"/>
              </a:spcAft>
              <a:buNone/>
            </a:pPr>
            <a:r>
              <a:rPr lang="en-US" sz="800" kern="1200">
                <a:latin typeface="Arial" panose="020B0604020202020204" pitchFamily="34" charset="0"/>
                <a:cs typeface="Arial" panose="020B0604020202020204" pitchFamily="34" charset="0"/>
              </a:rPr>
              <a:t>Dự án khoan giếng và xây dựng nông trại </a:t>
            </a:r>
          </a:p>
        </xdr:txBody>
      </xdr:sp>
      <xdr:sp macro="" textlink="">
        <xdr:nvSpPr>
          <xdr:cNvPr id="59" name="Freeform: Shape 58">
            <a:extLst>
              <a:ext uri="{FF2B5EF4-FFF2-40B4-BE49-F238E27FC236}">
                <a16:creationId xmlns:a16="http://schemas.microsoft.com/office/drawing/2014/main" id="{CEE315B3-0DCF-F4A1-9174-964FFD334803}"/>
              </a:ext>
            </a:extLst>
          </xdr:cNvPr>
          <xdr:cNvSpPr/>
        </xdr:nvSpPr>
        <xdr:spPr>
          <a:xfrm>
            <a:off x="5944975" y="83823891"/>
            <a:ext cx="91440" cy="877171"/>
          </a:xfrm>
          <a:custGeom>
            <a:avLst/>
            <a:gdLst/>
            <a:ahLst/>
            <a:cxnLst/>
            <a:rect l="0" t="0" r="0" b="0"/>
            <a:pathLst>
              <a:path>
                <a:moveTo>
                  <a:pt x="45720" y="0"/>
                </a:moveTo>
                <a:lnTo>
                  <a:pt x="45720" y="877171"/>
                </a:lnTo>
                <a:lnTo>
                  <a:pt x="133437" y="877171"/>
                </a:lnTo>
              </a:path>
            </a:pathLst>
          </a:custGeom>
          <a:noFill/>
        </xdr:spPr>
        <xdr:style>
          <a:lnRef idx="2">
            <a:schemeClr val="accent1">
              <a:shade val="6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61" name="Freeform: Shape 60">
            <a:extLst>
              <a:ext uri="{FF2B5EF4-FFF2-40B4-BE49-F238E27FC236}">
                <a16:creationId xmlns:a16="http://schemas.microsoft.com/office/drawing/2014/main" id="{4D527A72-81B1-B5EF-A3F0-6E65CC0C7C82}"/>
              </a:ext>
            </a:extLst>
          </xdr:cNvPr>
          <xdr:cNvSpPr/>
        </xdr:nvSpPr>
        <xdr:spPr>
          <a:xfrm>
            <a:off x="5944975" y="83823891"/>
            <a:ext cx="91440" cy="1425403"/>
          </a:xfrm>
          <a:custGeom>
            <a:avLst/>
            <a:gdLst/>
            <a:ahLst/>
            <a:cxnLst/>
            <a:rect l="0" t="0" r="0" b="0"/>
            <a:pathLst>
              <a:path>
                <a:moveTo>
                  <a:pt x="45720" y="0"/>
                </a:moveTo>
                <a:lnTo>
                  <a:pt x="45720" y="1425403"/>
                </a:lnTo>
                <a:lnTo>
                  <a:pt x="133437" y="1425403"/>
                </a:lnTo>
              </a:path>
            </a:pathLst>
          </a:custGeom>
          <a:noFill/>
        </xdr:spPr>
        <xdr:style>
          <a:lnRef idx="2">
            <a:schemeClr val="accent1">
              <a:shade val="6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62" name="Freeform: Shape 61">
            <a:extLst>
              <a:ext uri="{FF2B5EF4-FFF2-40B4-BE49-F238E27FC236}">
                <a16:creationId xmlns:a16="http://schemas.microsoft.com/office/drawing/2014/main" id="{83E8AF02-A2F7-BC56-1143-9FADE13BAC06}"/>
              </a:ext>
            </a:extLst>
          </xdr:cNvPr>
          <xdr:cNvSpPr/>
        </xdr:nvSpPr>
        <xdr:spPr>
          <a:xfrm>
            <a:off x="6099926" y="84412423"/>
            <a:ext cx="701737" cy="606720"/>
          </a:xfrm>
          <a:custGeom>
            <a:avLst/>
            <a:gdLst>
              <a:gd name="csX0" fmla="*/ 0 w 701737"/>
              <a:gd name="csY0" fmla="*/ 43859 h 438585"/>
              <a:gd name="csX1" fmla="*/ 43859 w 701737"/>
              <a:gd name="csY1" fmla="*/ 0 h 438585"/>
              <a:gd name="csX2" fmla="*/ 657879 w 701737"/>
              <a:gd name="csY2" fmla="*/ 0 h 438585"/>
              <a:gd name="csX3" fmla="*/ 701738 w 701737"/>
              <a:gd name="csY3" fmla="*/ 43859 h 438585"/>
              <a:gd name="csX4" fmla="*/ 701737 w 701737"/>
              <a:gd name="csY4" fmla="*/ 394727 h 438585"/>
              <a:gd name="csX5" fmla="*/ 657878 w 701737"/>
              <a:gd name="csY5" fmla="*/ 438586 h 438585"/>
              <a:gd name="csX6" fmla="*/ 43859 w 701737"/>
              <a:gd name="csY6" fmla="*/ 438585 h 438585"/>
              <a:gd name="csX7" fmla="*/ 0 w 701737"/>
              <a:gd name="csY7" fmla="*/ 394726 h 438585"/>
              <a:gd name="csX8" fmla="*/ 0 w 701737"/>
              <a:gd name="csY8" fmla="*/ 43859 h 4385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701737" h="438585">
                <a:moveTo>
                  <a:pt x="0" y="43859"/>
                </a:moveTo>
                <a:cubicBezTo>
                  <a:pt x="0" y="19636"/>
                  <a:pt x="19636" y="0"/>
                  <a:pt x="43859" y="0"/>
                </a:cubicBezTo>
                <a:lnTo>
                  <a:pt x="657879" y="0"/>
                </a:lnTo>
                <a:cubicBezTo>
                  <a:pt x="682102" y="0"/>
                  <a:pt x="701738" y="19636"/>
                  <a:pt x="701738" y="43859"/>
                </a:cubicBezTo>
                <a:cubicBezTo>
                  <a:pt x="701738" y="160815"/>
                  <a:pt x="701737" y="277771"/>
                  <a:pt x="701737" y="394727"/>
                </a:cubicBezTo>
                <a:cubicBezTo>
                  <a:pt x="701737" y="418950"/>
                  <a:pt x="682101" y="438586"/>
                  <a:pt x="657878" y="438586"/>
                </a:cubicBezTo>
                <a:lnTo>
                  <a:pt x="43859" y="438585"/>
                </a:lnTo>
                <a:cubicBezTo>
                  <a:pt x="19636" y="438585"/>
                  <a:pt x="0" y="418949"/>
                  <a:pt x="0" y="394726"/>
                </a:cubicBezTo>
                <a:lnTo>
                  <a:pt x="0" y="43859"/>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28086" tIns="23006" rIns="28086" bIns="23006" numCol="1" spcCol="1270" anchor="ctr" anchorCtr="0">
            <a:noAutofit/>
          </a:bodyPr>
          <a:lstStyle/>
          <a:p>
            <a:pPr marL="0" lvl="0" indent="0" algn="ctr" defTabSz="355600">
              <a:lnSpc>
                <a:spcPct val="90000"/>
              </a:lnSpc>
              <a:spcBef>
                <a:spcPct val="0"/>
              </a:spcBef>
              <a:spcAft>
                <a:spcPct val="35000"/>
              </a:spcAft>
              <a:buNone/>
            </a:pPr>
            <a:r>
              <a:rPr lang="en-US" sz="800" kern="1200">
                <a:latin typeface="Arial" panose="020B0604020202020204" pitchFamily="34" charset="0"/>
                <a:cs typeface="Arial" panose="020B0604020202020204" pitchFamily="34" charset="0"/>
              </a:rPr>
              <a:t>Quy hoạch và thiết kế lại các phòng chức năng Tham</a:t>
            </a:r>
            <a:r>
              <a:rPr lang="en-US" sz="800" kern="1200" baseline="0">
                <a:latin typeface="Arial" panose="020B0604020202020204" pitchFamily="34" charset="0"/>
                <a:cs typeface="Arial" panose="020B0604020202020204" pitchFamily="34" charset="0"/>
              </a:rPr>
              <a:t> vấn Tâm lý/ </a:t>
            </a:r>
            <a:r>
              <a:rPr lang="en-US" sz="800" kern="1200">
                <a:latin typeface="Arial" panose="020B0604020202020204" pitchFamily="34" charset="0"/>
                <a:cs typeface="Arial" panose="020B0604020202020204" pitchFamily="34" charset="0"/>
              </a:rPr>
              <a:t>Mỹ thuật/ Âm nhạc/ STEM ...)  </a:t>
            </a:r>
          </a:p>
        </xdr:txBody>
      </xdr:sp>
      <xdr:sp macro="" textlink="">
        <xdr:nvSpPr>
          <xdr:cNvPr id="63" name="Freeform: Shape 62">
            <a:extLst>
              <a:ext uri="{FF2B5EF4-FFF2-40B4-BE49-F238E27FC236}">
                <a16:creationId xmlns:a16="http://schemas.microsoft.com/office/drawing/2014/main" id="{AD8A4EF0-0B97-4230-AB45-8968A8C57BB9}"/>
              </a:ext>
            </a:extLst>
          </xdr:cNvPr>
          <xdr:cNvSpPr/>
        </xdr:nvSpPr>
        <xdr:spPr>
          <a:xfrm>
            <a:off x="5944975" y="83823891"/>
            <a:ext cx="91440" cy="1973635"/>
          </a:xfrm>
          <a:custGeom>
            <a:avLst/>
            <a:gdLst/>
            <a:ahLst/>
            <a:cxnLst/>
            <a:rect l="0" t="0" r="0" b="0"/>
            <a:pathLst>
              <a:path>
                <a:moveTo>
                  <a:pt x="45720" y="0"/>
                </a:moveTo>
                <a:lnTo>
                  <a:pt x="45720" y="1973635"/>
                </a:lnTo>
                <a:lnTo>
                  <a:pt x="133437" y="1973635"/>
                </a:lnTo>
              </a:path>
            </a:pathLst>
          </a:custGeom>
          <a:noFill/>
        </xdr:spPr>
        <xdr:style>
          <a:lnRef idx="2">
            <a:schemeClr val="accent1">
              <a:shade val="6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64" name="Freeform: Shape 63">
            <a:extLst>
              <a:ext uri="{FF2B5EF4-FFF2-40B4-BE49-F238E27FC236}">
                <a16:creationId xmlns:a16="http://schemas.microsoft.com/office/drawing/2014/main" id="{76A320AA-E580-7C31-6F78-2AE68AB05357}"/>
              </a:ext>
            </a:extLst>
          </xdr:cNvPr>
          <xdr:cNvSpPr/>
        </xdr:nvSpPr>
        <xdr:spPr>
          <a:xfrm>
            <a:off x="6114268" y="85081624"/>
            <a:ext cx="701737" cy="438585"/>
          </a:xfrm>
          <a:custGeom>
            <a:avLst/>
            <a:gdLst>
              <a:gd name="csX0" fmla="*/ 0 w 701737"/>
              <a:gd name="csY0" fmla="*/ 43859 h 438585"/>
              <a:gd name="csX1" fmla="*/ 43859 w 701737"/>
              <a:gd name="csY1" fmla="*/ 0 h 438585"/>
              <a:gd name="csX2" fmla="*/ 657879 w 701737"/>
              <a:gd name="csY2" fmla="*/ 0 h 438585"/>
              <a:gd name="csX3" fmla="*/ 701738 w 701737"/>
              <a:gd name="csY3" fmla="*/ 43859 h 438585"/>
              <a:gd name="csX4" fmla="*/ 701737 w 701737"/>
              <a:gd name="csY4" fmla="*/ 394727 h 438585"/>
              <a:gd name="csX5" fmla="*/ 657878 w 701737"/>
              <a:gd name="csY5" fmla="*/ 438586 h 438585"/>
              <a:gd name="csX6" fmla="*/ 43859 w 701737"/>
              <a:gd name="csY6" fmla="*/ 438585 h 438585"/>
              <a:gd name="csX7" fmla="*/ 0 w 701737"/>
              <a:gd name="csY7" fmla="*/ 394726 h 438585"/>
              <a:gd name="csX8" fmla="*/ 0 w 701737"/>
              <a:gd name="csY8" fmla="*/ 43859 h 4385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701737" h="438585">
                <a:moveTo>
                  <a:pt x="0" y="43859"/>
                </a:moveTo>
                <a:cubicBezTo>
                  <a:pt x="0" y="19636"/>
                  <a:pt x="19636" y="0"/>
                  <a:pt x="43859" y="0"/>
                </a:cubicBezTo>
                <a:lnTo>
                  <a:pt x="657879" y="0"/>
                </a:lnTo>
                <a:cubicBezTo>
                  <a:pt x="682102" y="0"/>
                  <a:pt x="701738" y="19636"/>
                  <a:pt x="701738" y="43859"/>
                </a:cubicBezTo>
                <a:cubicBezTo>
                  <a:pt x="701738" y="160815"/>
                  <a:pt x="701737" y="277771"/>
                  <a:pt x="701737" y="394727"/>
                </a:cubicBezTo>
                <a:cubicBezTo>
                  <a:pt x="701737" y="418950"/>
                  <a:pt x="682101" y="438586"/>
                  <a:pt x="657878" y="438586"/>
                </a:cubicBezTo>
                <a:lnTo>
                  <a:pt x="43859" y="438585"/>
                </a:lnTo>
                <a:cubicBezTo>
                  <a:pt x="19636" y="438585"/>
                  <a:pt x="0" y="418949"/>
                  <a:pt x="0" y="394726"/>
                </a:cubicBezTo>
                <a:lnTo>
                  <a:pt x="0" y="43859"/>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28086" tIns="23006" rIns="28086" bIns="23006" numCol="1" spcCol="1270" anchor="ctr" anchorCtr="0">
            <a:noAutofit/>
          </a:bodyPr>
          <a:lstStyle/>
          <a:p>
            <a:pPr marL="0" lvl="0" indent="0" algn="ctr" defTabSz="355600">
              <a:lnSpc>
                <a:spcPct val="90000"/>
              </a:lnSpc>
              <a:spcBef>
                <a:spcPct val="0"/>
              </a:spcBef>
              <a:spcAft>
                <a:spcPct val="35000"/>
              </a:spcAft>
              <a:buNone/>
            </a:pPr>
            <a:r>
              <a:rPr lang="en-US" sz="800" kern="1200">
                <a:latin typeface="Arial" panose="020B0604020202020204" pitchFamily="34" charset="0"/>
                <a:cs typeface="Arial" panose="020B0604020202020204" pitchFamily="34" charset="0"/>
              </a:rPr>
              <a:t>Cải tạo bếp,</a:t>
            </a:r>
            <a:r>
              <a:rPr lang="en-US" sz="800" kern="1200" baseline="0">
                <a:latin typeface="Arial" panose="020B0604020202020204" pitchFamily="34" charset="0"/>
                <a:cs typeface="Arial" panose="020B0604020202020204" pitchFamily="34" charset="0"/>
              </a:rPr>
              <a:t> mái che hồ bơi, lọc nước hồ bơi</a:t>
            </a:r>
            <a:endParaRPr lang="en-US" sz="800" kern="1200">
              <a:latin typeface="Arial" panose="020B0604020202020204" pitchFamily="34" charset="0"/>
              <a:cs typeface="Arial" panose="020B0604020202020204" pitchFamily="34" charset="0"/>
            </a:endParaRPr>
          </a:p>
        </xdr:txBody>
      </xdr:sp>
      <xdr:sp macro="" textlink="">
        <xdr:nvSpPr>
          <xdr:cNvPr id="65" name="Freeform: Shape 64">
            <a:extLst>
              <a:ext uri="{FF2B5EF4-FFF2-40B4-BE49-F238E27FC236}">
                <a16:creationId xmlns:a16="http://schemas.microsoft.com/office/drawing/2014/main" id="{5F566538-B8ED-E2BD-6748-F514E7BBFCA5}"/>
              </a:ext>
            </a:extLst>
          </xdr:cNvPr>
          <xdr:cNvSpPr/>
        </xdr:nvSpPr>
        <xdr:spPr>
          <a:xfrm>
            <a:off x="6999442" y="83385305"/>
            <a:ext cx="877171" cy="438585"/>
          </a:xfrm>
          <a:custGeom>
            <a:avLst/>
            <a:gdLst>
              <a:gd name="csX0" fmla="*/ 0 w 877171"/>
              <a:gd name="csY0" fmla="*/ 43859 h 438585"/>
              <a:gd name="csX1" fmla="*/ 43859 w 877171"/>
              <a:gd name="csY1" fmla="*/ 0 h 438585"/>
              <a:gd name="csX2" fmla="*/ 833313 w 877171"/>
              <a:gd name="csY2" fmla="*/ 0 h 438585"/>
              <a:gd name="csX3" fmla="*/ 877172 w 877171"/>
              <a:gd name="csY3" fmla="*/ 43859 h 438585"/>
              <a:gd name="csX4" fmla="*/ 877171 w 877171"/>
              <a:gd name="csY4" fmla="*/ 394727 h 438585"/>
              <a:gd name="csX5" fmla="*/ 833312 w 877171"/>
              <a:gd name="csY5" fmla="*/ 438586 h 438585"/>
              <a:gd name="csX6" fmla="*/ 43859 w 877171"/>
              <a:gd name="csY6" fmla="*/ 438585 h 438585"/>
              <a:gd name="csX7" fmla="*/ 0 w 877171"/>
              <a:gd name="csY7" fmla="*/ 394726 h 438585"/>
              <a:gd name="csX8" fmla="*/ 0 w 877171"/>
              <a:gd name="csY8" fmla="*/ 43859 h 4385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877171" h="438585">
                <a:moveTo>
                  <a:pt x="0" y="43859"/>
                </a:moveTo>
                <a:cubicBezTo>
                  <a:pt x="0" y="19636"/>
                  <a:pt x="19636" y="0"/>
                  <a:pt x="43859" y="0"/>
                </a:cubicBezTo>
                <a:lnTo>
                  <a:pt x="833313" y="0"/>
                </a:lnTo>
                <a:cubicBezTo>
                  <a:pt x="857536" y="0"/>
                  <a:pt x="877172" y="19636"/>
                  <a:pt x="877172" y="43859"/>
                </a:cubicBezTo>
                <a:cubicBezTo>
                  <a:pt x="877172" y="160815"/>
                  <a:pt x="877171" y="277771"/>
                  <a:pt x="877171" y="394727"/>
                </a:cubicBezTo>
                <a:cubicBezTo>
                  <a:pt x="877171" y="418950"/>
                  <a:pt x="857535" y="438586"/>
                  <a:pt x="833312" y="438586"/>
                </a:cubicBezTo>
                <a:lnTo>
                  <a:pt x="43859" y="438585"/>
                </a:lnTo>
                <a:cubicBezTo>
                  <a:pt x="19636" y="438585"/>
                  <a:pt x="0" y="418949"/>
                  <a:pt x="0" y="394726"/>
                </a:cubicBezTo>
                <a:lnTo>
                  <a:pt x="0" y="43859"/>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28086" tIns="23006" rIns="28086" bIns="23006" numCol="1" spcCol="1270" anchor="ctr" anchorCtr="0">
            <a:noAutofit/>
          </a:bodyPr>
          <a:lstStyle/>
          <a:p>
            <a:pPr marL="0" lvl="0" indent="0" algn="ctr" defTabSz="355600">
              <a:lnSpc>
                <a:spcPct val="90000"/>
              </a:lnSpc>
              <a:spcBef>
                <a:spcPct val="0"/>
              </a:spcBef>
              <a:spcAft>
                <a:spcPct val="35000"/>
              </a:spcAft>
              <a:buNone/>
            </a:pPr>
            <a:r>
              <a:rPr lang="en-US" sz="800" kern="1200">
                <a:latin typeface="Arial" panose="020B0604020202020204" pitchFamily="34" charset="0"/>
                <a:cs typeface="Arial" panose="020B0604020202020204" pitchFamily="34" charset="0"/>
              </a:rPr>
              <a:t>Công nghệ thông tin </a:t>
            </a:r>
          </a:p>
        </xdr:txBody>
      </xdr:sp>
      <xdr:sp macro="" textlink="">
        <xdr:nvSpPr>
          <xdr:cNvPr id="66" name="Freeform: Shape 65">
            <a:extLst>
              <a:ext uri="{FF2B5EF4-FFF2-40B4-BE49-F238E27FC236}">
                <a16:creationId xmlns:a16="http://schemas.microsoft.com/office/drawing/2014/main" id="{B8FD089A-209F-52E3-3077-DF80609B99F1}"/>
              </a:ext>
            </a:extLst>
          </xdr:cNvPr>
          <xdr:cNvSpPr/>
        </xdr:nvSpPr>
        <xdr:spPr>
          <a:xfrm>
            <a:off x="7041439" y="83823891"/>
            <a:ext cx="91440" cy="328939"/>
          </a:xfrm>
          <a:custGeom>
            <a:avLst/>
            <a:gdLst/>
            <a:ahLst/>
            <a:cxnLst/>
            <a:rect l="0" t="0" r="0" b="0"/>
            <a:pathLst>
              <a:path>
                <a:moveTo>
                  <a:pt x="45720" y="0"/>
                </a:moveTo>
                <a:lnTo>
                  <a:pt x="45720" y="328939"/>
                </a:lnTo>
                <a:lnTo>
                  <a:pt x="133437" y="328939"/>
                </a:lnTo>
              </a:path>
            </a:pathLst>
          </a:custGeom>
          <a:noFill/>
        </xdr:spPr>
        <xdr:style>
          <a:lnRef idx="2">
            <a:schemeClr val="accent1">
              <a:shade val="6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67" name="Freeform: Shape 66">
            <a:extLst>
              <a:ext uri="{FF2B5EF4-FFF2-40B4-BE49-F238E27FC236}">
                <a16:creationId xmlns:a16="http://schemas.microsoft.com/office/drawing/2014/main" id="{931AECF0-C9C8-99F6-62F5-263A8199448B}"/>
              </a:ext>
            </a:extLst>
          </xdr:cNvPr>
          <xdr:cNvSpPr/>
        </xdr:nvSpPr>
        <xdr:spPr>
          <a:xfrm>
            <a:off x="7174876" y="83933537"/>
            <a:ext cx="701737" cy="438585"/>
          </a:xfrm>
          <a:custGeom>
            <a:avLst/>
            <a:gdLst>
              <a:gd name="csX0" fmla="*/ 0 w 701737"/>
              <a:gd name="csY0" fmla="*/ 43859 h 438585"/>
              <a:gd name="csX1" fmla="*/ 43859 w 701737"/>
              <a:gd name="csY1" fmla="*/ 0 h 438585"/>
              <a:gd name="csX2" fmla="*/ 657879 w 701737"/>
              <a:gd name="csY2" fmla="*/ 0 h 438585"/>
              <a:gd name="csX3" fmla="*/ 701738 w 701737"/>
              <a:gd name="csY3" fmla="*/ 43859 h 438585"/>
              <a:gd name="csX4" fmla="*/ 701737 w 701737"/>
              <a:gd name="csY4" fmla="*/ 394727 h 438585"/>
              <a:gd name="csX5" fmla="*/ 657878 w 701737"/>
              <a:gd name="csY5" fmla="*/ 438586 h 438585"/>
              <a:gd name="csX6" fmla="*/ 43859 w 701737"/>
              <a:gd name="csY6" fmla="*/ 438585 h 438585"/>
              <a:gd name="csX7" fmla="*/ 0 w 701737"/>
              <a:gd name="csY7" fmla="*/ 394726 h 438585"/>
              <a:gd name="csX8" fmla="*/ 0 w 701737"/>
              <a:gd name="csY8" fmla="*/ 43859 h 4385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701737" h="438585">
                <a:moveTo>
                  <a:pt x="0" y="43859"/>
                </a:moveTo>
                <a:cubicBezTo>
                  <a:pt x="0" y="19636"/>
                  <a:pt x="19636" y="0"/>
                  <a:pt x="43859" y="0"/>
                </a:cubicBezTo>
                <a:lnTo>
                  <a:pt x="657879" y="0"/>
                </a:lnTo>
                <a:cubicBezTo>
                  <a:pt x="682102" y="0"/>
                  <a:pt x="701738" y="19636"/>
                  <a:pt x="701738" y="43859"/>
                </a:cubicBezTo>
                <a:cubicBezTo>
                  <a:pt x="701738" y="160815"/>
                  <a:pt x="701737" y="277771"/>
                  <a:pt x="701737" y="394727"/>
                </a:cubicBezTo>
                <a:cubicBezTo>
                  <a:pt x="701737" y="418950"/>
                  <a:pt x="682101" y="438586"/>
                  <a:pt x="657878" y="438586"/>
                </a:cubicBezTo>
                <a:lnTo>
                  <a:pt x="43859" y="438585"/>
                </a:lnTo>
                <a:cubicBezTo>
                  <a:pt x="19636" y="438585"/>
                  <a:pt x="0" y="418949"/>
                  <a:pt x="0" y="394726"/>
                </a:cubicBezTo>
                <a:lnTo>
                  <a:pt x="0" y="43859"/>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28086" tIns="23006" rIns="28086" bIns="23006" numCol="1" spcCol="1270" anchor="ctr" anchorCtr="0">
            <a:noAutofit/>
          </a:bodyPr>
          <a:lstStyle/>
          <a:p>
            <a:pPr marL="0" lvl="0" indent="0" algn="ctr" defTabSz="355600">
              <a:lnSpc>
                <a:spcPct val="90000"/>
              </a:lnSpc>
              <a:spcBef>
                <a:spcPct val="0"/>
              </a:spcBef>
              <a:spcAft>
                <a:spcPct val="35000"/>
              </a:spcAft>
              <a:buNone/>
            </a:pPr>
            <a:r>
              <a:rPr lang="en-US" sz="800" kern="1200">
                <a:latin typeface="Arial" panose="020B0604020202020204" pitchFamily="34" charset="0"/>
                <a:cs typeface="Arial" panose="020B0604020202020204" pitchFamily="34" charset="0"/>
              </a:rPr>
              <a:t>Hợp</a:t>
            </a:r>
            <a:r>
              <a:rPr lang="en-US" sz="800" kern="1200" baseline="0">
                <a:latin typeface="Arial" panose="020B0604020202020204" pitchFamily="34" charset="0"/>
                <a:cs typeface="Arial" panose="020B0604020202020204" pitchFamily="34" charset="0"/>
              </a:rPr>
              <a:t> đồng phần mềm năm học 2026 - 2027</a:t>
            </a:r>
            <a:endParaRPr lang="en-US" sz="800" kern="1200">
              <a:latin typeface="Arial" panose="020B0604020202020204" pitchFamily="34" charset="0"/>
              <a:cs typeface="Arial" panose="020B0604020202020204" pitchFamily="34" charset="0"/>
            </a:endParaRPr>
          </a:p>
        </xdr:txBody>
      </xdr:sp>
      <xdr:sp macro="" textlink="">
        <xdr:nvSpPr>
          <xdr:cNvPr id="68" name="Freeform: Shape 67">
            <a:extLst>
              <a:ext uri="{FF2B5EF4-FFF2-40B4-BE49-F238E27FC236}">
                <a16:creationId xmlns:a16="http://schemas.microsoft.com/office/drawing/2014/main" id="{1C06ACA0-7152-64B4-1A01-110624D84BDD}"/>
              </a:ext>
            </a:extLst>
          </xdr:cNvPr>
          <xdr:cNvSpPr/>
        </xdr:nvSpPr>
        <xdr:spPr>
          <a:xfrm>
            <a:off x="7041439" y="83823891"/>
            <a:ext cx="91440" cy="877171"/>
          </a:xfrm>
          <a:custGeom>
            <a:avLst/>
            <a:gdLst/>
            <a:ahLst/>
            <a:cxnLst/>
            <a:rect l="0" t="0" r="0" b="0"/>
            <a:pathLst>
              <a:path>
                <a:moveTo>
                  <a:pt x="45720" y="0"/>
                </a:moveTo>
                <a:lnTo>
                  <a:pt x="45720" y="877171"/>
                </a:lnTo>
                <a:lnTo>
                  <a:pt x="133437" y="877171"/>
                </a:lnTo>
              </a:path>
            </a:pathLst>
          </a:custGeom>
          <a:noFill/>
        </xdr:spPr>
        <xdr:style>
          <a:lnRef idx="2">
            <a:schemeClr val="accent1">
              <a:shade val="6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69" name="Freeform: Shape 68">
            <a:extLst>
              <a:ext uri="{FF2B5EF4-FFF2-40B4-BE49-F238E27FC236}">
                <a16:creationId xmlns:a16="http://schemas.microsoft.com/office/drawing/2014/main" id="{EE008C65-ABFA-F421-EB0E-1117C449204C}"/>
              </a:ext>
            </a:extLst>
          </xdr:cNvPr>
          <xdr:cNvSpPr/>
        </xdr:nvSpPr>
        <xdr:spPr>
          <a:xfrm>
            <a:off x="7174876" y="84481769"/>
            <a:ext cx="701737" cy="438585"/>
          </a:xfrm>
          <a:custGeom>
            <a:avLst/>
            <a:gdLst>
              <a:gd name="csX0" fmla="*/ 0 w 701737"/>
              <a:gd name="csY0" fmla="*/ 43859 h 438585"/>
              <a:gd name="csX1" fmla="*/ 43859 w 701737"/>
              <a:gd name="csY1" fmla="*/ 0 h 438585"/>
              <a:gd name="csX2" fmla="*/ 657879 w 701737"/>
              <a:gd name="csY2" fmla="*/ 0 h 438585"/>
              <a:gd name="csX3" fmla="*/ 701738 w 701737"/>
              <a:gd name="csY3" fmla="*/ 43859 h 438585"/>
              <a:gd name="csX4" fmla="*/ 701737 w 701737"/>
              <a:gd name="csY4" fmla="*/ 394727 h 438585"/>
              <a:gd name="csX5" fmla="*/ 657878 w 701737"/>
              <a:gd name="csY5" fmla="*/ 438586 h 438585"/>
              <a:gd name="csX6" fmla="*/ 43859 w 701737"/>
              <a:gd name="csY6" fmla="*/ 438585 h 438585"/>
              <a:gd name="csX7" fmla="*/ 0 w 701737"/>
              <a:gd name="csY7" fmla="*/ 394726 h 438585"/>
              <a:gd name="csX8" fmla="*/ 0 w 701737"/>
              <a:gd name="csY8" fmla="*/ 43859 h 4385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701737" h="438585">
                <a:moveTo>
                  <a:pt x="0" y="43859"/>
                </a:moveTo>
                <a:cubicBezTo>
                  <a:pt x="0" y="19636"/>
                  <a:pt x="19636" y="0"/>
                  <a:pt x="43859" y="0"/>
                </a:cubicBezTo>
                <a:lnTo>
                  <a:pt x="657879" y="0"/>
                </a:lnTo>
                <a:cubicBezTo>
                  <a:pt x="682102" y="0"/>
                  <a:pt x="701738" y="19636"/>
                  <a:pt x="701738" y="43859"/>
                </a:cubicBezTo>
                <a:cubicBezTo>
                  <a:pt x="701738" y="160815"/>
                  <a:pt x="701737" y="277771"/>
                  <a:pt x="701737" y="394727"/>
                </a:cubicBezTo>
                <a:cubicBezTo>
                  <a:pt x="701737" y="418950"/>
                  <a:pt x="682101" y="438586"/>
                  <a:pt x="657878" y="438586"/>
                </a:cubicBezTo>
                <a:lnTo>
                  <a:pt x="43859" y="438585"/>
                </a:lnTo>
                <a:cubicBezTo>
                  <a:pt x="19636" y="438585"/>
                  <a:pt x="0" y="418949"/>
                  <a:pt x="0" y="394726"/>
                </a:cubicBezTo>
                <a:lnTo>
                  <a:pt x="0" y="43859"/>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28086" tIns="23006" rIns="28086" bIns="23006" numCol="1" spcCol="1270" anchor="ctr" anchorCtr="0">
            <a:noAutofit/>
          </a:bodyPr>
          <a:lstStyle/>
          <a:p>
            <a:pPr marL="0" lvl="0" indent="0" algn="ctr" defTabSz="355600">
              <a:lnSpc>
                <a:spcPct val="90000"/>
              </a:lnSpc>
              <a:spcBef>
                <a:spcPct val="0"/>
              </a:spcBef>
              <a:spcAft>
                <a:spcPct val="35000"/>
              </a:spcAft>
              <a:buNone/>
            </a:pPr>
            <a:r>
              <a:rPr lang="en-US" sz="800" kern="1200">
                <a:latin typeface="Arial" panose="020B0604020202020204" pitchFamily="34" charset="0"/>
                <a:cs typeface="Arial" panose="020B0604020202020204" pitchFamily="34" charset="0"/>
              </a:rPr>
              <a:t>Dashboard</a:t>
            </a:r>
            <a:r>
              <a:rPr lang="en-US" sz="800" kern="1200" baseline="0">
                <a:latin typeface="Arial" panose="020B0604020202020204" pitchFamily="34" charset="0"/>
                <a:cs typeface="Arial" panose="020B0604020202020204" pitchFamily="34" charset="0"/>
              </a:rPr>
              <a:t> và KPIs </a:t>
            </a:r>
            <a:endParaRPr lang="en-US" sz="800" kern="1200">
              <a:latin typeface="Arial" panose="020B0604020202020204" pitchFamily="34" charset="0"/>
              <a:cs typeface="Arial" panose="020B0604020202020204" pitchFamily="34" charset="0"/>
            </a:endParaRPr>
          </a:p>
        </xdr:txBody>
      </xdr:sp>
      <xdr:sp macro="" textlink="">
        <xdr:nvSpPr>
          <xdr:cNvPr id="70" name="Freeform: Shape 69">
            <a:extLst>
              <a:ext uri="{FF2B5EF4-FFF2-40B4-BE49-F238E27FC236}">
                <a16:creationId xmlns:a16="http://schemas.microsoft.com/office/drawing/2014/main" id="{1281C1EB-EB73-0089-46AB-4CC5AA9A325D}"/>
              </a:ext>
            </a:extLst>
          </xdr:cNvPr>
          <xdr:cNvSpPr/>
        </xdr:nvSpPr>
        <xdr:spPr>
          <a:xfrm>
            <a:off x="7041439" y="83823891"/>
            <a:ext cx="91440" cy="1425403"/>
          </a:xfrm>
          <a:custGeom>
            <a:avLst/>
            <a:gdLst/>
            <a:ahLst/>
            <a:cxnLst/>
            <a:rect l="0" t="0" r="0" b="0"/>
            <a:pathLst>
              <a:path>
                <a:moveTo>
                  <a:pt x="45720" y="0"/>
                </a:moveTo>
                <a:lnTo>
                  <a:pt x="45720" y="1425403"/>
                </a:lnTo>
                <a:lnTo>
                  <a:pt x="133437" y="1425403"/>
                </a:lnTo>
              </a:path>
            </a:pathLst>
          </a:custGeom>
          <a:noFill/>
        </xdr:spPr>
        <xdr:style>
          <a:lnRef idx="2">
            <a:schemeClr val="accent1">
              <a:shade val="6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71" name="Freeform: Shape 70">
            <a:extLst>
              <a:ext uri="{FF2B5EF4-FFF2-40B4-BE49-F238E27FC236}">
                <a16:creationId xmlns:a16="http://schemas.microsoft.com/office/drawing/2014/main" id="{1487AAB2-A360-61AB-E65E-F08DAB82FA97}"/>
              </a:ext>
            </a:extLst>
          </xdr:cNvPr>
          <xdr:cNvSpPr/>
        </xdr:nvSpPr>
        <xdr:spPr>
          <a:xfrm>
            <a:off x="7174876" y="85030001"/>
            <a:ext cx="701737" cy="438585"/>
          </a:xfrm>
          <a:custGeom>
            <a:avLst/>
            <a:gdLst>
              <a:gd name="csX0" fmla="*/ 0 w 701737"/>
              <a:gd name="csY0" fmla="*/ 43859 h 438585"/>
              <a:gd name="csX1" fmla="*/ 43859 w 701737"/>
              <a:gd name="csY1" fmla="*/ 0 h 438585"/>
              <a:gd name="csX2" fmla="*/ 657879 w 701737"/>
              <a:gd name="csY2" fmla="*/ 0 h 438585"/>
              <a:gd name="csX3" fmla="*/ 701738 w 701737"/>
              <a:gd name="csY3" fmla="*/ 43859 h 438585"/>
              <a:gd name="csX4" fmla="*/ 701737 w 701737"/>
              <a:gd name="csY4" fmla="*/ 394727 h 438585"/>
              <a:gd name="csX5" fmla="*/ 657878 w 701737"/>
              <a:gd name="csY5" fmla="*/ 438586 h 438585"/>
              <a:gd name="csX6" fmla="*/ 43859 w 701737"/>
              <a:gd name="csY6" fmla="*/ 438585 h 438585"/>
              <a:gd name="csX7" fmla="*/ 0 w 701737"/>
              <a:gd name="csY7" fmla="*/ 394726 h 438585"/>
              <a:gd name="csX8" fmla="*/ 0 w 701737"/>
              <a:gd name="csY8" fmla="*/ 43859 h 4385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701737" h="438585">
                <a:moveTo>
                  <a:pt x="0" y="43859"/>
                </a:moveTo>
                <a:cubicBezTo>
                  <a:pt x="0" y="19636"/>
                  <a:pt x="19636" y="0"/>
                  <a:pt x="43859" y="0"/>
                </a:cubicBezTo>
                <a:lnTo>
                  <a:pt x="657879" y="0"/>
                </a:lnTo>
                <a:cubicBezTo>
                  <a:pt x="682102" y="0"/>
                  <a:pt x="701738" y="19636"/>
                  <a:pt x="701738" y="43859"/>
                </a:cubicBezTo>
                <a:cubicBezTo>
                  <a:pt x="701738" y="160815"/>
                  <a:pt x="701737" y="277771"/>
                  <a:pt x="701737" y="394727"/>
                </a:cubicBezTo>
                <a:cubicBezTo>
                  <a:pt x="701737" y="418950"/>
                  <a:pt x="682101" y="438586"/>
                  <a:pt x="657878" y="438586"/>
                </a:cubicBezTo>
                <a:lnTo>
                  <a:pt x="43859" y="438585"/>
                </a:lnTo>
                <a:cubicBezTo>
                  <a:pt x="19636" y="438585"/>
                  <a:pt x="0" y="418949"/>
                  <a:pt x="0" y="394726"/>
                </a:cubicBezTo>
                <a:lnTo>
                  <a:pt x="0" y="43859"/>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28086" tIns="23006" rIns="28086" bIns="23006" numCol="1" spcCol="1270" anchor="ctr" anchorCtr="0">
            <a:noAutofit/>
          </a:bodyPr>
          <a:lstStyle/>
          <a:p>
            <a:pPr marL="0" lvl="0" indent="0" algn="ctr" defTabSz="355600">
              <a:lnSpc>
                <a:spcPct val="90000"/>
              </a:lnSpc>
              <a:spcBef>
                <a:spcPct val="0"/>
              </a:spcBef>
              <a:spcAft>
                <a:spcPct val="35000"/>
              </a:spcAft>
              <a:buNone/>
            </a:pPr>
            <a:r>
              <a:rPr lang="en-US" sz="800" kern="1200">
                <a:latin typeface="Arial" panose="020B0604020202020204" pitchFamily="34" charset="0"/>
                <a:cs typeface="Arial" panose="020B0604020202020204" pitchFamily="34" charset="0"/>
              </a:rPr>
              <a:t>Dự án mua sắm máy tính và phần mềm bản quyền cho thi Online </a:t>
            </a:r>
          </a:p>
        </xdr:txBody>
      </xdr:sp>
      <xdr:sp macro="" textlink="">
        <xdr:nvSpPr>
          <xdr:cNvPr id="72" name="Freeform: Shape 71">
            <a:extLst>
              <a:ext uri="{FF2B5EF4-FFF2-40B4-BE49-F238E27FC236}">
                <a16:creationId xmlns:a16="http://schemas.microsoft.com/office/drawing/2014/main" id="{E10A352A-7DC8-B571-EB3C-9323314C417E}"/>
              </a:ext>
            </a:extLst>
          </xdr:cNvPr>
          <xdr:cNvSpPr/>
        </xdr:nvSpPr>
        <xdr:spPr>
          <a:xfrm>
            <a:off x="8095906" y="83385305"/>
            <a:ext cx="877171" cy="438585"/>
          </a:xfrm>
          <a:custGeom>
            <a:avLst/>
            <a:gdLst>
              <a:gd name="csX0" fmla="*/ 0 w 877171"/>
              <a:gd name="csY0" fmla="*/ 43859 h 438585"/>
              <a:gd name="csX1" fmla="*/ 43859 w 877171"/>
              <a:gd name="csY1" fmla="*/ 0 h 438585"/>
              <a:gd name="csX2" fmla="*/ 833313 w 877171"/>
              <a:gd name="csY2" fmla="*/ 0 h 438585"/>
              <a:gd name="csX3" fmla="*/ 877172 w 877171"/>
              <a:gd name="csY3" fmla="*/ 43859 h 438585"/>
              <a:gd name="csX4" fmla="*/ 877171 w 877171"/>
              <a:gd name="csY4" fmla="*/ 394727 h 438585"/>
              <a:gd name="csX5" fmla="*/ 833312 w 877171"/>
              <a:gd name="csY5" fmla="*/ 438586 h 438585"/>
              <a:gd name="csX6" fmla="*/ 43859 w 877171"/>
              <a:gd name="csY6" fmla="*/ 438585 h 438585"/>
              <a:gd name="csX7" fmla="*/ 0 w 877171"/>
              <a:gd name="csY7" fmla="*/ 394726 h 438585"/>
              <a:gd name="csX8" fmla="*/ 0 w 877171"/>
              <a:gd name="csY8" fmla="*/ 43859 h 4385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877171" h="438585">
                <a:moveTo>
                  <a:pt x="0" y="43859"/>
                </a:moveTo>
                <a:cubicBezTo>
                  <a:pt x="0" y="19636"/>
                  <a:pt x="19636" y="0"/>
                  <a:pt x="43859" y="0"/>
                </a:cubicBezTo>
                <a:lnTo>
                  <a:pt x="833313" y="0"/>
                </a:lnTo>
                <a:cubicBezTo>
                  <a:pt x="857536" y="0"/>
                  <a:pt x="877172" y="19636"/>
                  <a:pt x="877172" y="43859"/>
                </a:cubicBezTo>
                <a:cubicBezTo>
                  <a:pt x="877172" y="160815"/>
                  <a:pt x="877171" y="277771"/>
                  <a:pt x="877171" y="394727"/>
                </a:cubicBezTo>
                <a:cubicBezTo>
                  <a:pt x="877171" y="418950"/>
                  <a:pt x="857535" y="438586"/>
                  <a:pt x="833312" y="438586"/>
                </a:cubicBezTo>
                <a:lnTo>
                  <a:pt x="43859" y="438585"/>
                </a:lnTo>
                <a:cubicBezTo>
                  <a:pt x="19636" y="438585"/>
                  <a:pt x="0" y="418949"/>
                  <a:pt x="0" y="394726"/>
                </a:cubicBezTo>
                <a:lnTo>
                  <a:pt x="0" y="43859"/>
                </a:lnTo>
                <a:close/>
              </a:path>
            </a:pathLst>
          </a:custGeom>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28086" tIns="23006" rIns="28086" bIns="23006" numCol="1" spcCol="1270" anchor="ctr" anchorCtr="0">
            <a:noAutofit/>
          </a:bodyPr>
          <a:lstStyle/>
          <a:p>
            <a:pPr marL="0" lvl="0" indent="0" algn="ctr" defTabSz="355600">
              <a:lnSpc>
                <a:spcPct val="90000"/>
              </a:lnSpc>
              <a:spcBef>
                <a:spcPct val="0"/>
              </a:spcBef>
              <a:spcAft>
                <a:spcPct val="35000"/>
              </a:spcAft>
              <a:buNone/>
            </a:pPr>
            <a:r>
              <a:rPr lang="en-US" sz="800" kern="1200">
                <a:latin typeface="Arial" panose="020B0604020202020204" pitchFamily="34" charset="0"/>
                <a:cs typeface="Arial" panose="020B0604020202020204" pitchFamily="34" charset="0"/>
              </a:rPr>
              <a:t>Bếp </a:t>
            </a:r>
          </a:p>
        </xdr:txBody>
      </xdr:sp>
      <xdr:sp macro="" textlink="">
        <xdr:nvSpPr>
          <xdr:cNvPr id="73" name="Freeform: Shape 72">
            <a:extLst>
              <a:ext uri="{FF2B5EF4-FFF2-40B4-BE49-F238E27FC236}">
                <a16:creationId xmlns:a16="http://schemas.microsoft.com/office/drawing/2014/main" id="{14B3D8E3-A159-DC28-5A74-9E05BEBF2913}"/>
              </a:ext>
            </a:extLst>
          </xdr:cNvPr>
          <xdr:cNvSpPr/>
        </xdr:nvSpPr>
        <xdr:spPr>
          <a:xfrm>
            <a:off x="8137903" y="83823891"/>
            <a:ext cx="91440" cy="328939"/>
          </a:xfrm>
          <a:custGeom>
            <a:avLst/>
            <a:gdLst/>
            <a:ahLst/>
            <a:cxnLst/>
            <a:rect l="0" t="0" r="0" b="0"/>
            <a:pathLst>
              <a:path>
                <a:moveTo>
                  <a:pt x="45720" y="0"/>
                </a:moveTo>
                <a:lnTo>
                  <a:pt x="45720" y="328939"/>
                </a:lnTo>
                <a:lnTo>
                  <a:pt x="133437" y="328939"/>
                </a:lnTo>
              </a:path>
            </a:pathLst>
          </a:custGeom>
          <a:noFill/>
        </xdr:spPr>
        <xdr:style>
          <a:lnRef idx="2">
            <a:schemeClr val="accent1">
              <a:shade val="6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74" name="Freeform: Shape 73">
            <a:extLst>
              <a:ext uri="{FF2B5EF4-FFF2-40B4-BE49-F238E27FC236}">
                <a16:creationId xmlns:a16="http://schemas.microsoft.com/office/drawing/2014/main" id="{D79F1547-578E-8A76-6D51-8B8931D39BF4}"/>
              </a:ext>
            </a:extLst>
          </xdr:cNvPr>
          <xdr:cNvSpPr/>
        </xdr:nvSpPr>
        <xdr:spPr>
          <a:xfrm>
            <a:off x="8271340" y="83933537"/>
            <a:ext cx="701737" cy="438585"/>
          </a:xfrm>
          <a:custGeom>
            <a:avLst/>
            <a:gdLst>
              <a:gd name="csX0" fmla="*/ 0 w 701737"/>
              <a:gd name="csY0" fmla="*/ 43859 h 438585"/>
              <a:gd name="csX1" fmla="*/ 43859 w 701737"/>
              <a:gd name="csY1" fmla="*/ 0 h 438585"/>
              <a:gd name="csX2" fmla="*/ 657879 w 701737"/>
              <a:gd name="csY2" fmla="*/ 0 h 438585"/>
              <a:gd name="csX3" fmla="*/ 701738 w 701737"/>
              <a:gd name="csY3" fmla="*/ 43859 h 438585"/>
              <a:gd name="csX4" fmla="*/ 701737 w 701737"/>
              <a:gd name="csY4" fmla="*/ 394727 h 438585"/>
              <a:gd name="csX5" fmla="*/ 657878 w 701737"/>
              <a:gd name="csY5" fmla="*/ 438586 h 438585"/>
              <a:gd name="csX6" fmla="*/ 43859 w 701737"/>
              <a:gd name="csY6" fmla="*/ 438585 h 438585"/>
              <a:gd name="csX7" fmla="*/ 0 w 701737"/>
              <a:gd name="csY7" fmla="*/ 394726 h 438585"/>
              <a:gd name="csX8" fmla="*/ 0 w 701737"/>
              <a:gd name="csY8" fmla="*/ 43859 h 4385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701737" h="438585">
                <a:moveTo>
                  <a:pt x="0" y="43859"/>
                </a:moveTo>
                <a:cubicBezTo>
                  <a:pt x="0" y="19636"/>
                  <a:pt x="19636" y="0"/>
                  <a:pt x="43859" y="0"/>
                </a:cubicBezTo>
                <a:lnTo>
                  <a:pt x="657879" y="0"/>
                </a:lnTo>
                <a:cubicBezTo>
                  <a:pt x="682102" y="0"/>
                  <a:pt x="701738" y="19636"/>
                  <a:pt x="701738" y="43859"/>
                </a:cubicBezTo>
                <a:cubicBezTo>
                  <a:pt x="701738" y="160815"/>
                  <a:pt x="701737" y="277771"/>
                  <a:pt x="701737" y="394727"/>
                </a:cubicBezTo>
                <a:cubicBezTo>
                  <a:pt x="701737" y="418950"/>
                  <a:pt x="682101" y="438586"/>
                  <a:pt x="657878" y="438586"/>
                </a:cubicBezTo>
                <a:lnTo>
                  <a:pt x="43859" y="438585"/>
                </a:lnTo>
                <a:cubicBezTo>
                  <a:pt x="19636" y="438585"/>
                  <a:pt x="0" y="418949"/>
                  <a:pt x="0" y="394726"/>
                </a:cubicBezTo>
                <a:lnTo>
                  <a:pt x="0" y="43859"/>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28086" tIns="23006" rIns="28086" bIns="23006" numCol="1" spcCol="1270" anchor="ctr" anchorCtr="0">
            <a:noAutofit/>
          </a:bodyPr>
          <a:lstStyle/>
          <a:p>
            <a:pPr marL="0" lvl="0" indent="0" algn="ctr" defTabSz="355600">
              <a:lnSpc>
                <a:spcPct val="90000"/>
              </a:lnSpc>
              <a:spcBef>
                <a:spcPct val="0"/>
              </a:spcBef>
              <a:spcAft>
                <a:spcPct val="35000"/>
              </a:spcAft>
              <a:buNone/>
            </a:pPr>
            <a:r>
              <a:rPr lang="en-US" sz="800" kern="1200">
                <a:latin typeface="Arial" panose="020B0604020202020204" pitchFamily="34" charset="0"/>
                <a:cs typeface="Arial" panose="020B0604020202020204" pitchFamily="34" charset="0"/>
              </a:rPr>
              <a:t>Dự án ISO (kiểm định ngoài), tich hợp quy trình online </a:t>
            </a:r>
          </a:p>
        </xdr:txBody>
      </xdr:sp>
      <xdr:sp macro="" textlink="">
        <xdr:nvSpPr>
          <xdr:cNvPr id="75" name="Freeform: Shape 74">
            <a:extLst>
              <a:ext uri="{FF2B5EF4-FFF2-40B4-BE49-F238E27FC236}">
                <a16:creationId xmlns:a16="http://schemas.microsoft.com/office/drawing/2014/main" id="{6810E11C-B5E1-584B-154B-BD1E03AAE213}"/>
              </a:ext>
            </a:extLst>
          </xdr:cNvPr>
          <xdr:cNvSpPr/>
        </xdr:nvSpPr>
        <xdr:spPr>
          <a:xfrm>
            <a:off x="8137903" y="83823891"/>
            <a:ext cx="91440" cy="877171"/>
          </a:xfrm>
          <a:custGeom>
            <a:avLst/>
            <a:gdLst/>
            <a:ahLst/>
            <a:cxnLst/>
            <a:rect l="0" t="0" r="0" b="0"/>
            <a:pathLst>
              <a:path>
                <a:moveTo>
                  <a:pt x="45720" y="0"/>
                </a:moveTo>
                <a:lnTo>
                  <a:pt x="45720" y="877171"/>
                </a:lnTo>
                <a:lnTo>
                  <a:pt x="133437" y="877171"/>
                </a:lnTo>
              </a:path>
            </a:pathLst>
          </a:custGeom>
          <a:noFill/>
        </xdr:spPr>
        <xdr:style>
          <a:lnRef idx="2">
            <a:schemeClr val="accent1">
              <a:shade val="6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76" name="Freeform: Shape 75">
            <a:extLst>
              <a:ext uri="{FF2B5EF4-FFF2-40B4-BE49-F238E27FC236}">
                <a16:creationId xmlns:a16="http://schemas.microsoft.com/office/drawing/2014/main" id="{DA34E8F0-6237-FC12-805E-F17DF27AFB6A}"/>
              </a:ext>
            </a:extLst>
          </xdr:cNvPr>
          <xdr:cNvSpPr/>
        </xdr:nvSpPr>
        <xdr:spPr>
          <a:xfrm>
            <a:off x="8271340" y="84481769"/>
            <a:ext cx="701737" cy="438585"/>
          </a:xfrm>
          <a:custGeom>
            <a:avLst/>
            <a:gdLst>
              <a:gd name="csX0" fmla="*/ 0 w 701737"/>
              <a:gd name="csY0" fmla="*/ 43859 h 438585"/>
              <a:gd name="csX1" fmla="*/ 43859 w 701737"/>
              <a:gd name="csY1" fmla="*/ 0 h 438585"/>
              <a:gd name="csX2" fmla="*/ 657879 w 701737"/>
              <a:gd name="csY2" fmla="*/ 0 h 438585"/>
              <a:gd name="csX3" fmla="*/ 701738 w 701737"/>
              <a:gd name="csY3" fmla="*/ 43859 h 438585"/>
              <a:gd name="csX4" fmla="*/ 701737 w 701737"/>
              <a:gd name="csY4" fmla="*/ 394727 h 438585"/>
              <a:gd name="csX5" fmla="*/ 657878 w 701737"/>
              <a:gd name="csY5" fmla="*/ 438586 h 438585"/>
              <a:gd name="csX6" fmla="*/ 43859 w 701737"/>
              <a:gd name="csY6" fmla="*/ 438585 h 438585"/>
              <a:gd name="csX7" fmla="*/ 0 w 701737"/>
              <a:gd name="csY7" fmla="*/ 394726 h 438585"/>
              <a:gd name="csX8" fmla="*/ 0 w 701737"/>
              <a:gd name="csY8" fmla="*/ 43859 h 4385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701737" h="438585">
                <a:moveTo>
                  <a:pt x="0" y="43859"/>
                </a:moveTo>
                <a:cubicBezTo>
                  <a:pt x="0" y="19636"/>
                  <a:pt x="19636" y="0"/>
                  <a:pt x="43859" y="0"/>
                </a:cubicBezTo>
                <a:lnTo>
                  <a:pt x="657879" y="0"/>
                </a:lnTo>
                <a:cubicBezTo>
                  <a:pt x="682102" y="0"/>
                  <a:pt x="701738" y="19636"/>
                  <a:pt x="701738" y="43859"/>
                </a:cubicBezTo>
                <a:cubicBezTo>
                  <a:pt x="701738" y="160815"/>
                  <a:pt x="701737" y="277771"/>
                  <a:pt x="701737" y="394727"/>
                </a:cubicBezTo>
                <a:cubicBezTo>
                  <a:pt x="701737" y="418950"/>
                  <a:pt x="682101" y="438586"/>
                  <a:pt x="657878" y="438586"/>
                </a:cubicBezTo>
                <a:lnTo>
                  <a:pt x="43859" y="438585"/>
                </a:lnTo>
                <a:cubicBezTo>
                  <a:pt x="19636" y="438585"/>
                  <a:pt x="0" y="418949"/>
                  <a:pt x="0" y="394726"/>
                </a:cubicBezTo>
                <a:lnTo>
                  <a:pt x="0" y="43859"/>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28086" tIns="23006" rIns="28086" bIns="23006" numCol="1" spcCol="1270" anchor="ctr" anchorCtr="0">
            <a:noAutofit/>
          </a:bodyPr>
          <a:lstStyle/>
          <a:p>
            <a:pPr marL="0" lvl="0" indent="0" algn="ctr" defTabSz="355600">
              <a:lnSpc>
                <a:spcPct val="90000"/>
              </a:lnSpc>
              <a:spcBef>
                <a:spcPct val="0"/>
              </a:spcBef>
              <a:spcAft>
                <a:spcPct val="35000"/>
              </a:spcAft>
              <a:buNone/>
            </a:pPr>
            <a:r>
              <a:rPr lang="en-US" sz="800" kern="1200">
                <a:latin typeface="Arial" panose="020B0604020202020204" pitchFamily="34" charset="0"/>
                <a:cs typeface="Arial" panose="020B0604020202020204" pitchFamily="34" charset="0"/>
              </a:rPr>
              <a:t>Dự án cải tạo bếp </a:t>
            </a:r>
          </a:p>
        </xdr:txBody>
      </xdr:sp>
      <xdr:sp macro="" textlink="">
        <xdr:nvSpPr>
          <xdr:cNvPr id="77" name="Freeform: Shape 76">
            <a:extLst>
              <a:ext uri="{FF2B5EF4-FFF2-40B4-BE49-F238E27FC236}">
                <a16:creationId xmlns:a16="http://schemas.microsoft.com/office/drawing/2014/main" id="{1A9EE779-3F74-98D6-3EDF-A30806C1E978}"/>
              </a:ext>
            </a:extLst>
          </xdr:cNvPr>
          <xdr:cNvSpPr/>
        </xdr:nvSpPr>
        <xdr:spPr>
          <a:xfrm>
            <a:off x="8137903" y="83823891"/>
            <a:ext cx="91440" cy="1425403"/>
          </a:xfrm>
          <a:custGeom>
            <a:avLst/>
            <a:gdLst/>
            <a:ahLst/>
            <a:cxnLst/>
            <a:rect l="0" t="0" r="0" b="0"/>
            <a:pathLst>
              <a:path>
                <a:moveTo>
                  <a:pt x="45720" y="0"/>
                </a:moveTo>
                <a:lnTo>
                  <a:pt x="45720" y="1425403"/>
                </a:lnTo>
                <a:lnTo>
                  <a:pt x="133437" y="1425403"/>
                </a:lnTo>
              </a:path>
            </a:pathLst>
          </a:custGeom>
          <a:noFill/>
        </xdr:spPr>
        <xdr:style>
          <a:lnRef idx="2">
            <a:schemeClr val="accent1">
              <a:shade val="60000"/>
              <a:hueOff val="0"/>
              <a:satOff val="0"/>
              <a:lumOff val="0"/>
              <a:alphaOff val="0"/>
            </a:schemeClr>
          </a:lnRef>
          <a:fillRef idx="0">
            <a:scrgbClr r="0" g="0" b="0"/>
          </a:fillRef>
          <a:effectRef idx="0">
            <a:schemeClr val="accent1">
              <a:hueOff val="0"/>
              <a:satOff val="0"/>
              <a:lumOff val="0"/>
              <a:alphaOff val="0"/>
            </a:schemeClr>
          </a:effectRef>
          <a:fontRef idx="minor">
            <a:schemeClr val="tx1">
              <a:hueOff val="0"/>
              <a:satOff val="0"/>
              <a:lumOff val="0"/>
              <a:alphaOff val="0"/>
            </a:schemeClr>
          </a:fontRef>
        </xdr:style>
      </xdr:sp>
      <xdr:sp macro="" textlink="">
        <xdr:nvSpPr>
          <xdr:cNvPr id="78" name="Freeform: Shape 77">
            <a:extLst>
              <a:ext uri="{FF2B5EF4-FFF2-40B4-BE49-F238E27FC236}">
                <a16:creationId xmlns:a16="http://schemas.microsoft.com/office/drawing/2014/main" id="{74C21F71-4E21-9A98-E634-950F5E861FDB}"/>
              </a:ext>
            </a:extLst>
          </xdr:cNvPr>
          <xdr:cNvSpPr/>
        </xdr:nvSpPr>
        <xdr:spPr>
          <a:xfrm>
            <a:off x="8271340" y="85030001"/>
            <a:ext cx="701737" cy="438585"/>
          </a:xfrm>
          <a:custGeom>
            <a:avLst/>
            <a:gdLst>
              <a:gd name="csX0" fmla="*/ 0 w 701737"/>
              <a:gd name="csY0" fmla="*/ 43859 h 438585"/>
              <a:gd name="csX1" fmla="*/ 43859 w 701737"/>
              <a:gd name="csY1" fmla="*/ 0 h 438585"/>
              <a:gd name="csX2" fmla="*/ 657879 w 701737"/>
              <a:gd name="csY2" fmla="*/ 0 h 438585"/>
              <a:gd name="csX3" fmla="*/ 701738 w 701737"/>
              <a:gd name="csY3" fmla="*/ 43859 h 438585"/>
              <a:gd name="csX4" fmla="*/ 701737 w 701737"/>
              <a:gd name="csY4" fmla="*/ 394727 h 438585"/>
              <a:gd name="csX5" fmla="*/ 657878 w 701737"/>
              <a:gd name="csY5" fmla="*/ 438586 h 438585"/>
              <a:gd name="csX6" fmla="*/ 43859 w 701737"/>
              <a:gd name="csY6" fmla="*/ 438585 h 438585"/>
              <a:gd name="csX7" fmla="*/ 0 w 701737"/>
              <a:gd name="csY7" fmla="*/ 394726 h 438585"/>
              <a:gd name="csX8" fmla="*/ 0 w 701737"/>
              <a:gd name="csY8" fmla="*/ 43859 h 43858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701737" h="438585">
                <a:moveTo>
                  <a:pt x="0" y="43859"/>
                </a:moveTo>
                <a:cubicBezTo>
                  <a:pt x="0" y="19636"/>
                  <a:pt x="19636" y="0"/>
                  <a:pt x="43859" y="0"/>
                </a:cubicBezTo>
                <a:lnTo>
                  <a:pt x="657879" y="0"/>
                </a:lnTo>
                <a:cubicBezTo>
                  <a:pt x="682102" y="0"/>
                  <a:pt x="701738" y="19636"/>
                  <a:pt x="701738" y="43859"/>
                </a:cubicBezTo>
                <a:cubicBezTo>
                  <a:pt x="701738" y="160815"/>
                  <a:pt x="701737" y="277771"/>
                  <a:pt x="701737" y="394727"/>
                </a:cubicBezTo>
                <a:cubicBezTo>
                  <a:pt x="701737" y="418950"/>
                  <a:pt x="682101" y="438586"/>
                  <a:pt x="657878" y="438586"/>
                </a:cubicBezTo>
                <a:lnTo>
                  <a:pt x="43859" y="438585"/>
                </a:lnTo>
                <a:cubicBezTo>
                  <a:pt x="19636" y="438585"/>
                  <a:pt x="0" y="418949"/>
                  <a:pt x="0" y="394726"/>
                </a:cubicBezTo>
                <a:lnTo>
                  <a:pt x="0" y="43859"/>
                </a:lnTo>
                <a:close/>
              </a:path>
            </a:pathLst>
          </a:custGeom>
        </xdr:spPr>
        <xdr:style>
          <a:lnRef idx="2">
            <a:schemeClr val="accent1">
              <a:hueOff val="0"/>
              <a:satOff val="0"/>
              <a:lumOff val="0"/>
              <a:alphaOff val="0"/>
            </a:schemeClr>
          </a:lnRef>
          <a:fillRef idx="1">
            <a:schemeClr val="lt1">
              <a:alpha val="90000"/>
              <a:hueOff val="0"/>
              <a:satOff val="0"/>
              <a:lumOff val="0"/>
              <a:alphaOff val="0"/>
            </a:schemeClr>
          </a:fillRef>
          <a:effectRef idx="0">
            <a:schemeClr val="lt1">
              <a:alpha val="90000"/>
              <a:hueOff val="0"/>
              <a:satOff val="0"/>
              <a:lumOff val="0"/>
              <a:alphaOff val="0"/>
            </a:schemeClr>
          </a:effectRef>
          <a:fontRef idx="minor">
            <a:schemeClr val="dk1">
              <a:hueOff val="0"/>
              <a:satOff val="0"/>
              <a:lumOff val="0"/>
              <a:alphaOff val="0"/>
            </a:schemeClr>
          </a:fontRef>
        </xdr:style>
        <xdr:txBody>
          <a:bodyPr spcFirstLastPara="0" vert="horz" wrap="square" lIns="28086" tIns="23006" rIns="28086" bIns="23006" numCol="1" spcCol="1270" anchor="ctr" anchorCtr="0">
            <a:noAutofit/>
          </a:bodyPr>
          <a:lstStyle/>
          <a:p>
            <a:pPr marL="0" lvl="0" indent="0" algn="ctr" defTabSz="355600">
              <a:lnSpc>
                <a:spcPct val="90000"/>
              </a:lnSpc>
              <a:spcBef>
                <a:spcPct val="0"/>
              </a:spcBef>
              <a:spcAft>
                <a:spcPct val="35000"/>
              </a:spcAft>
              <a:buNone/>
            </a:pPr>
            <a:r>
              <a:rPr lang="en-US" sz="800" kern="1200">
                <a:latin typeface="Arial" panose="020B0604020202020204" pitchFamily="34" charset="0"/>
                <a:cs typeface="Arial" panose="020B0604020202020204" pitchFamily="34" charset="0"/>
              </a:rPr>
              <a:t>Tập</a:t>
            </a:r>
            <a:r>
              <a:rPr lang="en-US" sz="800" kern="1200" baseline="0">
                <a:latin typeface="Arial" panose="020B0604020202020204" pitchFamily="34" charset="0"/>
                <a:cs typeface="Arial" panose="020B0604020202020204" pitchFamily="34" charset="0"/>
              </a:rPr>
              <a:t> huấn ATTP </a:t>
            </a:r>
            <a:endParaRPr lang="en-US" sz="800" kern="1200">
              <a:latin typeface="Arial" panose="020B0604020202020204" pitchFamily="34" charset="0"/>
              <a:cs typeface="Arial" panose="020B0604020202020204" pitchFamily="34" charset="0"/>
            </a:endParaRPr>
          </a:p>
        </xdr:txBody>
      </xdr:sp>
    </xdr:grpSp>
    <xdr:clientData/>
  </xdr:twoCellAnchor>
  <xdr:twoCellAnchor>
    <xdr:from>
      <xdr:col>1</xdr:col>
      <xdr:colOff>0</xdr:colOff>
      <xdr:row>35</xdr:row>
      <xdr:rowOff>141942</xdr:rowOff>
    </xdr:from>
    <xdr:to>
      <xdr:col>9</xdr:col>
      <xdr:colOff>449035</xdr:colOff>
      <xdr:row>47</xdr:row>
      <xdr:rowOff>7472</xdr:rowOff>
    </xdr:to>
    <xdr:graphicFrame macro="">
      <xdr:nvGraphicFramePr>
        <xdr:cNvPr id="6" name="Chart 5">
          <a:extLst>
            <a:ext uri="{FF2B5EF4-FFF2-40B4-BE49-F238E27FC236}">
              <a16:creationId xmlns:a16="http://schemas.microsoft.com/office/drawing/2014/main" id="{6A230C0C-0ACE-4AE9-8368-AD09773DD9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14941</xdr:colOff>
      <xdr:row>47</xdr:row>
      <xdr:rowOff>224118</xdr:rowOff>
    </xdr:from>
    <xdr:to>
      <xdr:col>9</xdr:col>
      <xdr:colOff>463976</xdr:colOff>
      <xdr:row>55</xdr:row>
      <xdr:rowOff>112059</xdr:rowOff>
    </xdr:to>
    <xdr:graphicFrame macro="">
      <xdr:nvGraphicFramePr>
        <xdr:cNvPr id="10" name="Chart 9">
          <a:extLst>
            <a:ext uri="{FF2B5EF4-FFF2-40B4-BE49-F238E27FC236}">
              <a16:creationId xmlns:a16="http://schemas.microsoft.com/office/drawing/2014/main" id="{2BD42E34-5A42-4F21-93D7-B6C92D72F2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0</xdr:colOff>
      <xdr:row>76</xdr:row>
      <xdr:rowOff>108858</xdr:rowOff>
    </xdr:from>
    <xdr:to>
      <xdr:col>3</xdr:col>
      <xdr:colOff>1387928</xdr:colOff>
      <xdr:row>85</xdr:row>
      <xdr:rowOff>155495</xdr:rowOff>
    </xdr:to>
    <xdr:graphicFrame macro="">
      <xdr:nvGraphicFramePr>
        <xdr:cNvPr id="17" name="Chart 16">
          <a:extLst>
            <a:ext uri="{FF2B5EF4-FFF2-40B4-BE49-F238E27FC236}">
              <a16:creationId xmlns:a16="http://schemas.microsoft.com/office/drawing/2014/main" id="{86F845F7-5B78-4B3C-BA73-6810B7B557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1608362</xdr:colOff>
      <xdr:row>76</xdr:row>
      <xdr:rowOff>99785</xdr:rowOff>
    </xdr:from>
    <xdr:to>
      <xdr:col>9</xdr:col>
      <xdr:colOff>517071</xdr:colOff>
      <xdr:row>85</xdr:row>
      <xdr:rowOff>146422</xdr:rowOff>
    </xdr:to>
    <xdr:graphicFrame macro="">
      <xdr:nvGraphicFramePr>
        <xdr:cNvPr id="19" name="Chart 18">
          <a:extLst>
            <a:ext uri="{FF2B5EF4-FFF2-40B4-BE49-F238E27FC236}">
              <a16:creationId xmlns:a16="http://schemas.microsoft.com/office/drawing/2014/main" id="{6E5E1208-873F-43FE-9E25-518831974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353785</xdr:colOff>
      <xdr:row>109</xdr:row>
      <xdr:rowOff>0</xdr:rowOff>
    </xdr:from>
    <xdr:to>
      <xdr:col>9</xdr:col>
      <xdr:colOff>662213</xdr:colOff>
      <xdr:row>117</xdr:row>
      <xdr:rowOff>136072</xdr:rowOff>
    </xdr:to>
    <xdr:graphicFrame macro="">
      <xdr:nvGraphicFramePr>
        <xdr:cNvPr id="79" name="Chart 78">
          <a:extLst>
            <a:ext uri="{FF2B5EF4-FFF2-40B4-BE49-F238E27FC236}">
              <a16:creationId xmlns:a16="http://schemas.microsoft.com/office/drawing/2014/main" id="{01410698-1A8F-4BBC-8CAC-6DDB604AF4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326571</xdr:colOff>
      <xdr:row>120</xdr:row>
      <xdr:rowOff>27213</xdr:rowOff>
    </xdr:from>
    <xdr:to>
      <xdr:col>9</xdr:col>
      <xdr:colOff>598714</xdr:colOff>
      <xdr:row>129</xdr:row>
      <xdr:rowOff>263072</xdr:rowOff>
    </xdr:to>
    <xdr:graphicFrame macro="">
      <xdr:nvGraphicFramePr>
        <xdr:cNvPr id="80" name="Chart 79">
          <a:extLst>
            <a:ext uri="{FF2B5EF4-FFF2-40B4-BE49-F238E27FC236}">
              <a16:creationId xmlns:a16="http://schemas.microsoft.com/office/drawing/2014/main" id="{F80804D4-2545-4B34-B4BF-B5B39F06E3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xdr:col>
      <xdr:colOff>0</xdr:colOff>
      <xdr:row>131</xdr:row>
      <xdr:rowOff>571500</xdr:rowOff>
    </xdr:from>
    <xdr:to>
      <xdr:col>9</xdr:col>
      <xdr:colOff>625928</xdr:colOff>
      <xdr:row>141</xdr:row>
      <xdr:rowOff>99785</xdr:rowOff>
    </xdr:to>
    <xdr:graphicFrame macro="">
      <xdr:nvGraphicFramePr>
        <xdr:cNvPr id="83" name="Chart 82">
          <a:extLst>
            <a:ext uri="{FF2B5EF4-FFF2-40B4-BE49-F238E27FC236}">
              <a16:creationId xmlns:a16="http://schemas.microsoft.com/office/drawing/2014/main" id="{079BBADB-63CF-4C54-8398-60EC73864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xdr:col>
      <xdr:colOff>0</xdr:colOff>
      <xdr:row>144</xdr:row>
      <xdr:rowOff>0</xdr:rowOff>
    </xdr:from>
    <xdr:to>
      <xdr:col>9</xdr:col>
      <xdr:colOff>616857</xdr:colOff>
      <xdr:row>152</xdr:row>
      <xdr:rowOff>508000</xdr:rowOff>
    </xdr:to>
    <xdr:graphicFrame macro="">
      <xdr:nvGraphicFramePr>
        <xdr:cNvPr id="84" name="Chart 83">
          <a:extLst>
            <a:ext uri="{FF2B5EF4-FFF2-40B4-BE49-F238E27FC236}">
              <a16:creationId xmlns:a16="http://schemas.microsoft.com/office/drawing/2014/main" id="{B57C8516-37F3-4A38-93EB-85E216CE4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27213</xdr:colOff>
      <xdr:row>156</xdr:row>
      <xdr:rowOff>18142</xdr:rowOff>
    </xdr:from>
    <xdr:to>
      <xdr:col>2</xdr:col>
      <xdr:colOff>272142</xdr:colOff>
      <xdr:row>158</xdr:row>
      <xdr:rowOff>244929</xdr:rowOff>
    </xdr:to>
    <xdr:sp macro="" textlink="">
      <xdr:nvSpPr>
        <xdr:cNvPr id="5" name="TextBox 4">
          <a:extLst>
            <a:ext uri="{FF2B5EF4-FFF2-40B4-BE49-F238E27FC236}">
              <a16:creationId xmlns:a16="http://schemas.microsoft.com/office/drawing/2014/main" id="{B24FF448-62F1-78EC-6266-F79EDBF48CDC}"/>
            </a:ext>
          </a:extLst>
        </xdr:cNvPr>
        <xdr:cNvSpPr txBox="1"/>
      </xdr:nvSpPr>
      <xdr:spPr>
        <a:xfrm>
          <a:off x="399142" y="38281428"/>
          <a:ext cx="1950357" cy="7529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Arial" panose="020B0604020202020204" pitchFamily="34" charset="0"/>
              <a:ea typeface="+mn-ea"/>
              <a:cs typeface="Arial" panose="020B0604020202020204" pitchFamily="34" charset="0"/>
            </a:rPr>
            <a:t>MẮT (TAT KHÚC XẠ)</a:t>
          </a:r>
        </a:p>
        <a:p>
          <a:r>
            <a:rPr lang="en-US" sz="1800" b="1" i="0">
              <a:solidFill>
                <a:schemeClr val="tx2">
                  <a:lumMod val="50000"/>
                  <a:lumOff val="50000"/>
                </a:schemeClr>
              </a:solidFill>
              <a:effectLst/>
              <a:latin typeface="Arial" panose="020B0604020202020204" pitchFamily="34" charset="0"/>
              <a:ea typeface="+mn-ea"/>
              <a:cs typeface="Arial" panose="020B0604020202020204" pitchFamily="34" charset="0"/>
            </a:rPr>
            <a:t>58,28%</a:t>
          </a:r>
        </a:p>
        <a:p>
          <a:r>
            <a:rPr lang="en-US" sz="1100" b="0" i="0">
              <a:solidFill>
                <a:schemeClr val="dk1"/>
              </a:solidFill>
              <a:effectLst/>
              <a:latin typeface="Arial" panose="020B0604020202020204" pitchFamily="34" charset="0"/>
              <a:ea typeface="+mn-ea"/>
              <a:cs typeface="Arial" panose="020B0604020202020204" pitchFamily="34" charset="0"/>
            </a:rPr>
            <a:t>1.246 HS cần đo/cắt kính</a:t>
          </a:r>
          <a:endParaRPr lang="en-US" sz="1100">
            <a:latin typeface="Arial" panose="020B0604020202020204" pitchFamily="34" charset="0"/>
            <a:cs typeface="Arial" panose="020B0604020202020204" pitchFamily="34" charset="0"/>
          </a:endParaRPr>
        </a:p>
      </xdr:txBody>
    </xdr:sp>
    <xdr:clientData/>
  </xdr:twoCellAnchor>
  <xdr:twoCellAnchor>
    <xdr:from>
      <xdr:col>2</xdr:col>
      <xdr:colOff>417286</xdr:colOff>
      <xdr:row>156</xdr:row>
      <xdr:rowOff>18142</xdr:rowOff>
    </xdr:from>
    <xdr:to>
      <xdr:col>3</xdr:col>
      <xdr:colOff>1152071</xdr:colOff>
      <xdr:row>158</xdr:row>
      <xdr:rowOff>244929</xdr:rowOff>
    </xdr:to>
    <xdr:sp macro="" textlink="">
      <xdr:nvSpPr>
        <xdr:cNvPr id="7" name="TextBox 6">
          <a:extLst>
            <a:ext uri="{FF2B5EF4-FFF2-40B4-BE49-F238E27FC236}">
              <a16:creationId xmlns:a16="http://schemas.microsoft.com/office/drawing/2014/main" id="{3AE2FEA4-EF8E-2C8C-DD6D-3EDBF23A4A0B}"/>
            </a:ext>
          </a:extLst>
        </xdr:cNvPr>
        <xdr:cNvSpPr txBox="1"/>
      </xdr:nvSpPr>
      <xdr:spPr>
        <a:xfrm>
          <a:off x="2494643" y="38281428"/>
          <a:ext cx="2059214" cy="7529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Arial" panose="020B0604020202020204" pitchFamily="34" charset="0"/>
              <a:ea typeface="+mn-ea"/>
              <a:cs typeface="Arial" panose="020B0604020202020204" pitchFamily="34" charset="0"/>
            </a:rPr>
            <a:t>RĂNG</a:t>
          </a:r>
          <a:r>
            <a:rPr lang="en-US" sz="1100" b="1" i="0" baseline="0">
              <a:solidFill>
                <a:schemeClr val="dk1"/>
              </a:solidFill>
              <a:effectLst/>
              <a:latin typeface="Arial" panose="020B0604020202020204" pitchFamily="34" charset="0"/>
              <a:ea typeface="+mn-ea"/>
              <a:cs typeface="Arial" panose="020B0604020202020204" pitchFamily="34" charset="0"/>
            </a:rPr>
            <a:t> HÀM MẶT</a:t>
          </a:r>
          <a:endParaRPr lang="en-US" sz="1100" b="1" i="0">
            <a:solidFill>
              <a:schemeClr val="dk1"/>
            </a:solidFill>
            <a:effectLst/>
            <a:latin typeface="Arial" panose="020B0604020202020204" pitchFamily="34" charset="0"/>
            <a:ea typeface="+mn-ea"/>
            <a:cs typeface="Arial" panose="020B0604020202020204" pitchFamily="34" charset="0"/>
          </a:endParaRPr>
        </a:p>
        <a:p>
          <a:r>
            <a:rPr lang="en-US" sz="1600" b="1" i="0">
              <a:solidFill>
                <a:schemeClr val="accent2"/>
              </a:solidFill>
              <a:effectLst/>
              <a:latin typeface="Arial" panose="020B0604020202020204" pitchFamily="34" charset="0"/>
              <a:ea typeface="+mn-ea"/>
              <a:cs typeface="Arial" panose="020B0604020202020204" pitchFamily="34" charset="0"/>
            </a:rPr>
            <a:t>34,56%</a:t>
          </a:r>
        </a:p>
        <a:p>
          <a:r>
            <a:rPr lang="en-US" sz="1100" b="0" i="0">
              <a:solidFill>
                <a:schemeClr val="dk1"/>
              </a:solidFill>
              <a:effectLst/>
              <a:latin typeface="Arial" panose="020B0604020202020204" pitchFamily="34" charset="0"/>
              <a:ea typeface="+mn-ea"/>
              <a:cs typeface="Arial" panose="020B0604020202020204" pitchFamily="34" charset="0"/>
            </a:rPr>
            <a:t>635 HS sâu răng (29,65%)</a:t>
          </a:r>
          <a:endParaRPr lang="en-US" sz="1100">
            <a:latin typeface="Arial" panose="020B0604020202020204" pitchFamily="34" charset="0"/>
            <a:cs typeface="Arial" panose="020B0604020202020204" pitchFamily="34" charset="0"/>
          </a:endParaRPr>
        </a:p>
      </xdr:txBody>
    </xdr:sp>
    <xdr:clientData/>
  </xdr:twoCellAnchor>
  <xdr:twoCellAnchor>
    <xdr:from>
      <xdr:col>3</xdr:col>
      <xdr:colOff>1242785</xdr:colOff>
      <xdr:row>156</xdr:row>
      <xdr:rowOff>18142</xdr:rowOff>
    </xdr:from>
    <xdr:to>
      <xdr:col>5</xdr:col>
      <xdr:colOff>816428</xdr:colOff>
      <xdr:row>158</xdr:row>
      <xdr:rowOff>244929</xdr:rowOff>
    </xdr:to>
    <xdr:sp macro="" textlink="">
      <xdr:nvSpPr>
        <xdr:cNvPr id="26" name="TextBox 25">
          <a:extLst>
            <a:ext uri="{FF2B5EF4-FFF2-40B4-BE49-F238E27FC236}">
              <a16:creationId xmlns:a16="http://schemas.microsoft.com/office/drawing/2014/main" id="{14E4DC74-8F9D-4B5D-1EED-7A2B34BD2D7E}"/>
            </a:ext>
          </a:extLst>
        </xdr:cNvPr>
        <xdr:cNvSpPr txBox="1"/>
      </xdr:nvSpPr>
      <xdr:spPr>
        <a:xfrm>
          <a:off x="4644571" y="38281428"/>
          <a:ext cx="2413000" cy="7529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Arial" panose="020B0604020202020204" pitchFamily="34" charset="0"/>
              <a:ea typeface="+mn-ea"/>
              <a:cs typeface="Arial" panose="020B0604020202020204" pitchFamily="34" charset="0"/>
            </a:rPr>
            <a:t>THỪA</a:t>
          </a:r>
          <a:r>
            <a:rPr lang="en-US" sz="1100" b="1" i="0" baseline="0">
              <a:solidFill>
                <a:schemeClr val="dk1"/>
              </a:solidFill>
              <a:effectLst/>
              <a:latin typeface="Arial" panose="020B0604020202020204" pitchFamily="34" charset="0"/>
              <a:ea typeface="+mn-ea"/>
              <a:cs typeface="Arial" panose="020B0604020202020204" pitchFamily="34" charset="0"/>
            </a:rPr>
            <a:t> CÂN BÉO PHÌ</a:t>
          </a:r>
          <a:endParaRPr lang="en-US" sz="1100" b="1" i="0">
            <a:solidFill>
              <a:schemeClr val="dk1"/>
            </a:solidFill>
            <a:effectLst/>
            <a:latin typeface="Arial" panose="020B0604020202020204" pitchFamily="34" charset="0"/>
            <a:ea typeface="+mn-ea"/>
            <a:cs typeface="Arial" panose="020B0604020202020204" pitchFamily="34" charset="0"/>
          </a:endParaRPr>
        </a:p>
        <a:p>
          <a:r>
            <a:rPr lang="en-US" sz="1600" b="1" i="0">
              <a:solidFill>
                <a:srgbClr val="FF0000"/>
              </a:solidFill>
              <a:effectLst/>
              <a:latin typeface="Arial" panose="020B0604020202020204" pitchFamily="34" charset="0"/>
              <a:ea typeface="+mn-ea"/>
              <a:cs typeface="Arial" panose="020B0604020202020204" pitchFamily="34" charset="0"/>
            </a:rPr>
            <a:t>21,6%</a:t>
          </a:r>
        </a:p>
        <a:p>
          <a:r>
            <a:rPr lang="en-US" sz="1100" b="0" i="0">
              <a:solidFill>
                <a:schemeClr val="dk1"/>
              </a:solidFill>
              <a:effectLst/>
              <a:latin typeface="Arial" panose="020B0604020202020204" pitchFamily="34" charset="0"/>
              <a:ea typeface="+mn-ea"/>
              <a:cs typeface="Arial" panose="020B0604020202020204" pitchFamily="34" charset="0"/>
            </a:rPr>
            <a:t>463 HS (Gấp 6 lần suy dinh dưỡng)</a:t>
          </a:r>
          <a:endParaRPr lang="en-US" sz="1100">
            <a:latin typeface="Arial" panose="020B0604020202020204" pitchFamily="34" charset="0"/>
            <a:cs typeface="Arial" panose="020B0604020202020204" pitchFamily="34" charset="0"/>
          </a:endParaRPr>
        </a:p>
      </xdr:txBody>
    </xdr:sp>
    <xdr:clientData/>
  </xdr:twoCellAnchor>
  <xdr:twoCellAnchor>
    <xdr:from>
      <xdr:col>6</xdr:col>
      <xdr:colOff>45357</xdr:colOff>
      <xdr:row>156</xdr:row>
      <xdr:rowOff>27213</xdr:rowOff>
    </xdr:from>
    <xdr:to>
      <xdr:col>9</xdr:col>
      <xdr:colOff>308428</xdr:colOff>
      <xdr:row>158</xdr:row>
      <xdr:rowOff>254000</xdr:rowOff>
    </xdr:to>
    <xdr:sp macro="" textlink="">
      <xdr:nvSpPr>
        <xdr:cNvPr id="30" name="TextBox 29">
          <a:extLst>
            <a:ext uri="{FF2B5EF4-FFF2-40B4-BE49-F238E27FC236}">
              <a16:creationId xmlns:a16="http://schemas.microsoft.com/office/drawing/2014/main" id="{52C5AF5F-09BE-B730-4DA0-749033D840B4}"/>
            </a:ext>
          </a:extLst>
        </xdr:cNvPr>
        <xdr:cNvSpPr txBox="1"/>
      </xdr:nvSpPr>
      <xdr:spPr>
        <a:xfrm>
          <a:off x="7211786" y="38290499"/>
          <a:ext cx="2830285" cy="7529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a:solidFill>
                <a:schemeClr val="dk1"/>
              </a:solidFill>
              <a:effectLst/>
              <a:latin typeface="Arial" panose="020B0604020202020204" pitchFamily="34" charset="0"/>
              <a:ea typeface="+mn-ea"/>
              <a:cs typeface="Arial" panose="020B0604020202020204" pitchFamily="34" charset="0"/>
            </a:rPr>
            <a:t>BỆNH</a:t>
          </a:r>
          <a:r>
            <a:rPr lang="en-US" sz="1100" b="1" i="0" baseline="0">
              <a:solidFill>
                <a:schemeClr val="dk1"/>
              </a:solidFill>
              <a:effectLst/>
              <a:latin typeface="Arial" panose="020B0604020202020204" pitchFamily="34" charset="0"/>
              <a:ea typeface="+mn-ea"/>
              <a:cs typeface="Arial" panose="020B0604020202020204" pitchFamily="34" charset="0"/>
            </a:rPr>
            <a:t> LÝ NHI KHOA</a:t>
          </a:r>
          <a:endParaRPr lang="en-US" sz="1100" b="1" i="0">
            <a:solidFill>
              <a:schemeClr val="dk1"/>
            </a:solidFill>
            <a:effectLst/>
            <a:latin typeface="Arial" panose="020B0604020202020204" pitchFamily="34" charset="0"/>
            <a:ea typeface="+mn-ea"/>
            <a:cs typeface="Arial" panose="020B0604020202020204" pitchFamily="34" charset="0"/>
          </a:endParaRPr>
        </a:p>
        <a:p>
          <a:r>
            <a:rPr lang="en-US" sz="1600" b="1" i="0">
              <a:solidFill>
                <a:srgbClr val="FF0000"/>
              </a:solidFill>
              <a:effectLst/>
              <a:latin typeface="Arial" panose="020B0604020202020204" pitchFamily="34" charset="0"/>
              <a:ea typeface="+mn-ea"/>
              <a:cs typeface="Arial" panose="020B0604020202020204" pitchFamily="34" charset="0"/>
            </a:rPr>
            <a:t>16 HS</a:t>
          </a:r>
        </a:p>
        <a:p>
          <a:r>
            <a:rPr lang="en-US" sz="1100" b="0" i="0">
              <a:solidFill>
                <a:schemeClr val="dk1"/>
              </a:solidFill>
              <a:effectLst/>
              <a:latin typeface="Arial" panose="020B0604020202020204" pitchFamily="34" charset="0"/>
              <a:ea typeface="+mn-ea"/>
              <a:cs typeface="Arial" panose="020B0604020202020204" pitchFamily="34" charset="0"/>
            </a:rPr>
            <a:t>Bệnh</a:t>
          </a:r>
          <a:r>
            <a:rPr lang="en-US" sz="1100" b="0" i="0" baseline="0">
              <a:solidFill>
                <a:schemeClr val="dk1"/>
              </a:solidFill>
              <a:effectLst/>
              <a:latin typeface="Arial" panose="020B0604020202020204" pitchFamily="34" charset="0"/>
              <a:ea typeface="+mn-ea"/>
              <a:cs typeface="Arial" panose="020B0604020202020204" pitchFamily="34" charset="0"/>
            </a:rPr>
            <a:t> mãn tính và bệnh nền cần giám sát</a:t>
          </a:r>
          <a:endParaRPr lang="en-US" sz="1100">
            <a:latin typeface="Arial" panose="020B0604020202020204" pitchFamily="34" charset="0"/>
            <a:cs typeface="Arial" panose="020B0604020202020204" pitchFamily="34" charset="0"/>
          </a:endParaRPr>
        </a:p>
      </xdr:txBody>
    </xdr:sp>
    <xdr:clientData/>
  </xdr:twoCellAnchor>
  <xdr:twoCellAnchor>
    <xdr:from>
      <xdr:col>1</xdr:col>
      <xdr:colOff>27214</xdr:colOff>
      <xdr:row>160</xdr:row>
      <xdr:rowOff>281213</xdr:rowOff>
    </xdr:from>
    <xdr:to>
      <xdr:col>3</xdr:col>
      <xdr:colOff>154214</xdr:colOff>
      <xdr:row>166</xdr:row>
      <xdr:rowOff>127000</xdr:rowOff>
    </xdr:to>
    <xdr:sp macro="" textlink="">
      <xdr:nvSpPr>
        <xdr:cNvPr id="31" name="TextBox 30">
          <a:extLst>
            <a:ext uri="{FF2B5EF4-FFF2-40B4-BE49-F238E27FC236}">
              <a16:creationId xmlns:a16="http://schemas.microsoft.com/office/drawing/2014/main" id="{61517C64-70E9-778C-DBAC-3583D5289BF2}"/>
            </a:ext>
          </a:extLst>
        </xdr:cNvPr>
        <xdr:cNvSpPr txBox="1"/>
      </xdr:nvSpPr>
      <xdr:spPr>
        <a:xfrm>
          <a:off x="399143" y="39596784"/>
          <a:ext cx="3156857" cy="256721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US" sz="1000" b="1" i="0">
              <a:solidFill>
                <a:schemeClr val="dk1"/>
              </a:solidFill>
              <a:effectLst/>
              <a:latin typeface="Arial" panose="020B0604020202020204" pitchFamily="34" charset="0"/>
              <a:ea typeface="+mn-ea"/>
              <a:cs typeface="Arial" panose="020B0604020202020204" pitchFamily="34" charset="0"/>
            </a:rPr>
            <a:t>Bệnh lý Mắt (58,7%):</a:t>
          </a:r>
          <a:r>
            <a:rPr lang="en-US" sz="1000" b="0" i="0">
              <a:solidFill>
                <a:schemeClr val="dk1"/>
              </a:solidFill>
              <a:effectLst/>
              <a:latin typeface="Arial" panose="020B0604020202020204" pitchFamily="34" charset="0"/>
              <a:ea typeface="+mn-ea"/>
              <a:cs typeface="Arial" panose="020B0604020202020204" pitchFamily="34" charset="0"/>
            </a:rPr>
            <a:t> Tật khúc xạ chiếm đa số (1.246 em). Ngoài ra ghi nhận chắp lẹo (10), sụp mi (2), lác/nhược thị (2).</a:t>
          </a:r>
        </a:p>
        <a:p>
          <a:pPr lvl="0"/>
          <a:endParaRPr lang="en-US" sz="1000" b="0" i="0">
            <a:solidFill>
              <a:schemeClr val="dk1"/>
            </a:solidFill>
            <a:effectLst/>
            <a:latin typeface="Arial" panose="020B0604020202020204" pitchFamily="34" charset="0"/>
            <a:ea typeface="+mn-ea"/>
            <a:cs typeface="Arial" panose="020B0604020202020204" pitchFamily="34" charset="0"/>
          </a:endParaRPr>
        </a:p>
        <a:p>
          <a:pPr lvl="0"/>
          <a:r>
            <a:rPr lang="en-US" sz="1000" b="1" i="0">
              <a:solidFill>
                <a:schemeClr val="dk1"/>
              </a:solidFill>
              <a:effectLst/>
              <a:latin typeface="Arial" panose="020B0604020202020204" pitchFamily="34" charset="0"/>
              <a:ea typeface="+mn-ea"/>
              <a:cs typeface="Arial" panose="020B0604020202020204" pitchFamily="34" charset="0"/>
            </a:rPr>
            <a:t>Răng Hàm Mặt (34,6%):</a:t>
          </a:r>
          <a:r>
            <a:rPr lang="en-US" sz="1000" b="0" i="0">
              <a:solidFill>
                <a:schemeClr val="dk1"/>
              </a:solidFill>
              <a:effectLst/>
              <a:latin typeface="Arial" panose="020B0604020202020204" pitchFamily="34" charset="0"/>
              <a:ea typeface="+mn-ea"/>
              <a:cs typeface="Arial" panose="020B0604020202020204" pitchFamily="34" charset="0"/>
            </a:rPr>
            <a:t> Sâu răng cao nhất (635 em), vôi răng/mảng bám (62 em), viêm tủy răng (21 em), mất/mẻ răng (20 em).</a:t>
          </a:r>
        </a:p>
        <a:p>
          <a:pPr lvl="0"/>
          <a:endParaRPr lang="en-US" sz="1000" b="0" i="0">
            <a:solidFill>
              <a:schemeClr val="dk1"/>
            </a:solidFill>
            <a:effectLst/>
            <a:latin typeface="Arial" panose="020B0604020202020204" pitchFamily="34" charset="0"/>
            <a:ea typeface="+mn-ea"/>
            <a:cs typeface="Arial" panose="020B0604020202020204" pitchFamily="34" charset="0"/>
          </a:endParaRPr>
        </a:p>
        <a:p>
          <a:pPr lvl="0"/>
          <a:r>
            <a:rPr lang="en-US" sz="1000" b="1" i="0">
              <a:solidFill>
                <a:schemeClr val="dk1"/>
              </a:solidFill>
              <a:effectLst/>
              <a:latin typeface="Arial" panose="020B0604020202020204" pitchFamily="34" charset="0"/>
              <a:ea typeface="+mn-ea"/>
              <a:cs typeface="Arial" panose="020B0604020202020204" pitchFamily="34" charset="0"/>
            </a:rPr>
            <a:t>Dinh dưỡng (25,3%):</a:t>
          </a:r>
          <a:r>
            <a:rPr lang="en-US" sz="1000" b="0" i="0">
              <a:solidFill>
                <a:schemeClr val="dk1"/>
              </a:solidFill>
              <a:effectLst/>
              <a:latin typeface="Arial" panose="020B0604020202020204" pitchFamily="34" charset="0"/>
              <a:ea typeface="+mn-ea"/>
              <a:cs typeface="Arial" panose="020B0604020202020204" pitchFamily="34" charset="0"/>
            </a:rPr>
            <a:t> Thừa cân béo phì (463 em - 21,6%) ở mức báo động; suy dinh dưỡng nhẹ cân chiếm 3,65% (78 em).</a:t>
          </a:r>
        </a:p>
        <a:p>
          <a:pPr lvl="0"/>
          <a:endParaRPr lang="en-US" sz="1000" b="0" i="0">
            <a:solidFill>
              <a:schemeClr val="dk1"/>
            </a:solidFill>
            <a:effectLst/>
            <a:latin typeface="Arial" panose="020B0604020202020204" pitchFamily="34" charset="0"/>
            <a:ea typeface="+mn-ea"/>
            <a:cs typeface="Arial" panose="020B0604020202020204" pitchFamily="34" charset="0"/>
          </a:endParaRPr>
        </a:p>
        <a:p>
          <a:pPr lvl="0"/>
          <a:r>
            <a:rPr lang="en-US" sz="1000" b="1" i="0">
              <a:solidFill>
                <a:schemeClr val="dk1"/>
              </a:solidFill>
              <a:effectLst/>
              <a:latin typeface="Arial" panose="020B0604020202020204" pitchFamily="34" charset="0"/>
              <a:ea typeface="+mn-ea"/>
              <a:cs typeface="Arial" panose="020B0604020202020204" pitchFamily="34" charset="0"/>
            </a:rPr>
            <a:t>Tai Mũi Họng (8,8%):</a:t>
          </a:r>
          <a:r>
            <a:rPr lang="en-US" sz="1000" b="0" i="0">
              <a:solidFill>
                <a:schemeClr val="dk1"/>
              </a:solidFill>
              <a:effectLst/>
              <a:latin typeface="Arial" panose="020B0604020202020204" pitchFamily="34" charset="0"/>
              <a:ea typeface="+mn-ea"/>
              <a:cs typeface="Arial" panose="020B0604020202020204" pitchFamily="34" charset="0"/>
            </a:rPr>
            <a:t> 186 HS mắc bệnh. Phổ biến là Amydal quá phát (107 em), viêm họng/mũi họng (47 em), ráy tai (14 em).</a:t>
          </a:r>
        </a:p>
        <a:p>
          <a:endParaRPr lang="en-US" sz="1000">
            <a:latin typeface="Arial" panose="020B0604020202020204" pitchFamily="34" charset="0"/>
            <a:cs typeface="Arial" panose="020B0604020202020204" pitchFamily="34" charset="0"/>
          </a:endParaRPr>
        </a:p>
      </xdr:txBody>
    </xdr:sp>
    <xdr:clientData/>
  </xdr:twoCellAnchor>
  <xdr:twoCellAnchor>
    <xdr:from>
      <xdr:col>3</xdr:col>
      <xdr:colOff>281214</xdr:colOff>
      <xdr:row>160</xdr:row>
      <xdr:rowOff>272142</xdr:rowOff>
    </xdr:from>
    <xdr:to>
      <xdr:col>5</xdr:col>
      <xdr:colOff>117928</xdr:colOff>
      <xdr:row>166</xdr:row>
      <xdr:rowOff>145143</xdr:rowOff>
    </xdr:to>
    <xdr:sp macro="" textlink="">
      <xdr:nvSpPr>
        <xdr:cNvPr id="32" name="TextBox 31">
          <a:extLst>
            <a:ext uri="{FF2B5EF4-FFF2-40B4-BE49-F238E27FC236}">
              <a16:creationId xmlns:a16="http://schemas.microsoft.com/office/drawing/2014/main" id="{1E0CBB46-E5A3-2099-6FDC-0946FDB9D207}"/>
            </a:ext>
          </a:extLst>
        </xdr:cNvPr>
        <xdr:cNvSpPr txBox="1"/>
      </xdr:nvSpPr>
      <xdr:spPr>
        <a:xfrm>
          <a:off x="3683000" y="39587713"/>
          <a:ext cx="2676071" cy="259443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US" sz="1000" b="1" i="0">
              <a:solidFill>
                <a:schemeClr val="dk1"/>
              </a:solidFill>
              <a:effectLst/>
              <a:latin typeface="Arial" panose="020B0604020202020204" pitchFamily="34" charset="0"/>
              <a:ea typeface="+mn-ea"/>
              <a:cs typeface="Arial" panose="020B0604020202020204" pitchFamily="34" charset="0"/>
            </a:rPr>
            <a:t>Tim mạch &amp; Phẫu thuật:</a:t>
          </a:r>
          <a:r>
            <a:rPr lang="en-US" sz="1000" b="0" i="0">
              <a:solidFill>
                <a:schemeClr val="dk1"/>
              </a:solidFill>
              <a:effectLst/>
              <a:latin typeface="Arial" panose="020B0604020202020204" pitchFamily="34" charset="0"/>
              <a:ea typeface="+mn-ea"/>
              <a:cs typeface="Arial" panose="020B0604020202020204" pitchFamily="34" charset="0"/>
            </a:rPr>
            <a:t> 4 HS (Tiền sử thông liên thất chưa phẫu thuật, tim âm thổi, phẫu thuật tim mạch).</a:t>
          </a:r>
        </a:p>
        <a:p>
          <a:pPr lvl="0"/>
          <a:endParaRPr lang="en-US" sz="1000" b="0" i="0">
            <a:solidFill>
              <a:schemeClr val="dk1"/>
            </a:solidFill>
            <a:effectLst/>
            <a:latin typeface="Arial" panose="020B0604020202020204" pitchFamily="34" charset="0"/>
            <a:ea typeface="+mn-ea"/>
            <a:cs typeface="Arial" panose="020B0604020202020204" pitchFamily="34" charset="0"/>
          </a:endParaRPr>
        </a:p>
        <a:p>
          <a:pPr lvl="0"/>
          <a:r>
            <a:rPr lang="en-US" sz="1000" b="1" i="0">
              <a:solidFill>
                <a:schemeClr val="dk1"/>
              </a:solidFill>
              <a:effectLst/>
              <a:latin typeface="Arial" panose="020B0604020202020204" pitchFamily="34" charset="0"/>
              <a:ea typeface="+mn-ea"/>
              <a:cs typeface="Arial" panose="020B0604020202020204" pitchFamily="34" charset="0"/>
            </a:rPr>
            <a:t>Hô hấp &amp; Nội tiết:</a:t>
          </a:r>
          <a:r>
            <a:rPr lang="en-US" sz="1000" b="0" i="0">
              <a:solidFill>
                <a:schemeClr val="dk1"/>
              </a:solidFill>
              <a:effectLst/>
              <a:latin typeface="Arial" panose="020B0604020202020204" pitchFamily="34" charset="0"/>
              <a:ea typeface="+mn-ea"/>
              <a:cs typeface="Arial" panose="020B0604020202020204" pitchFamily="34" charset="0"/>
            </a:rPr>
            <a:t> Hen suyễn (3 HS), Đái tháo đường Type I (1 HS), Lao đang điều trị (1 HS).</a:t>
          </a:r>
        </a:p>
        <a:p>
          <a:pPr lvl="0"/>
          <a:endParaRPr lang="en-US" sz="1000" b="0" i="0">
            <a:solidFill>
              <a:schemeClr val="dk1"/>
            </a:solidFill>
            <a:effectLst/>
            <a:latin typeface="Arial" panose="020B0604020202020204" pitchFamily="34" charset="0"/>
            <a:ea typeface="+mn-ea"/>
            <a:cs typeface="Arial" panose="020B0604020202020204" pitchFamily="34" charset="0"/>
          </a:endParaRPr>
        </a:p>
        <a:p>
          <a:pPr lvl="0"/>
          <a:r>
            <a:rPr lang="en-US" sz="1000" b="1" i="0">
              <a:solidFill>
                <a:schemeClr val="dk1"/>
              </a:solidFill>
              <a:effectLst/>
              <a:latin typeface="Arial" panose="020B0604020202020204" pitchFamily="34" charset="0"/>
              <a:ea typeface="+mn-ea"/>
              <a:cs typeface="Arial" panose="020B0604020202020204" pitchFamily="34" charset="0"/>
            </a:rPr>
            <a:t>Huyết học &amp; Tâm thần:</a:t>
          </a:r>
          <a:r>
            <a:rPr lang="en-US" sz="1000" b="0" i="0">
              <a:solidFill>
                <a:schemeClr val="dk1"/>
              </a:solidFill>
              <a:effectLst/>
              <a:latin typeface="Arial" panose="020B0604020202020204" pitchFamily="34" charset="0"/>
              <a:ea typeface="+mn-ea"/>
              <a:cs typeface="Arial" panose="020B0604020202020204" pitchFamily="34" charset="0"/>
            </a:rPr>
            <a:t> Bạch cầu cấp lympho B (1 HS), Tự kỷ/Thalassemia (1 HS), Đang điều trị Tic &amp; Giảm tập trung (2 HS).</a:t>
          </a:r>
          <a:endParaRPr lang="en-US" sz="1000">
            <a:latin typeface="Arial" panose="020B0604020202020204" pitchFamily="34" charset="0"/>
            <a:cs typeface="Arial" panose="020B0604020202020204" pitchFamily="34" charset="0"/>
          </a:endParaRPr>
        </a:p>
      </xdr:txBody>
    </xdr:sp>
    <xdr:clientData/>
  </xdr:twoCellAnchor>
  <xdr:twoCellAnchor>
    <xdr:from>
      <xdr:col>5</xdr:col>
      <xdr:colOff>217714</xdr:colOff>
      <xdr:row>160</xdr:row>
      <xdr:rowOff>281213</xdr:rowOff>
    </xdr:from>
    <xdr:to>
      <xdr:col>9</xdr:col>
      <xdr:colOff>308428</xdr:colOff>
      <xdr:row>166</xdr:row>
      <xdr:rowOff>163286</xdr:rowOff>
    </xdr:to>
    <xdr:sp macro="" textlink="">
      <xdr:nvSpPr>
        <xdr:cNvPr id="47" name="TextBox 46">
          <a:extLst>
            <a:ext uri="{FF2B5EF4-FFF2-40B4-BE49-F238E27FC236}">
              <a16:creationId xmlns:a16="http://schemas.microsoft.com/office/drawing/2014/main" id="{95A99441-45C8-A45E-13C4-9A003C398010}"/>
            </a:ext>
          </a:extLst>
        </xdr:cNvPr>
        <xdr:cNvSpPr txBox="1"/>
      </xdr:nvSpPr>
      <xdr:spPr>
        <a:xfrm>
          <a:off x="6458857" y="39596784"/>
          <a:ext cx="3583214" cy="2603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r>
            <a:rPr lang="en-US" sz="1000" b="1" i="0">
              <a:solidFill>
                <a:schemeClr val="dk1"/>
              </a:solidFill>
              <a:effectLst/>
              <a:latin typeface="Arial" panose="020B0604020202020204" pitchFamily="34" charset="0"/>
              <a:ea typeface="+mn-ea"/>
              <a:cs typeface="Arial" panose="020B0604020202020204" pitchFamily="34" charset="0"/>
            </a:rPr>
            <a:t>Cơ</a:t>
          </a:r>
          <a:r>
            <a:rPr lang="en-US" sz="1000" b="1" i="0" baseline="0">
              <a:solidFill>
                <a:schemeClr val="dk1"/>
              </a:solidFill>
              <a:effectLst/>
              <a:latin typeface="Arial" panose="020B0604020202020204" pitchFamily="34" charset="0"/>
              <a:ea typeface="+mn-ea"/>
              <a:cs typeface="Arial" panose="020B0604020202020204" pitchFamily="34" charset="0"/>
            </a:rPr>
            <a:t> sở vật chất: </a:t>
          </a:r>
          <a:r>
            <a:rPr lang="en-US" sz="1000" b="0" i="0">
              <a:solidFill>
                <a:schemeClr val="dk1"/>
              </a:solidFill>
              <a:effectLst/>
              <a:latin typeface="Arial" panose="020B0604020202020204" pitchFamily="34" charset="0"/>
              <a:ea typeface="+mn-ea"/>
              <a:cs typeface="Arial" panose="020B0604020202020204" pitchFamily="34" charset="0"/>
            </a:rPr>
            <a:t>Kiểm</a:t>
          </a:r>
          <a:r>
            <a:rPr lang="en-US" sz="1000" b="0" i="0" baseline="0">
              <a:solidFill>
                <a:schemeClr val="dk1"/>
              </a:solidFill>
              <a:effectLst/>
              <a:latin typeface="Arial" panose="020B0604020202020204" pitchFamily="34" charset="0"/>
              <a:ea typeface="+mn-ea"/>
              <a:cs typeface="Arial" panose="020B0604020202020204" pitchFamily="34" charset="0"/>
            </a:rPr>
            <a:t> tra, đo đạc và báo cáo lại</a:t>
          </a:r>
          <a:r>
            <a:rPr lang="en-US" sz="1000" b="0" i="0">
              <a:solidFill>
                <a:schemeClr val="dk1"/>
              </a:solidFill>
              <a:effectLst/>
              <a:latin typeface="Arial" panose="020B0604020202020204" pitchFamily="34" charset="0"/>
              <a:ea typeface="+mn-ea"/>
              <a:cs typeface="Arial" panose="020B0604020202020204" pitchFamily="34" charset="0"/>
            </a:rPr>
            <a:t> chiếu sáng phòng học, các</a:t>
          </a:r>
          <a:r>
            <a:rPr lang="en-US" sz="1000" b="0" i="0" baseline="0">
              <a:solidFill>
                <a:schemeClr val="dk1"/>
              </a:solidFill>
              <a:effectLst/>
              <a:latin typeface="Arial" panose="020B0604020202020204" pitchFamily="34" charset="0"/>
              <a:ea typeface="+mn-ea"/>
              <a:cs typeface="Arial" panose="020B0604020202020204" pitchFamily="34" charset="0"/>
            </a:rPr>
            <a:t> khu vực để đề xuất thay mới bóng đèn</a:t>
          </a:r>
          <a:r>
            <a:rPr lang="en-US" sz="1000" b="0" i="0">
              <a:solidFill>
                <a:schemeClr val="dk1"/>
              </a:solidFill>
              <a:effectLst/>
              <a:latin typeface="Arial" panose="020B0604020202020204" pitchFamily="34" charset="0"/>
              <a:ea typeface="+mn-ea"/>
              <a:cs typeface="Arial" panose="020B0604020202020204" pitchFamily="34" charset="0"/>
            </a:rPr>
            <a:t>. </a:t>
          </a:r>
        </a:p>
        <a:p>
          <a:pPr lvl="0"/>
          <a:endParaRPr lang="en-US" sz="1000" b="0" i="0">
            <a:solidFill>
              <a:schemeClr val="dk1"/>
            </a:solidFill>
            <a:effectLst/>
            <a:latin typeface="Arial" panose="020B0604020202020204" pitchFamily="34" charset="0"/>
            <a:ea typeface="+mn-ea"/>
            <a:cs typeface="Arial" panose="020B0604020202020204" pitchFamily="34" charset="0"/>
          </a:endParaRPr>
        </a:p>
        <a:p>
          <a:pPr lvl="0"/>
          <a:r>
            <a:rPr lang="en-US" sz="1000" b="1" i="0">
              <a:solidFill>
                <a:schemeClr val="dk1"/>
              </a:solidFill>
              <a:effectLst/>
              <a:latin typeface="Arial" panose="020B0604020202020204" pitchFamily="34" charset="0"/>
              <a:ea typeface="+mn-ea"/>
              <a:cs typeface="Arial" panose="020B0604020202020204" pitchFamily="34" charset="0"/>
            </a:rPr>
            <a:t>Bếp:</a:t>
          </a:r>
          <a:r>
            <a:rPr lang="en-US" sz="1000" b="1" i="0" baseline="0">
              <a:solidFill>
                <a:schemeClr val="dk1"/>
              </a:solidFill>
              <a:effectLst/>
              <a:latin typeface="Arial" panose="020B0604020202020204" pitchFamily="34" charset="0"/>
              <a:ea typeface="+mn-ea"/>
              <a:cs typeface="Arial" panose="020B0604020202020204" pitchFamily="34" charset="0"/>
            </a:rPr>
            <a:t> </a:t>
          </a:r>
          <a:r>
            <a:rPr lang="en-US" sz="1000" b="0" i="0">
              <a:solidFill>
                <a:schemeClr val="dk1"/>
              </a:solidFill>
              <a:effectLst/>
              <a:latin typeface="Arial" panose="020B0604020202020204" pitchFamily="34" charset="0"/>
              <a:ea typeface="+mn-ea"/>
              <a:cs typeface="Arial" panose="020B0604020202020204" pitchFamily="34" charset="0"/>
            </a:rPr>
            <a:t>Điều chỉnh thực đơn giảm đồ chiên/ngọt, hỗ</a:t>
          </a:r>
          <a:r>
            <a:rPr lang="en-US" sz="1000" b="0" i="0" baseline="0">
              <a:solidFill>
                <a:schemeClr val="dk1"/>
              </a:solidFill>
              <a:effectLst/>
              <a:latin typeface="Arial" panose="020B0604020202020204" pitchFamily="34" charset="0"/>
              <a:ea typeface="+mn-ea"/>
              <a:cs typeface="Arial" panose="020B0604020202020204" pitchFamily="34" charset="0"/>
            </a:rPr>
            <a:t> trợ chế độ ăn cho các HS có bệnh nền</a:t>
          </a:r>
          <a:endParaRPr lang="en-US" sz="1000" b="0" i="0">
            <a:solidFill>
              <a:schemeClr val="dk1"/>
            </a:solidFill>
            <a:effectLst/>
            <a:latin typeface="Arial" panose="020B0604020202020204" pitchFamily="34" charset="0"/>
            <a:ea typeface="+mn-ea"/>
            <a:cs typeface="Arial" panose="020B0604020202020204" pitchFamily="34" charset="0"/>
          </a:endParaRPr>
        </a:p>
        <a:p>
          <a:pPr lvl="0"/>
          <a:endParaRPr lang="en-US" sz="1000" b="0" i="0">
            <a:solidFill>
              <a:schemeClr val="dk1"/>
            </a:solidFill>
            <a:effectLst/>
            <a:latin typeface="Arial" panose="020B0604020202020204" pitchFamily="34" charset="0"/>
            <a:ea typeface="+mn-ea"/>
            <a:cs typeface="Arial" panose="020B0604020202020204" pitchFamily="34" charset="0"/>
          </a:endParaRPr>
        </a:p>
        <a:p>
          <a:pPr lvl="0"/>
          <a:r>
            <a:rPr lang="en-US" sz="1000" b="1" i="0">
              <a:solidFill>
                <a:schemeClr val="dk1"/>
              </a:solidFill>
              <a:effectLst/>
              <a:latin typeface="Arial" panose="020B0604020202020204" pitchFamily="34" charset="0"/>
              <a:ea typeface="+mn-ea"/>
              <a:cs typeface="Arial" panose="020B0604020202020204" pitchFamily="34" charset="0"/>
            </a:rPr>
            <a:t>Bộ</a:t>
          </a:r>
          <a:r>
            <a:rPr lang="en-US" sz="1000" b="1" i="0" baseline="0">
              <a:solidFill>
                <a:schemeClr val="dk1"/>
              </a:solidFill>
              <a:effectLst/>
              <a:latin typeface="Arial" panose="020B0604020202020204" pitchFamily="34" charset="0"/>
              <a:ea typeface="+mn-ea"/>
              <a:cs typeface="Arial" panose="020B0604020202020204" pitchFamily="34" charset="0"/>
            </a:rPr>
            <a:t> môn Giáo dục thể chất</a:t>
          </a:r>
          <a:r>
            <a:rPr lang="en-US" sz="1000" b="0" i="0" baseline="0">
              <a:solidFill>
                <a:schemeClr val="dk1"/>
              </a:solidFill>
              <a:effectLst/>
              <a:latin typeface="Arial" panose="020B0604020202020204" pitchFamily="34" charset="0"/>
              <a:ea typeface="+mn-ea"/>
              <a:cs typeface="Arial" panose="020B0604020202020204" pitchFamily="34" charset="0"/>
            </a:rPr>
            <a:t>: T</a:t>
          </a:r>
          <a:r>
            <a:rPr lang="en-US" sz="1000" b="0" i="0">
              <a:solidFill>
                <a:schemeClr val="dk1"/>
              </a:solidFill>
              <a:effectLst/>
              <a:latin typeface="Arial" panose="020B0604020202020204" pitchFamily="34" charset="0"/>
              <a:ea typeface="+mn-ea"/>
              <a:cs typeface="Arial" panose="020B0604020202020204" pitchFamily="34" charset="0"/>
            </a:rPr>
            <a:t>ăng các</a:t>
          </a:r>
          <a:r>
            <a:rPr lang="en-US" sz="1000" b="0" i="0" baseline="0">
              <a:solidFill>
                <a:schemeClr val="dk1"/>
              </a:solidFill>
              <a:effectLst/>
              <a:latin typeface="Arial" panose="020B0604020202020204" pitchFamily="34" charset="0"/>
              <a:ea typeface="+mn-ea"/>
              <a:cs typeface="Arial" panose="020B0604020202020204" pitchFamily="34" charset="0"/>
            </a:rPr>
            <a:t> hoạt động</a:t>
          </a:r>
          <a:r>
            <a:rPr lang="en-US" sz="1000" b="0" i="0">
              <a:solidFill>
                <a:schemeClr val="dk1"/>
              </a:solidFill>
              <a:effectLst/>
              <a:latin typeface="Arial" panose="020B0604020202020204" pitchFamily="34" charset="0"/>
              <a:ea typeface="+mn-ea"/>
              <a:cs typeface="Arial" panose="020B0604020202020204" pitchFamily="34" charset="0"/>
            </a:rPr>
            <a:t> vận động</a:t>
          </a:r>
          <a:r>
            <a:rPr lang="en-US" sz="1000" b="0" i="0" baseline="0">
              <a:solidFill>
                <a:schemeClr val="dk1"/>
              </a:solidFill>
              <a:effectLst/>
              <a:latin typeface="Arial" panose="020B0604020202020204" pitchFamily="34" charset="0"/>
              <a:ea typeface="+mn-ea"/>
              <a:cs typeface="Arial" panose="020B0604020202020204" pitchFamily="34" charset="0"/>
            </a:rPr>
            <a:t> thể lực trong tiết thể dục</a:t>
          </a:r>
        </a:p>
        <a:p>
          <a:pPr lvl="0"/>
          <a:endParaRPr lang="en-US" sz="1000" b="0" i="0">
            <a:solidFill>
              <a:schemeClr val="dk1"/>
            </a:solidFill>
            <a:effectLst/>
            <a:latin typeface="Arial" panose="020B0604020202020204" pitchFamily="34" charset="0"/>
            <a:ea typeface="+mn-ea"/>
            <a:cs typeface="Arial" panose="020B0604020202020204" pitchFamily="34" charset="0"/>
          </a:endParaRPr>
        </a:p>
        <a:p>
          <a:pPr lvl="0"/>
          <a:r>
            <a:rPr lang="en-US" sz="1000" b="1" i="0">
              <a:solidFill>
                <a:schemeClr val="dk1"/>
              </a:solidFill>
              <a:effectLst/>
              <a:latin typeface="Arial" panose="020B0604020202020204" pitchFamily="34" charset="0"/>
              <a:ea typeface="+mn-ea"/>
              <a:cs typeface="Arial" panose="020B0604020202020204" pitchFamily="34" charset="0"/>
            </a:rPr>
            <a:t>Y tế:</a:t>
          </a:r>
          <a:r>
            <a:rPr lang="en-US" sz="1000" b="0" i="0">
              <a:solidFill>
                <a:schemeClr val="dk1"/>
              </a:solidFill>
              <a:effectLst/>
              <a:latin typeface="Arial" panose="020B0604020202020204" pitchFamily="34" charset="0"/>
              <a:ea typeface="+mn-ea"/>
              <a:cs typeface="Arial" panose="020B0604020202020204" pitchFamily="34" charset="0"/>
            </a:rPr>
            <a:t> Làm</a:t>
          </a:r>
          <a:r>
            <a:rPr lang="en-US" sz="1000" b="0" i="0" baseline="0">
              <a:solidFill>
                <a:schemeClr val="dk1"/>
              </a:solidFill>
              <a:effectLst/>
              <a:latin typeface="Arial" panose="020B0604020202020204" pitchFamily="34" charset="0"/>
              <a:ea typeface="+mn-ea"/>
              <a:cs typeface="Arial" panose="020B0604020202020204" pitchFamily="34" charset="0"/>
            </a:rPr>
            <a:t> các bài truyền thông về chăm sóc răng miệng,chăm sóc mắt, giải pháp dự phòng cho các bệnh lý tai mũi họng, rằng hàm mặt do thói quen sinh hoạt (uống nước lạnh, nhai đá, ăn đồ ngọt) </a:t>
          </a:r>
        </a:p>
        <a:p>
          <a:pPr lvl="0"/>
          <a:endParaRPr lang="en-US" sz="1000" b="0" i="0" baseline="0">
            <a:solidFill>
              <a:schemeClr val="dk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a:solidFill>
                <a:schemeClr val="dk1"/>
              </a:solidFill>
              <a:effectLst/>
              <a:latin typeface="Arial" panose="020B0604020202020204" pitchFamily="34" charset="0"/>
              <a:ea typeface="+mn-ea"/>
              <a:cs typeface="Arial" panose="020B0604020202020204" pitchFamily="34" charset="0"/>
            </a:rPr>
            <a:t>Phụ huynh Học sinh:</a:t>
          </a:r>
          <a:r>
            <a:rPr lang="en-US" sz="1000" b="0" i="0">
              <a:solidFill>
                <a:schemeClr val="dk1"/>
              </a:solidFill>
              <a:effectLst/>
              <a:latin typeface="Arial" panose="020B0604020202020204" pitchFamily="34" charset="0"/>
              <a:ea typeface="+mn-ea"/>
              <a:cs typeface="Arial" panose="020B0604020202020204" pitchFamily="34" charset="0"/>
            </a:rPr>
            <a:t> Đưa trẻ khám chuyên khoa đo kính/chữa nha khoa kịp thời. Giảm thời gian dùng TV/điện thoại, khai báo bệnh nền cho trường.</a:t>
          </a:r>
          <a:endParaRPr lang="en-US" sz="1000">
            <a:effectLst/>
            <a:latin typeface="Arial" panose="020B0604020202020204" pitchFamily="34" charset="0"/>
            <a:cs typeface="Arial" panose="020B0604020202020204" pitchFamily="34" charset="0"/>
          </a:endParaRPr>
        </a:p>
        <a:p>
          <a:pPr lvl="0"/>
          <a:endParaRPr lang="en-US" sz="1000" b="0" i="0">
            <a:solidFill>
              <a:schemeClr val="dk1"/>
            </a:solidFill>
            <a:effectLst/>
            <a:latin typeface="Arial" panose="020B0604020202020204" pitchFamily="34" charset="0"/>
            <a:ea typeface="+mn-ea"/>
            <a:cs typeface="Arial" panose="020B0604020202020204" pitchFamily="34" charset="0"/>
          </a:endParaRPr>
        </a:p>
      </xdr:txBody>
    </xdr:sp>
    <xdr:clientData/>
  </xdr:twoCellAnchor>
  <xdr:twoCellAnchor>
    <xdr:from>
      <xdr:col>1</xdr:col>
      <xdr:colOff>36285</xdr:colOff>
      <xdr:row>159</xdr:row>
      <xdr:rowOff>217714</xdr:rowOff>
    </xdr:from>
    <xdr:to>
      <xdr:col>3</xdr:col>
      <xdr:colOff>136071</xdr:colOff>
      <xdr:row>160</xdr:row>
      <xdr:rowOff>235858</xdr:rowOff>
    </xdr:to>
    <xdr:sp macro="" textlink="">
      <xdr:nvSpPr>
        <xdr:cNvPr id="51" name="Rectangle 50">
          <a:extLst>
            <a:ext uri="{FF2B5EF4-FFF2-40B4-BE49-F238E27FC236}">
              <a16:creationId xmlns:a16="http://schemas.microsoft.com/office/drawing/2014/main" id="{FCAA7709-03A4-9DE7-9ECD-C47EDEAE6DD6}"/>
            </a:ext>
          </a:extLst>
        </xdr:cNvPr>
        <xdr:cNvSpPr/>
      </xdr:nvSpPr>
      <xdr:spPr>
        <a:xfrm>
          <a:off x="408214" y="39270214"/>
          <a:ext cx="3129643" cy="281215"/>
        </a:xfrm>
        <a:prstGeom prst="rect">
          <a:avLst/>
        </a:prstGeom>
        <a:solidFill>
          <a:schemeClr val="tx2">
            <a:lumMod val="10000"/>
            <a:lumOff val="9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200" b="1">
              <a:latin typeface="Arial" panose="020B0604020202020204" pitchFamily="34" charset="0"/>
              <a:cs typeface="Arial" panose="020B0604020202020204" pitchFamily="34" charset="0"/>
            </a:rPr>
            <a:t>Nhóm</a:t>
          </a:r>
          <a:r>
            <a:rPr lang="en-US" sz="1200" b="1" baseline="0">
              <a:latin typeface="Arial" panose="020B0604020202020204" pitchFamily="34" charset="0"/>
              <a:cs typeface="Arial" panose="020B0604020202020204" pitchFamily="34" charset="0"/>
            </a:rPr>
            <a:t> vấn đề </a:t>
          </a:r>
          <a:endParaRPr lang="en-US" sz="1200" b="1">
            <a:latin typeface="Arial" panose="020B0604020202020204" pitchFamily="34" charset="0"/>
            <a:cs typeface="Arial" panose="020B0604020202020204" pitchFamily="34" charset="0"/>
          </a:endParaRPr>
        </a:p>
      </xdr:txBody>
    </xdr:sp>
    <xdr:clientData/>
  </xdr:twoCellAnchor>
  <xdr:twoCellAnchor>
    <xdr:from>
      <xdr:col>3</xdr:col>
      <xdr:colOff>299357</xdr:colOff>
      <xdr:row>159</xdr:row>
      <xdr:rowOff>226788</xdr:rowOff>
    </xdr:from>
    <xdr:to>
      <xdr:col>5</xdr:col>
      <xdr:colOff>127000</xdr:colOff>
      <xdr:row>160</xdr:row>
      <xdr:rowOff>235859</xdr:rowOff>
    </xdr:to>
    <xdr:sp macro="" textlink="">
      <xdr:nvSpPr>
        <xdr:cNvPr id="81" name="Rectangle 80">
          <a:extLst>
            <a:ext uri="{FF2B5EF4-FFF2-40B4-BE49-F238E27FC236}">
              <a16:creationId xmlns:a16="http://schemas.microsoft.com/office/drawing/2014/main" id="{EE15CCF9-E214-7FCA-D822-1D9591B591A8}"/>
            </a:ext>
          </a:extLst>
        </xdr:cNvPr>
        <xdr:cNvSpPr/>
      </xdr:nvSpPr>
      <xdr:spPr>
        <a:xfrm>
          <a:off x="3701143" y="39279288"/>
          <a:ext cx="2667000" cy="272142"/>
        </a:xfrm>
        <a:prstGeom prst="rect">
          <a:avLst/>
        </a:prstGeom>
        <a:solidFill>
          <a:schemeClr val="accent5">
            <a:lumMod val="20000"/>
            <a:lumOff val="8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200" b="1">
              <a:latin typeface="Arial" panose="020B0604020202020204" pitchFamily="34" charset="0"/>
              <a:cs typeface="Arial" panose="020B0604020202020204" pitchFamily="34" charset="0"/>
            </a:rPr>
            <a:t>Nhóm</a:t>
          </a:r>
          <a:r>
            <a:rPr lang="en-US" sz="1200" b="1" baseline="0">
              <a:latin typeface="Arial" panose="020B0604020202020204" pitchFamily="34" charset="0"/>
              <a:cs typeface="Arial" panose="020B0604020202020204" pitchFamily="34" charset="0"/>
            </a:rPr>
            <a:t> cần hỗ trợ (bệnh nền)</a:t>
          </a:r>
          <a:endParaRPr lang="en-US" sz="1200" b="1">
            <a:latin typeface="Arial" panose="020B0604020202020204" pitchFamily="34" charset="0"/>
            <a:cs typeface="Arial" panose="020B0604020202020204" pitchFamily="34" charset="0"/>
          </a:endParaRPr>
        </a:p>
      </xdr:txBody>
    </xdr:sp>
    <xdr:clientData/>
  </xdr:twoCellAnchor>
  <xdr:twoCellAnchor>
    <xdr:from>
      <xdr:col>5</xdr:col>
      <xdr:colOff>226786</xdr:colOff>
      <xdr:row>159</xdr:row>
      <xdr:rowOff>226788</xdr:rowOff>
    </xdr:from>
    <xdr:to>
      <xdr:col>9</xdr:col>
      <xdr:colOff>290286</xdr:colOff>
      <xdr:row>160</xdr:row>
      <xdr:rowOff>244929</xdr:rowOff>
    </xdr:to>
    <xdr:sp macro="" textlink="">
      <xdr:nvSpPr>
        <xdr:cNvPr id="82" name="Rectangle 81">
          <a:extLst>
            <a:ext uri="{FF2B5EF4-FFF2-40B4-BE49-F238E27FC236}">
              <a16:creationId xmlns:a16="http://schemas.microsoft.com/office/drawing/2014/main" id="{FD95094D-57B5-CCE9-F46B-3610C72B134A}"/>
            </a:ext>
          </a:extLst>
        </xdr:cNvPr>
        <xdr:cNvSpPr/>
      </xdr:nvSpPr>
      <xdr:spPr>
        <a:xfrm>
          <a:off x="6467929" y="39279288"/>
          <a:ext cx="3556000" cy="281212"/>
        </a:xfrm>
        <a:prstGeom prst="rect">
          <a:avLst/>
        </a:prstGeom>
        <a:solidFill>
          <a:schemeClr val="accent2">
            <a:lumMod val="20000"/>
            <a:lumOff val="8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200" b="1">
              <a:latin typeface="Arial" panose="020B0604020202020204" pitchFamily="34" charset="0"/>
              <a:cs typeface="Arial" panose="020B0604020202020204" pitchFamily="34" charset="0"/>
            </a:rPr>
            <a:t>Nhóm</a:t>
          </a:r>
          <a:r>
            <a:rPr lang="en-US" sz="1200" b="1" baseline="0">
              <a:latin typeface="Arial" panose="020B0604020202020204" pitchFamily="34" charset="0"/>
              <a:cs typeface="Arial" panose="020B0604020202020204" pitchFamily="34" charset="0"/>
            </a:rPr>
            <a:t> giải pháp </a:t>
          </a:r>
          <a:endParaRPr lang="en-US" sz="1200" b="1">
            <a:latin typeface="Arial" panose="020B0604020202020204" pitchFamily="34" charset="0"/>
            <a:cs typeface="Arial" panose="020B0604020202020204" pitchFamily="34" charset="0"/>
          </a:endParaRPr>
        </a:p>
      </xdr:txBody>
    </xdr:sp>
    <xdr:clientData/>
  </xdr:twoCellAnchor>
  <xdr:twoCellAnchor>
    <xdr:from>
      <xdr:col>1</xdr:col>
      <xdr:colOff>0</xdr:colOff>
      <xdr:row>168</xdr:row>
      <xdr:rowOff>0</xdr:rowOff>
    </xdr:from>
    <xdr:to>
      <xdr:col>2</xdr:col>
      <xdr:colOff>607786</xdr:colOff>
      <xdr:row>170</xdr:row>
      <xdr:rowOff>84702</xdr:rowOff>
    </xdr:to>
    <xdr:sp macro="" textlink="">
      <xdr:nvSpPr>
        <xdr:cNvPr id="85" name="TextBox 84">
          <a:extLst>
            <a:ext uri="{FF2B5EF4-FFF2-40B4-BE49-F238E27FC236}">
              <a16:creationId xmlns:a16="http://schemas.microsoft.com/office/drawing/2014/main" id="{91FBA8B4-E98B-4932-95C8-0327884E2E6F}"/>
            </a:ext>
          </a:extLst>
        </xdr:cNvPr>
        <xdr:cNvSpPr txBox="1"/>
      </xdr:nvSpPr>
      <xdr:spPr>
        <a:xfrm>
          <a:off x="371929" y="42563143"/>
          <a:ext cx="2313214" cy="6108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i="0">
              <a:solidFill>
                <a:schemeClr val="tx2">
                  <a:lumMod val="50000"/>
                  <a:lumOff val="50000"/>
                </a:schemeClr>
              </a:solidFill>
              <a:effectLst/>
              <a:latin typeface="Arial" panose="020B0604020202020204" pitchFamily="34" charset="0"/>
              <a:ea typeface="+mn-ea"/>
              <a:cs typeface="Arial" panose="020B0604020202020204" pitchFamily="34" charset="0"/>
            </a:rPr>
            <a:t>325 </a:t>
          </a:r>
        </a:p>
        <a:p>
          <a:r>
            <a:rPr lang="en-US" sz="1100" b="0" i="0">
              <a:solidFill>
                <a:schemeClr val="dk1"/>
              </a:solidFill>
              <a:effectLst/>
              <a:latin typeface="Arial" panose="020B0604020202020204" pitchFamily="34" charset="0"/>
              <a:ea typeface="+mn-ea"/>
              <a:cs typeface="Arial" panose="020B0604020202020204" pitchFamily="34" charset="0"/>
            </a:rPr>
            <a:t>Học</a:t>
          </a:r>
          <a:r>
            <a:rPr lang="en-US" sz="1100" b="0" i="0" baseline="0">
              <a:solidFill>
                <a:schemeClr val="dk1"/>
              </a:solidFill>
              <a:effectLst/>
              <a:latin typeface="Arial" panose="020B0604020202020204" pitchFamily="34" charset="0"/>
              <a:ea typeface="+mn-ea"/>
              <a:cs typeface="Arial" panose="020B0604020202020204" pitchFamily="34" charset="0"/>
            </a:rPr>
            <a:t> sinh đã được khám, vắng 6 </a:t>
          </a:r>
          <a:endParaRPr lang="en-US" sz="1100">
            <a:latin typeface="Arial" panose="020B0604020202020204" pitchFamily="34" charset="0"/>
            <a:cs typeface="Arial" panose="020B0604020202020204" pitchFamily="34" charset="0"/>
          </a:endParaRPr>
        </a:p>
      </xdr:txBody>
    </xdr:sp>
    <xdr:clientData/>
  </xdr:twoCellAnchor>
  <xdr:twoCellAnchor>
    <xdr:from>
      <xdr:col>2</xdr:col>
      <xdr:colOff>707573</xdr:colOff>
      <xdr:row>168</xdr:row>
      <xdr:rowOff>9071</xdr:rowOff>
    </xdr:from>
    <xdr:to>
      <xdr:col>4</xdr:col>
      <xdr:colOff>36286</xdr:colOff>
      <xdr:row>170</xdr:row>
      <xdr:rowOff>108857</xdr:rowOff>
    </xdr:to>
    <xdr:sp macro="" textlink="">
      <xdr:nvSpPr>
        <xdr:cNvPr id="86" name="TextBox 85">
          <a:extLst>
            <a:ext uri="{FF2B5EF4-FFF2-40B4-BE49-F238E27FC236}">
              <a16:creationId xmlns:a16="http://schemas.microsoft.com/office/drawing/2014/main" id="{7023E0B2-8D7D-4067-BE28-D490C10074F1}"/>
            </a:ext>
          </a:extLst>
        </xdr:cNvPr>
        <xdr:cNvSpPr txBox="1"/>
      </xdr:nvSpPr>
      <xdr:spPr>
        <a:xfrm>
          <a:off x="2784930" y="42572214"/>
          <a:ext cx="2585356" cy="6259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a:solidFill>
                <a:schemeClr val="accent2"/>
              </a:solidFill>
              <a:effectLst/>
              <a:latin typeface="Arial" panose="020B0604020202020204" pitchFamily="34" charset="0"/>
              <a:ea typeface="+mn-ea"/>
              <a:cs typeface="Arial" panose="020B0604020202020204" pitchFamily="34" charset="0"/>
            </a:rPr>
            <a:t>71,6% </a:t>
          </a:r>
        </a:p>
        <a:p>
          <a:r>
            <a:rPr lang="en-US" sz="1100" b="0" i="0">
              <a:solidFill>
                <a:schemeClr val="dk1"/>
              </a:solidFill>
              <a:effectLst/>
              <a:latin typeface="Arial" panose="020B0604020202020204" pitchFamily="34" charset="0"/>
              <a:ea typeface="+mn-ea"/>
              <a:cs typeface="Arial" panose="020B0604020202020204" pitchFamily="34" charset="0"/>
            </a:rPr>
            <a:t>HS</a:t>
          </a:r>
          <a:r>
            <a:rPr lang="en-US" sz="1100" b="0" i="0" baseline="0">
              <a:solidFill>
                <a:schemeClr val="dk1"/>
              </a:solidFill>
              <a:effectLst/>
              <a:latin typeface="Arial" panose="020B0604020202020204" pitchFamily="34" charset="0"/>
              <a:ea typeface="+mn-ea"/>
              <a:cs typeface="Arial" panose="020B0604020202020204" pitchFamily="34" charset="0"/>
            </a:rPr>
            <a:t> có sức khỏe tốt (268 HS)	</a:t>
          </a:r>
          <a:endParaRPr lang="en-US" sz="1100">
            <a:latin typeface="Arial" panose="020B0604020202020204" pitchFamily="34" charset="0"/>
            <a:cs typeface="Arial" panose="020B0604020202020204" pitchFamily="34" charset="0"/>
          </a:endParaRPr>
        </a:p>
      </xdr:txBody>
    </xdr:sp>
    <xdr:clientData/>
  </xdr:twoCellAnchor>
  <xdr:twoCellAnchor>
    <xdr:from>
      <xdr:col>4</xdr:col>
      <xdr:colOff>335642</xdr:colOff>
      <xdr:row>168</xdr:row>
      <xdr:rowOff>0</xdr:rowOff>
    </xdr:from>
    <xdr:to>
      <xdr:col>6</xdr:col>
      <xdr:colOff>353784</xdr:colOff>
      <xdr:row>170</xdr:row>
      <xdr:rowOff>99786</xdr:rowOff>
    </xdr:to>
    <xdr:sp macro="" textlink="">
      <xdr:nvSpPr>
        <xdr:cNvPr id="87" name="TextBox 86">
          <a:extLst>
            <a:ext uri="{FF2B5EF4-FFF2-40B4-BE49-F238E27FC236}">
              <a16:creationId xmlns:a16="http://schemas.microsoft.com/office/drawing/2014/main" id="{1A547855-8DA3-4412-BDA9-AA2C55EDC65F}"/>
            </a:ext>
          </a:extLst>
        </xdr:cNvPr>
        <xdr:cNvSpPr txBox="1"/>
      </xdr:nvSpPr>
      <xdr:spPr>
        <a:xfrm>
          <a:off x="5669642" y="42563143"/>
          <a:ext cx="1850571" cy="6259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a:solidFill>
                <a:srgbClr val="FF0000"/>
              </a:solidFill>
              <a:effectLst/>
              <a:latin typeface="Arial" panose="020B0604020202020204" pitchFamily="34" charset="0"/>
              <a:ea typeface="+mn-ea"/>
              <a:cs typeface="Arial" panose="020B0604020202020204" pitchFamily="34" charset="0"/>
            </a:rPr>
            <a:t>23,9%</a:t>
          </a:r>
        </a:p>
        <a:p>
          <a:r>
            <a:rPr lang="en-US" sz="1100" b="0" i="0">
              <a:solidFill>
                <a:schemeClr val="dk1"/>
              </a:solidFill>
              <a:effectLst/>
              <a:latin typeface="Arial" panose="020B0604020202020204" pitchFamily="34" charset="0"/>
              <a:ea typeface="+mn-ea"/>
              <a:cs typeface="Arial" panose="020B0604020202020204" pitchFamily="34" charset="0"/>
            </a:rPr>
            <a:t>Cần</a:t>
          </a:r>
          <a:r>
            <a:rPr lang="en-US" sz="1100" b="0" i="0" baseline="0">
              <a:solidFill>
                <a:schemeClr val="dk1"/>
              </a:solidFill>
              <a:effectLst/>
              <a:latin typeface="Arial" panose="020B0604020202020204" pitchFamily="34" charset="0"/>
              <a:ea typeface="+mn-ea"/>
              <a:cs typeface="Arial" panose="020B0604020202020204" pitchFamily="34" charset="0"/>
            </a:rPr>
            <a:t> theo dõi (84HS)</a:t>
          </a:r>
          <a:endParaRPr lang="en-US" sz="1100">
            <a:latin typeface="Arial" panose="020B0604020202020204" pitchFamily="34" charset="0"/>
            <a:cs typeface="Arial" panose="020B0604020202020204" pitchFamily="34" charset="0"/>
          </a:endParaRPr>
        </a:p>
      </xdr:txBody>
    </xdr:sp>
    <xdr:clientData/>
  </xdr:twoCellAnchor>
  <xdr:twoCellAnchor>
    <xdr:from>
      <xdr:col>6</xdr:col>
      <xdr:colOff>480785</xdr:colOff>
      <xdr:row>168</xdr:row>
      <xdr:rowOff>9071</xdr:rowOff>
    </xdr:from>
    <xdr:to>
      <xdr:col>9</xdr:col>
      <xdr:colOff>281215</xdr:colOff>
      <xdr:row>170</xdr:row>
      <xdr:rowOff>108857</xdr:rowOff>
    </xdr:to>
    <xdr:sp macro="" textlink="">
      <xdr:nvSpPr>
        <xdr:cNvPr id="88" name="TextBox 87">
          <a:extLst>
            <a:ext uri="{FF2B5EF4-FFF2-40B4-BE49-F238E27FC236}">
              <a16:creationId xmlns:a16="http://schemas.microsoft.com/office/drawing/2014/main" id="{6B408392-FFED-4952-A583-35D2C5C3EA77}"/>
            </a:ext>
          </a:extLst>
        </xdr:cNvPr>
        <xdr:cNvSpPr txBox="1"/>
      </xdr:nvSpPr>
      <xdr:spPr>
        <a:xfrm>
          <a:off x="7647214" y="42572214"/>
          <a:ext cx="2367644" cy="6259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i="0">
              <a:solidFill>
                <a:srgbClr val="FF0000"/>
              </a:solidFill>
              <a:effectLst/>
              <a:latin typeface="Arial" panose="020B0604020202020204" pitchFamily="34" charset="0"/>
              <a:ea typeface="+mn-ea"/>
              <a:cs typeface="Arial" panose="020B0604020202020204" pitchFamily="34" charset="0"/>
            </a:rPr>
            <a:t>18,5%</a:t>
          </a:r>
        </a:p>
        <a:p>
          <a:r>
            <a:rPr lang="en-US" sz="1100" b="0" i="0">
              <a:solidFill>
                <a:schemeClr val="dk1"/>
              </a:solidFill>
              <a:effectLst/>
              <a:latin typeface="Arial" panose="020B0604020202020204" pitchFamily="34" charset="0"/>
              <a:ea typeface="+mn-ea"/>
              <a:cs typeface="Arial" panose="020B0604020202020204" pitchFamily="34" charset="0"/>
            </a:rPr>
            <a:t>Nguy cơ</a:t>
          </a:r>
          <a:r>
            <a:rPr lang="en-US" sz="1100" b="0" i="0" baseline="0">
              <a:solidFill>
                <a:schemeClr val="dk1"/>
              </a:solidFill>
              <a:effectLst/>
              <a:latin typeface="Arial" panose="020B0604020202020204" pitchFamily="34" charset="0"/>
              <a:ea typeface="+mn-ea"/>
              <a:cs typeface="Arial" panose="020B0604020202020204" pitchFamily="34" charset="0"/>
            </a:rPr>
            <a:t> thừa cân béo phì (65 HS)</a:t>
          </a:r>
          <a:endParaRPr lang="en-US" sz="1100">
            <a:latin typeface="Arial" panose="020B0604020202020204" pitchFamily="34" charset="0"/>
            <a:cs typeface="Arial" panose="020B0604020202020204" pitchFamily="34" charset="0"/>
          </a:endParaRPr>
        </a:p>
      </xdr:txBody>
    </xdr:sp>
    <xdr:clientData/>
  </xdr:twoCellAnchor>
  <xdr:twoCellAnchor>
    <xdr:from>
      <xdr:col>1</xdr:col>
      <xdr:colOff>1</xdr:colOff>
      <xdr:row>172</xdr:row>
      <xdr:rowOff>90714</xdr:rowOff>
    </xdr:from>
    <xdr:to>
      <xdr:col>4</xdr:col>
      <xdr:colOff>117930</xdr:colOff>
      <xdr:row>177</xdr:row>
      <xdr:rowOff>217713</xdr:rowOff>
    </xdr:to>
    <xdr:sp macro="" textlink="">
      <xdr:nvSpPr>
        <xdr:cNvPr id="89" name="TextBox 88">
          <a:extLst>
            <a:ext uri="{FF2B5EF4-FFF2-40B4-BE49-F238E27FC236}">
              <a16:creationId xmlns:a16="http://schemas.microsoft.com/office/drawing/2014/main" id="{9AE374A4-35FE-4631-8B4A-90C745E841BE}"/>
            </a:ext>
          </a:extLst>
        </xdr:cNvPr>
        <xdr:cNvSpPr txBox="1"/>
      </xdr:nvSpPr>
      <xdr:spPr>
        <a:xfrm>
          <a:off x="371930" y="43706143"/>
          <a:ext cx="5080000" cy="144235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spcBef>
              <a:spcPts val="400"/>
            </a:spcBef>
            <a:spcAft>
              <a:spcPts val="400"/>
            </a:spcAft>
          </a:pPr>
          <a:r>
            <a:rPr lang="en-US" sz="1000" b="1" i="0">
              <a:solidFill>
                <a:schemeClr val="dk1"/>
              </a:solidFill>
              <a:effectLst/>
              <a:latin typeface="Arial" panose="020B0604020202020204" pitchFamily="34" charset="0"/>
              <a:ea typeface="+mn-ea"/>
              <a:cs typeface="Arial" panose="020B0604020202020204" pitchFamily="34" charset="0"/>
            </a:rPr>
            <a:t>Răng</a:t>
          </a:r>
          <a:r>
            <a:rPr lang="en-US" sz="1000" b="1" i="0" baseline="0">
              <a:solidFill>
                <a:schemeClr val="dk1"/>
              </a:solidFill>
              <a:effectLst/>
              <a:latin typeface="Arial" panose="020B0604020202020204" pitchFamily="34" charset="0"/>
              <a:ea typeface="+mn-ea"/>
              <a:cs typeface="Arial" panose="020B0604020202020204" pitchFamily="34" charset="0"/>
            </a:rPr>
            <a:t> hàm mặt (51 HS): </a:t>
          </a:r>
          <a:r>
            <a:rPr lang="en-US" sz="1000" b="0" i="0">
              <a:solidFill>
                <a:schemeClr val="dk1"/>
              </a:solidFill>
              <a:effectLst/>
              <a:latin typeface="Arial" panose="020B0604020202020204" pitchFamily="34" charset="0"/>
              <a:ea typeface="+mn-ea"/>
              <a:cs typeface="Arial" panose="020B0604020202020204" pitchFamily="34" charset="0"/>
            </a:rPr>
            <a:t>50 trường hợp sâu răng, 1 trường hợp nấm miệng phối hợp.</a:t>
          </a:r>
        </a:p>
        <a:p>
          <a:pPr lvl="0">
            <a:spcBef>
              <a:spcPts val="400"/>
            </a:spcBef>
            <a:spcAft>
              <a:spcPts val="400"/>
            </a:spcAft>
          </a:pPr>
          <a:r>
            <a:rPr lang="en-US" sz="1000" b="1" i="0">
              <a:solidFill>
                <a:schemeClr val="dk1"/>
              </a:solidFill>
              <a:effectLst/>
              <a:latin typeface="Arial" panose="020B0604020202020204" pitchFamily="34" charset="0"/>
              <a:ea typeface="+mn-ea"/>
              <a:cs typeface="Arial" panose="020B0604020202020204" pitchFamily="34" charset="0"/>
            </a:rPr>
            <a:t>Dinh Dưỡng - BMI (101 HS) </a:t>
          </a:r>
          <a:r>
            <a:rPr lang="en-US" sz="1000" b="0" i="0">
              <a:solidFill>
                <a:schemeClr val="dk1"/>
              </a:solidFill>
              <a:effectLst/>
              <a:latin typeface="Arial" panose="020B0604020202020204" pitchFamily="34" charset="0"/>
              <a:ea typeface="+mn-ea"/>
              <a:cs typeface="Arial" panose="020B0604020202020204" pitchFamily="34" charset="0"/>
            </a:rPr>
            <a:t>36 em nhẹ cân/SDD (10.2%), 35 em nguy cơ béo phì, 30 em béo phì (8.5%).</a:t>
          </a:r>
        </a:p>
        <a:p>
          <a:pPr lvl="0">
            <a:spcBef>
              <a:spcPts val="400"/>
            </a:spcBef>
            <a:spcAft>
              <a:spcPts val="400"/>
            </a:spcAft>
          </a:pPr>
          <a:r>
            <a:rPr lang="en-US" sz="1000" b="1" i="0">
              <a:solidFill>
                <a:schemeClr val="dk1"/>
              </a:solidFill>
              <a:effectLst/>
              <a:latin typeface="Arial" panose="020B0604020202020204" pitchFamily="34" charset="0"/>
              <a:ea typeface="+mn-ea"/>
              <a:cs typeface="Arial" panose="020B0604020202020204" pitchFamily="34" charset="0"/>
            </a:rPr>
            <a:t>Tai</a:t>
          </a:r>
          <a:r>
            <a:rPr lang="en-US" sz="1000" b="1" i="0" baseline="0">
              <a:solidFill>
                <a:schemeClr val="dk1"/>
              </a:solidFill>
              <a:effectLst/>
              <a:latin typeface="Arial" panose="020B0604020202020204" pitchFamily="34" charset="0"/>
              <a:ea typeface="+mn-ea"/>
              <a:cs typeface="Arial" panose="020B0604020202020204" pitchFamily="34" charset="0"/>
            </a:rPr>
            <a:t> mũi họng (31HS): </a:t>
          </a:r>
          <a:r>
            <a:rPr lang="en-US" sz="1000" b="0" i="0">
              <a:solidFill>
                <a:schemeClr val="dk1"/>
              </a:solidFill>
              <a:effectLst/>
              <a:latin typeface="Arial" panose="020B0604020202020204" pitchFamily="34" charset="0"/>
              <a:ea typeface="+mn-ea"/>
              <a:cs typeface="Arial" panose="020B0604020202020204" pitchFamily="34" charset="0"/>
            </a:rPr>
            <a:t>30 em chảy nước mũi, 1 em nghẹt mũi, 2 em viêm hô hấp trên.</a:t>
          </a:r>
        </a:p>
        <a:p>
          <a:pPr lvl="0">
            <a:spcBef>
              <a:spcPts val="400"/>
            </a:spcBef>
            <a:spcAft>
              <a:spcPts val="400"/>
            </a:spcAft>
          </a:pPr>
          <a:r>
            <a:rPr lang="en-US" sz="1000" b="1" i="0">
              <a:solidFill>
                <a:schemeClr val="dk1"/>
              </a:solidFill>
              <a:effectLst/>
              <a:latin typeface="Arial" panose="020B0604020202020204" pitchFamily="34" charset="0"/>
              <a:ea typeface="+mn-ea"/>
              <a:cs typeface="Arial" panose="020B0604020202020204" pitchFamily="34" charset="0"/>
            </a:rPr>
            <a:t>Mắt</a:t>
          </a:r>
          <a:r>
            <a:rPr lang="en-US" sz="1000" b="1" i="0" baseline="0">
              <a:solidFill>
                <a:schemeClr val="dk1"/>
              </a:solidFill>
              <a:effectLst/>
              <a:latin typeface="Arial" panose="020B0604020202020204" pitchFamily="34" charset="0"/>
              <a:ea typeface="+mn-ea"/>
              <a:cs typeface="Arial" panose="020B0604020202020204" pitchFamily="34" charset="0"/>
            </a:rPr>
            <a:t>:</a:t>
          </a:r>
          <a:r>
            <a:rPr lang="en-US" sz="1000" b="0" i="0" baseline="0">
              <a:solidFill>
                <a:schemeClr val="dk1"/>
              </a:solidFill>
              <a:effectLst/>
              <a:latin typeface="Arial" panose="020B0604020202020204" pitchFamily="34" charset="0"/>
              <a:ea typeface="+mn-ea"/>
              <a:cs typeface="Arial" panose="020B0604020202020204" pitchFamily="34" charset="0"/>
            </a:rPr>
            <a:t> </a:t>
          </a:r>
          <a:r>
            <a:rPr lang="en-US" sz="1000" b="0" i="0">
              <a:solidFill>
                <a:schemeClr val="dk1"/>
              </a:solidFill>
              <a:effectLst/>
              <a:latin typeface="Arial" panose="020B0604020202020204" pitchFamily="34" charset="0"/>
              <a:ea typeface="+mn-ea"/>
              <a:cs typeface="Arial" panose="020B0604020202020204" pitchFamily="34" charset="0"/>
            </a:rPr>
            <a:t>4 em tật khúc xạ (mắt), </a:t>
          </a:r>
        </a:p>
        <a:p>
          <a:pPr lvl="0">
            <a:spcBef>
              <a:spcPts val="400"/>
            </a:spcBef>
            <a:spcAft>
              <a:spcPts val="400"/>
            </a:spcAft>
          </a:pPr>
          <a:r>
            <a:rPr lang="en-US" sz="1000" b="1" i="0">
              <a:solidFill>
                <a:schemeClr val="dk1"/>
              </a:solidFill>
              <a:effectLst/>
              <a:latin typeface="Arial" panose="020B0604020202020204" pitchFamily="34" charset="0"/>
              <a:ea typeface="+mn-ea"/>
              <a:cs typeface="Arial" panose="020B0604020202020204" pitchFamily="34" charset="0"/>
            </a:rPr>
            <a:t>Ngôn</a:t>
          </a:r>
          <a:r>
            <a:rPr lang="en-US" sz="1000" b="1" i="0" baseline="0">
              <a:solidFill>
                <a:schemeClr val="dk1"/>
              </a:solidFill>
              <a:effectLst/>
              <a:latin typeface="Arial" panose="020B0604020202020204" pitchFamily="34" charset="0"/>
              <a:ea typeface="+mn-ea"/>
              <a:cs typeface="Arial" panose="020B0604020202020204" pitchFamily="34" charset="0"/>
            </a:rPr>
            <a:t> ngữ: </a:t>
          </a:r>
          <a:r>
            <a:rPr lang="en-US" sz="1000" b="0" i="0">
              <a:solidFill>
                <a:schemeClr val="dk1"/>
              </a:solidFill>
              <a:effectLst/>
              <a:latin typeface="Arial" panose="020B0604020202020204" pitchFamily="34" charset="0"/>
              <a:ea typeface="+mn-ea"/>
              <a:cs typeface="Arial" panose="020B0604020202020204" pitchFamily="34" charset="0"/>
            </a:rPr>
            <a:t>3 em cần can thiệp/ theo dõi chậm phát triển ngôn ngữ.</a:t>
          </a:r>
        </a:p>
        <a:p>
          <a:pPr lvl="0"/>
          <a:endParaRPr lang="en-US" sz="1000" b="0" i="0">
            <a:solidFill>
              <a:schemeClr val="dk1"/>
            </a:solidFill>
            <a:effectLst/>
            <a:latin typeface="Arial" panose="020B0604020202020204" pitchFamily="34" charset="0"/>
            <a:ea typeface="+mn-ea"/>
            <a:cs typeface="Arial" panose="020B0604020202020204" pitchFamily="34" charset="0"/>
          </a:endParaRPr>
        </a:p>
        <a:p>
          <a:endParaRPr lang="en-US" sz="1000">
            <a:latin typeface="Arial" panose="020B0604020202020204" pitchFamily="34" charset="0"/>
            <a:cs typeface="Arial" panose="020B0604020202020204" pitchFamily="34" charset="0"/>
          </a:endParaRPr>
        </a:p>
      </xdr:txBody>
    </xdr:sp>
    <xdr:clientData/>
  </xdr:twoCellAnchor>
  <xdr:twoCellAnchor>
    <xdr:from>
      <xdr:col>4</xdr:col>
      <xdr:colOff>326571</xdr:colOff>
      <xdr:row>172</xdr:row>
      <xdr:rowOff>90714</xdr:rowOff>
    </xdr:from>
    <xdr:to>
      <xdr:col>9</xdr:col>
      <xdr:colOff>281214</xdr:colOff>
      <xdr:row>177</xdr:row>
      <xdr:rowOff>199571</xdr:rowOff>
    </xdr:to>
    <xdr:sp macro="" textlink="">
      <xdr:nvSpPr>
        <xdr:cNvPr id="91" name="TextBox 90">
          <a:extLst>
            <a:ext uri="{FF2B5EF4-FFF2-40B4-BE49-F238E27FC236}">
              <a16:creationId xmlns:a16="http://schemas.microsoft.com/office/drawing/2014/main" id="{B6C3C4D7-09B6-4A24-ACED-3918C97CA91E}"/>
            </a:ext>
          </a:extLst>
        </xdr:cNvPr>
        <xdr:cNvSpPr txBox="1"/>
      </xdr:nvSpPr>
      <xdr:spPr>
        <a:xfrm>
          <a:off x="5660571" y="43706143"/>
          <a:ext cx="4354286" cy="14242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0">
            <a:spcBef>
              <a:spcPts val="400"/>
            </a:spcBef>
            <a:spcAft>
              <a:spcPts val="400"/>
            </a:spcAft>
          </a:pPr>
          <a:r>
            <a:rPr lang="en-US" sz="1000" b="1" i="0">
              <a:solidFill>
                <a:schemeClr val="dk1"/>
              </a:solidFill>
              <a:effectLst/>
              <a:latin typeface="Arial" panose="020B0604020202020204" pitchFamily="34" charset="0"/>
              <a:ea typeface="+mn-ea"/>
              <a:cs typeface="Arial" panose="020B0604020202020204" pitchFamily="34" charset="0"/>
            </a:rPr>
            <a:t>Y tế:</a:t>
          </a:r>
          <a:r>
            <a:rPr lang="en-US" sz="1000" b="0" i="0">
              <a:solidFill>
                <a:schemeClr val="dk1"/>
              </a:solidFill>
              <a:effectLst/>
              <a:latin typeface="Arial" panose="020B0604020202020204" pitchFamily="34" charset="0"/>
              <a:ea typeface="+mn-ea"/>
              <a:cs typeface="Arial" panose="020B0604020202020204" pitchFamily="34" charset="0"/>
            </a:rPr>
            <a:t> Làm</a:t>
          </a:r>
          <a:r>
            <a:rPr lang="en-US" sz="1000" b="0" i="0" baseline="0">
              <a:solidFill>
                <a:schemeClr val="dk1"/>
              </a:solidFill>
              <a:effectLst/>
              <a:latin typeface="Arial" panose="020B0604020202020204" pitchFamily="34" charset="0"/>
              <a:ea typeface="+mn-ea"/>
              <a:cs typeface="Arial" panose="020B0604020202020204" pitchFamily="34" charset="0"/>
            </a:rPr>
            <a:t> bài truyền thông h</a:t>
          </a:r>
          <a:r>
            <a:rPr lang="en-US" sz="1000" b="0" i="0">
              <a:solidFill>
                <a:schemeClr val="dk1"/>
              </a:solidFill>
              <a:effectLst/>
              <a:latin typeface="Arial" panose="020B0604020202020204" pitchFamily="34" charset="0"/>
              <a:ea typeface="+mn-ea"/>
              <a:cs typeface="Arial" panose="020B0604020202020204" pitchFamily="34" charset="0"/>
            </a:rPr>
            <a:t>ướng dẫn chải răng đúng cách, phối hợp nha khoa điều trị sớm.</a:t>
          </a:r>
        </a:p>
        <a:p>
          <a:pPr lvl="0">
            <a:spcBef>
              <a:spcPts val="400"/>
            </a:spcBef>
            <a:spcAft>
              <a:spcPts val="400"/>
            </a:spcAft>
          </a:pPr>
          <a:r>
            <a:rPr lang="en-US" sz="1000" b="1" i="0">
              <a:solidFill>
                <a:schemeClr val="dk1"/>
              </a:solidFill>
              <a:effectLst/>
              <a:latin typeface="Arial" panose="020B0604020202020204" pitchFamily="34" charset="0"/>
              <a:ea typeface="+mn-ea"/>
              <a:cs typeface="Arial" panose="020B0604020202020204" pitchFamily="34" charset="0"/>
            </a:rPr>
            <a:t>Bếp:</a:t>
          </a:r>
          <a:r>
            <a:rPr lang="en-US" sz="1000" b="0" i="0" baseline="0">
              <a:solidFill>
                <a:schemeClr val="dk1"/>
              </a:solidFill>
              <a:effectLst/>
              <a:latin typeface="Arial" panose="020B0604020202020204" pitchFamily="34" charset="0"/>
              <a:ea typeface="+mn-ea"/>
              <a:cs typeface="Arial" panose="020B0604020202020204" pitchFamily="34" charset="0"/>
            </a:rPr>
            <a:t> </a:t>
          </a:r>
          <a:r>
            <a:rPr lang="en-US" sz="1000" b="0" i="0">
              <a:solidFill>
                <a:schemeClr val="dk1"/>
              </a:solidFill>
              <a:effectLst/>
              <a:latin typeface="Arial" panose="020B0604020202020204" pitchFamily="34" charset="0"/>
              <a:ea typeface="+mn-ea"/>
              <a:cs typeface="Arial" panose="020B0604020202020204" pitchFamily="34" charset="0"/>
            </a:rPr>
            <a:t>Điều chỉnh thực đơn bán trú riêng cho nhóm thừa cân &amp; gầy còm.</a:t>
          </a:r>
        </a:p>
        <a:p>
          <a:pPr lvl="0">
            <a:spcBef>
              <a:spcPts val="400"/>
            </a:spcBef>
            <a:spcAft>
              <a:spcPts val="400"/>
            </a:spcAft>
          </a:pPr>
          <a:r>
            <a:rPr lang="en-US" sz="1000" b="1" i="0">
              <a:solidFill>
                <a:schemeClr val="dk1"/>
              </a:solidFill>
              <a:effectLst/>
              <a:latin typeface="Arial" panose="020B0604020202020204" pitchFamily="34" charset="0"/>
              <a:ea typeface="+mn-ea"/>
              <a:cs typeface="Arial" panose="020B0604020202020204" pitchFamily="34" charset="0"/>
            </a:rPr>
            <a:t>GVCN</a:t>
          </a:r>
          <a:r>
            <a:rPr lang="en-US" sz="1000" b="0" i="0">
              <a:solidFill>
                <a:schemeClr val="dk1"/>
              </a:solidFill>
              <a:effectLst/>
              <a:latin typeface="Arial" panose="020B0604020202020204" pitchFamily="34" charset="0"/>
              <a:ea typeface="+mn-ea"/>
              <a:cs typeface="Arial" panose="020B0604020202020204" pitchFamily="34" charset="0"/>
            </a:rPr>
            <a:t>: Vệ sinh mũi họng tại lớp, điều chỉnh nhiệt độ điều hòa phù hợp.</a:t>
          </a:r>
        </a:p>
        <a:p>
          <a:pPr lvl="0">
            <a:spcBef>
              <a:spcPts val="400"/>
            </a:spcBef>
            <a:spcAft>
              <a:spcPts val="400"/>
            </a:spcAft>
          </a:pPr>
          <a:r>
            <a:rPr lang="en-US" sz="1000" b="0" i="0">
              <a:solidFill>
                <a:schemeClr val="dk1"/>
              </a:solidFill>
              <a:effectLst/>
              <a:latin typeface="Arial" panose="020B0604020202020204" pitchFamily="34" charset="0"/>
              <a:ea typeface="+mn-ea"/>
              <a:cs typeface="Arial" panose="020B0604020202020204" pitchFamily="34" charset="0"/>
            </a:rPr>
            <a:t>Thông báo gia đình đo thị lực chuyên khoa &amp; can thiệp ngôn ngữ sớm.</a:t>
          </a:r>
        </a:p>
      </xdr:txBody>
    </xdr:sp>
    <xdr:clientData/>
  </xdr:twoCellAnchor>
  <xdr:twoCellAnchor>
    <xdr:from>
      <xdr:col>1</xdr:col>
      <xdr:colOff>18143</xdr:colOff>
      <xdr:row>171</xdr:row>
      <xdr:rowOff>9071</xdr:rowOff>
    </xdr:from>
    <xdr:to>
      <xdr:col>4</xdr:col>
      <xdr:colOff>92279</xdr:colOff>
      <xdr:row>172</xdr:row>
      <xdr:rowOff>27214</xdr:rowOff>
    </xdr:to>
    <xdr:sp macro="" textlink="">
      <xdr:nvSpPr>
        <xdr:cNvPr id="92" name="Rectangle 91">
          <a:extLst>
            <a:ext uri="{FF2B5EF4-FFF2-40B4-BE49-F238E27FC236}">
              <a16:creationId xmlns:a16="http://schemas.microsoft.com/office/drawing/2014/main" id="{E5B51E21-5018-460A-905B-61EC155BF30E}"/>
            </a:ext>
          </a:extLst>
        </xdr:cNvPr>
        <xdr:cNvSpPr/>
      </xdr:nvSpPr>
      <xdr:spPr>
        <a:xfrm>
          <a:off x="390072" y="43361428"/>
          <a:ext cx="5036207" cy="281215"/>
        </a:xfrm>
        <a:prstGeom prst="rect">
          <a:avLst/>
        </a:prstGeom>
        <a:solidFill>
          <a:schemeClr val="tx2">
            <a:lumMod val="10000"/>
            <a:lumOff val="9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200" b="1">
              <a:latin typeface="Arial" panose="020B0604020202020204" pitchFamily="34" charset="0"/>
              <a:cs typeface="Arial" panose="020B0604020202020204" pitchFamily="34" charset="0"/>
            </a:rPr>
            <a:t>Nhóm</a:t>
          </a:r>
          <a:r>
            <a:rPr lang="en-US" sz="1200" b="1" baseline="0">
              <a:latin typeface="Arial" panose="020B0604020202020204" pitchFamily="34" charset="0"/>
              <a:cs typeface="Arial" panose="020B0604020202020204" pitchFamily="34" charset="0"/>
            </a:rPr>
            <a:t> vấn đề </a:t>
          </a:r>
          <a:endParaRPr lang="en-US" sz="1200" b="1">
            <a:latin typeface="Arial" panose="020B0604020202020204" pitchFamily="34" charset="0"/>
            <a:cs typeface="Arial" panose="020B0604020202020204" pitchFamily="34" charset="0"/>
          </a:endParaRPr>
        </a:p>
      </xdr:txBody>
    </xdr:sp>
    <xdr:clientData/>
  </xdr:twoCellAnchor>
  <xdr:twoCellAnchor>
    <xdr:from>
      <xdr:col>4</xdr:col>
      <xdr:colOff>332427</xdr:colOff>
      <xdr:row>171</xdr:row>
      <xdr:rowOff>2</xdr:rowOff>
    </xdr:from>
    <xdr:to>
      <xdr:col>9</xdr:col>
      <xdr:colOff>254000</xdr:colOff>
      <xdr:row>172</xdr:row>
      <xdr:rowOff>18142</xdr:rowOff>
    </xdr:to>
    <xdr:sp macro="" textlink="">
      <xdr:nvSpPr>
        <xdr:cNvPr id="94" name="Rectangle 93">
          <a:extLst>
            <a:ext uri="{FF2B5EF4-FFF2-40B4-BE49-F238E27FC236}">
              <a16:creationId xmlns:a16="http://schemas.microsoft.com/office/drawing/2014/main" id="{08AC7671-1BB9-488D-9AC7-05BB168B265D}"/>
            </a:ext>
          </a:extLst>
        </xdr:cNvPr>
        <xdr:cNvSpPr/>
      </xdr:nvSpPr>
      <xdr:spPr>
        <a:xfrm>
          <a:off x="5666427" y="43352359"/>
          <a:ext cx="4321216" cy="281212"/>
        </a:xfrm>
        <a:prstGeom prst="rect">
          <a:avLst/>
        </a:prstGeom>
        <a:solidFill>
          <a:schemeClr val="accent2">
            <a:lumMod val="20000"/>
            <a:lumOff val="80000"/>
          </a:schemeClr>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200" b="1">
              <a:latin typeface="Arial" panose="020B0604020202020204" pitchFamily="34" charset="0"/>
              <a:cs typeface="Arial" panose="020B0604020202020204" pitchFamily="34" charset="0"/>
            </a:rPr>
            <a:t>Nhóm</a:t>
          </a:r>
          <a:r>
            <a:rPr lang="en-US" sz="1200" b="1" baseline="0">
              <a:latin typeface="Arial" panose="020B0604020202020204" pitchFamily="34" charset="0"/>
              <a:cs typeface="Arial" panose="020B0604020202020204" pitchFamily="34" charset="0"/>
            </a:rPr>
            <a:t> giải pháp </a:t>
          </a:r>
          <a:endParaRPr lang="en-US" sz="1200" b="1">
            <a:latin typeface="Arial" panose="020B0604020202020204" pitchFamily="34" charset="0"/>
            <a:cs typeface="Arial" panose="020B0604020202020204" pitchFamily="34" charset="0"/>
          </a:endParaRPr>
        </a:p>
      </xdr:txBody>
    </xdr:sp>
    <xdr:clientData/>
  </xdr:twoCellAnchor>
  <xdr:twoCellAnchor>
    <xdr:from>
      <xdr:col>1</xdr:col>
      <xdr:colOff>29882</xdr:colOff>
      <xdr:row>183</xdr:row>
      <xdr:rowOff>63500</xdr:rowOff>
    </xdr:from>
    <xdr:to>
      <xdr:col>8</xdr:col>
      <xdr:colOff>216647</xdr:colOff>
      <xdr:row>192</xdr:row>
      <xdr:rowOff>453571</xdr:rowOff>
    </xdr:to>
    <xdr:graphicFrame macro="">
      <xdr:nvGraphicFramePr>
        <xdr:cNvPr id="99" name="Chart 98">
          <a:extLst>
            <a:ext uri="{FF2B5EF4-FFF2-40B4-BE49-F238E27FC236}">
              <a16:creationId xmlns:a16="http://schemas.microsoft.com/office/drawing/2014/main" id="{DB5FF846-1B48-4F4F-9304-5F55F6E8E7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8</xdr:col>
      <xdr:colOff>283882</xdr:colOff>
      <xdr:row>187</xdr:row>
      <xdr:rowOff>97918</xdr:rowOff>
    </xdr:from>
    <xdr:to>
      <xdr:col>9</xdr:col>
      <xdr:colOff>627530</xdr:colOff>
      <xdr:row>189</xdr:row>
      <xdr:rowOff>422087</xdr:rowOff>
    </xdr:to>
    <mc:AlternateContent xmlns:mc="http://schemas.openxmlformats.org/markup-compatibility/2006" xmlns:a14="http://schemas.microsoft.com/office/drawing/2010/main">
      <mc:Choice Requires="a14">
        <xdr:graphicFrame macro="">
          <xdr:nvGraphicFramePr>
            <xdr:cNvPr id="100" name="Cap 1">
              <a:extLst>
                <a:ext uri="{FF2B5EF4-FFF2-40B4-BE49-F238E27FC236}">
                  <a16:creationId xmlns:a16="http://schemas.microsoft.com/office/drawing/2014/main" id="{162DF21C-5061-5E14-731D-C03BC88773B2}"/>
                </a:ext>
              </a:extLst>
            </xdr:cNvPr>
            <xdr:cNvGraphicFramePr/>
          </xdr:nvGraphicFramePr>
          <xdr:xfrm>
            <a:off x="0" y="0"/>
            <a:ext cx="0" cy="0"/>
          </xdr:xfrm>
          <a:graphic>
            <a:graphicData uri="http://schemas.microsoft.com/office/drawing/2010/slicer">
              <sle:slicer xmlns:sle="http://schemas.microsoft.com/office/drawing/2010/slicer" name="Cap 1"/>
            </a:graphicData>
          </a:graphic>
        </xdr:graphicFrame>
      </mc:Choice>
      <mc:Fallback xmlns="">
        <xdr:sp macro="" textlink="">
          <xdr:nvSpPr>
            <xdr:cNvPr id="0" name=""/>
            <xdr:cNvSpPr>
              <a:spLocks noTextEdit="1"/>
            </xdr:cNvSpPr>
          </xdr:nvSpPr>
          <xdr:spPr>
            <a:xfrm>
              <a:off x="9028739" y="48956632"/>
              <a:ext cx="1160077" cy="16123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302025</xdr:colOff>
      <xdr:row>183</xdr:row>
      <xdr:rowOff>88045</xdr:rowOff>
    </xdr:from>
    <xdr:to>
      <xdr:col>9</xdr:col>
      <xdr:colOff>649941</xdr:colOff>
      <xdr:row>187</xdr:row>
      <xdr:rowOff>24546</xdr:rowOff>
    </xdr:to>
    <mc:AlternateContent xmlns:mc="http://schemas.openxmlformats.org/markup-compatibility/2006" xmlns:a14="http://schemas.microsoft.com/office/drawing/2010/main">
      <mc:Choice Requires="a14">
        <xdr:graphicFrame macro="">
          <xdr:nvGraphicFramePr>
            <xdr:cNvPr id="101" name="Tháng  1">
              <a:extLst>
                <a:ext uri="{FF2B5EF4-FFF2-40B4-BE49-F238E27FC236}">
                  <a16:creationId xmlns:a16="http://schemas.microsoft.com/office/drawing/2014/main" id="{078C28BA-B9C5-F013-B58A-BCA768BDB8F8}"/>
                </a:ext>
              </a:extLst>
            </xdr:cNvPr>
            <xdr:cNvGraphicFramePr/>
          </xdr:nvGraphicFramePr>
          <xdr:xfrm>
            <a:off x="0" y="0"/>
            <a:ext cx="0" cy="0"/>
          </xdr:xfrm>
          <a:graphic>
            <a:graphicData uri="http://schemas.microsoft.com/office/drawing/2010/slicer">
              <sle:slicer xmlns:sle="http://schemas.microsoft.com/office/drawing/2010/slicer" name="Tháng  1"/>
            </a:graphicData>
          </a:graphic>
        </xdr:graphicFrame>
      </mc:Choice>
      <mc:Fallback xmlns="">
        <xdr:sp macro="" textlink="">
          <xdr:nvSpPr>
            <xdr:cNvPr id="0" name=""/>
            <xdr:cNvSpPr>
              <a:spLocks noTextEdit="1"/>
            </xdr:cNvSpPr>
          </xdr:nvSpPr>
          <xdr:spPr>
            <a:xfrm>
              <a:off x="9046882" y="47259474"/>
              <a:ext cx="1164345" cy="16237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18140</xdr:colOff>
      <xdr:row>194</xdr:row>
      <xdr:rowOff>36285</xdr:rowOff>
    </xdr:from>
    <xdr:to>
      <xdr:col>8</xdr:col>
      <xdr:colOff>281214</xdr:colOff>
      <xdr:row>212</xdr:row>
      <xdr:rowOff>598715</xdr:rowOff>
    </xdr:to>
    <xdr:graphicFrame macro="">
      <xdr:nvGraphicFramePr>
        <xdr:cNvPr id="103" name="Chart 102">
          <a:extLst>
            <a:ext uri="{FF2B5EF4-FFF2-40B4-BE49-F238E27FC236}">
              <a16:creationId xmlns:a16="http://schemas.microsoft.com/office/drawing/2014/main" id="{25625005-A887-4528-BB25-895563100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8</xdr:col>
      <xdr:colOff>399143</xdr:colOff>
      <xdr:row>194</xdr:row>
      <xdr:rowOff>36284</xdr:rowOff>
    </xdr:from>
    <xdr:to>
      <xdr:col>9</xdr:col>
      <xdr:colOff>589641</xdr:colOff>
      <xdr:row>201</xdr:row>
      <xdr:rowOff>108857</xdr:rowOff>
    </xdr:to>
    <mc:AlternateContent xmlns:mc="http://schemas.openxmlformats.org/markup-compatibility/2006" xmlns:a14="http://schemas.microsoft.com/office/drawing/2010/main">
      <mc:Choice Requires="a14">
        <xdr:graphicFrame macro="">
          <xdr:nvGraphicFramePr>
            <xdr:cNvPr id="104" name="Cap">
              <a:extLst>
                <a:ext uri="{FF2B5EF4-FFF2-40B4-BE49-F238E27FC236}">
                  <a16:creationId xmlns:a16="http://schemas.microsoft.com/office/drawing/2014/main" id="{39E8A7CA-7E1D-3094-AF45-460C0564A77F}"/>
                </a:ext>
              </a:extLst>
            </xdr:cNvPr>
            <xdr:cNvGraphicFramePr/>
          </xdr:nvGraphicFramePr>
          <xdr:xfrm>
            <a:off x="0" y="0"/>
            <a:ext cx="0" cy="0"/>
          </xdr:xfrm>
          <a:graphic>
            <a:graphicData uri="http://schemas.microsoft.com/office/drawing/2010/slicer">
              <sle:slicer xmlns:sle="http://schemas.microsoft.com/office/drawing/2010/slicer" name="Cap"/>
            </a:graphicData>
          </a:graphic>
        </xdr:graphicFrame>
      </mc:Choice>
      <mc:Fallback xmlns="">
        <xdr:sp macro="" textlink="">
          <xdr:nvSpPr>
            <xdr:cNvPr id="0" name=""/>
            <xdr:cNvSpPr>
              <a:spLocks noTextEdit="1"/>
            </xdr:cNvSpPr>
          </xdr:nvSpPr>
          <xdr:spPr>
            <a:xfrm>
              <a:off x="9144000" y="52659641"/>
              <a:ext cx="1006927" cy="16147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390072</xdr:colOff>
      <xdr:row>201</xdr:row>
      <xdr:rowOff>276678</xdr:rowOff>
    </xdr:from>
    <xdr:to>
      <xdr:col>9</xdr:col>
      <xdr:colOff>580571</xdr:colOff>
      <xdr:row>212</xdr:row>
      <xdr:rowOff>139844</xdr:rowOff>
    </xdr:to>
    <mc:AlternateContent xmlns:mc="http://schemas.openxmlformats.org/markup-compatibility/2006" xmlns:a14="http://schemas.microsoft.com/office/drawing/2010/main">
      <mc:Choice Requires="a14">
        <xdr:graphicFrame macro="">
          <xdr:nvGraphicFramePr>
            <xdr:cNvPr id="105" name="Tháng ">
              <a:extLst>
                <a:ext uri="{FF2B5EF4-FFF2-40B4-BE49-F238E27FC236}">
                  <a16:creationId xmlns:a16="http://schemas.microsoft.com/office/drawing/2014/main" id="{16582BB3-1129-331E-192D-B8B6136C1E47}"/>
                </a:ext>
              </a:extLst>
            </xdr:cNvPr>
            <xdr:cNvGraphicFramePr/>
          </xdr:nvGraphicFramePr>
          <xdr:xfrm>
            <a:off x="0" y="0"/>
            <a:ext cx="0" cy="0"/>
          </xdr:xfrm>
          <a:graphic>
            <a:graphicData uri="http://schemas.microsoft.com/office/drawing/2010/slicer">
              <sle:slicer xmlns:sle="http://schemas.microsoft.com/office/drawing/2010/slicer" name="Tháng "/>
            </a:graphicData>
          </a:graphic>
        </xdr:graphicFrame>
      </mc:Choice>
      <mc:Fallback xmlns="">
        <xdr:sp macro="" textlink="">
          <xdr:nvSpPr>
            <xdr:cNvPr id="0" name=""/>
            <xdr:cNvSpPr>
              <a:spLocks noTextEdit="1"/>
            </xdr:cNvSpPr>
          </xdr:nvSpPr>
          <xdr:spPr>
            <a:xfrm>
              <a:off x="9134929" y="54442178"/>
              <a:ext cx="1006928" cy="24394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9071</xdr:colOff>
      <xdr:row>216</xdr:row>
      <xdr:rowOff>90714</xdr:rowOff>
    </xdr:from>
    <xdr:to>
      <xdr:col>5</xdr:col>
      <xdr:colOff>918883</xdr:colOff>
      <xdr:row>231</xdr:row>
      <xdr:rowOff>149412</xdr:rowOff>
    </xdr:to>
    <xdr:graphicFrame macro="">
      <xdr:nvGraphicFramePr>
        <xdr:cNvPr id="107" name="Chart 106">
          <a:extLst>
            <a:ext uri="{FF2B5EF4-FFF2-40B4-BE49-F238E27FC236}">
              <a16:creationId xmlns:a16="http://schemas.microsoft.com/office/drawing/2014/main" id="{D7A24A17-F891-4A79-B20E-2079BA5441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6</xdr:col>
      <xdr:colOff>67235</xdr:colOff>
      <xdr:row>216</xdr:row>
      <xdr:rowOff>52614</xdr:rowOff>
    </xdr:from>
    <xdr:to>
      <xdr:col>8</xdr:col>
      <xdr:colOff>208642</xdr:colOff>
      <xdr:row>231</xdr:row>
      <xdr:rowOff>145143</xdr:rowOff>
    </xdr:to>
    <mc:AlternateContent xmlns:mc="http://schemas.openxmlformats.org/markup-compatibility/2006" xmlns:a14="http://schemas.microsoft.com/office/drawing/2010/main">
      <mc:Choice Requires="a14">
        <xdr:graphicFrame macro="">
          <xdr:nvGraphicFramePr>
            <xdr:cNvPr id="108" name="PhongBan">
              <a:extLst>
                <a:ext uri="{FF2B5EF4-FFF2-40B4-BE49-F238E27FC236}">
                  <a16:creationId xmlns:a16="http://schemas.microsoft.com/office/drawing/2014/main" id="{0B176984-402B-34CE-1F6B-C18F16A95B45}"/>
                </a:ext>
              </a:extLst>
            </xdr:cNvPr>
            <xdr:cNvGraphicFramePr/>
          </xdr:nvGraphicFramePr>
          <xdr:xfrm>
            <a:off x="0" y="0"/>
            <a:ext cx="0" cy="0"/>
          </xdr:xfrm>
          <a:graphic>
            <a:graphicData uri="http://schemas.microsoft.com/office/drawing/2010/slicer">
              <sle:slicer xmlns:sle="http://schemas.microsoft.com/office/drawing/2010/slicer" name="PhongBan"/>
            </a:graphicData>
          </a:graphic>
        </xdr:graphicFrame>
      </mc:Choice>
      <mc:Fallback xmlns="">
        <xdr:sp macro="" textlink="">
          <xdr:nvSpPr>
            <xdr:cNvPr id="0" name=""/>
            <xdr:cNvSpPr>
              <a:spLocks noTextEdit="1"/>
            </xdr:cNvSpPr>
          </xdr:nvSpPr>
          <xdr:spPr>
            <a:xfrm>
              <a:off x="7061306" y="60096400"/>
              <a:ext cx="1892193" cy="32403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299357</xdr:colOff>
      <xdr:row>216</xdr:row>
      <xdr:rowOff>57149</xdr:rowOff>
    </xdr:from>
    <xdr:to>
      <xdr:col>9</xdr:col>
      <xdr:colOff>625928</xdr:colOff>
      <xdr:row>231</xdr:row>
      <xdr:rowOff>145143</xdr:rowOff>
    </xdr:to>
    <mc:AlternateContent xmlns:mc="http://schemas.openxmlformats.org/markup-compatibility/2006" xmlns:a14="http://schemas.microsoft.com/office/drawing/2010/main">
      <mc:Choice Requires="a14">
        <xdr:graphicFrame macro="">
          <xdr:nvGraphicFramePr>
            <xdr:cNvPr id="109" name="Tháng  2">
              <a:extLst>
                <a:ext uri="{FF2B5EF4-FFF2-40B4-BE49-F238E27FC236}">
                  <a16:creationId xmlns:a16="http://schemas.microsoft.com/office/drawing/2014/main" id="{A2543F85-4AE8-CC36-5489-0838F8CC9672}"/>
                </a:ext>
              </a:extLst>
            </xdr:cNvPr>
            <xdr:cNvGraphicFramePr/>
          </xdr:nvGraphicFramePr>
          <xdr:xfrm>
            <a:off x="0" y="0"/>
            <a:ext cx="0" cy="0"/>
          </xdr:xfrm>
          <a:graphic>
            <a:graphicData uri="http://schemas.microsoft.com/office/drawing/2010/slicer">
              <sle:slicer xmlns:sle="http://schemas.microsoft.com/office/drawing/2010/slicer" name="Tháng  2"/>
            </a:graphicData>
          </a:graphic>
        </xdr:graphicFrame>
      </mc:Choice>
      <mc:Fallback xmlns="">
        <xdr:sp macro="" textlink="">
          <xdr:nvSpPr>
            <xdr:cNvPr id="0" name=""/>
            <xdr:cNvSpPr>
              <a:spLocks noTextEdit="1"/>
            </xdr:cNvSpPr>
          </xdr:nvSpPr>
          <xdr:spPr>
            <a:xfrm>
              <a:off x="9044214" y="60100935"/>
              <a:ext cx="1143000" cy="32357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9071</xdr:colOff>
      <xdr:row>233</xdr:row>
      <xdr:rowOff>108857</xdr:rowOff>
    </xdr:from>
    <xdr:to>
      <xdr:col>5</xdr:col>
      <xdr:colOff>907143</xdr:colOff>
      <xdr:row>237</xdr:row>
      <xdr:rowOff>702236</xdr:rowOff>
    </xdr:to>
    <xdr:graphicFrame macro="">
      <xdr:nvGraphicFramePr>
        <xdr:cNvPr id="111" name="Chart 110">
          <a:extLst>
            <a:ext uri="{FF2B5EF4-FFF2-40B4-BE49-F238E27FC236}">
              <a16:creationId xmlns:a16="http://schemas.microsoft.com/office/drawing/2014/main" id="{4D8486D6-5BAD-408F-976F-17278321DF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7</xdr:col>
      <xdr:colOff>524011</xdr:colOff>
      <xdr:row>233</xdr:row>
      <xdr:rowOff>131535</xdr:rowOff>
    </xdr:from>
    <xdr:to>
      <xdr:col>9</xdr:col>
      <xdr:colOff>653143</xdr:colOff>
      <xdr:row>237</xdr:row>
      <xdr:rowOff>698500</xdr:rowOff>
    </xdr:to>
    <mc:AlternateContent xmlns:mc="http://schemas.openxmlformats.org/markup-compatibility/2006" xmlns:a14="http://schemas.microsoft.com/office/drawing/2010/main">
      <mc:Choice Requires="a14">
        <xdr:graphicFrame macro="">
          <xdr:nvGraphicFramePr>
            <xdr:cNvPr id="112" name="PhongBan 1">
              <a:extLst>
                <a:ext uri="{FF2B5EF4-FFF2-40B4-BE49-F238E27FC236}">
                  <a16:creationId xmlns:a16="http://schemas.microsoft.com/office/drawing/2014/main" id="{05FA6597-675F-7A3E-4A38-16F36AAA8CA1}"/>
                </a:ext>
              </a:extLst>
            </xdr:cNvPr>
            <xdr:cNvGraphicFramePr/>
          </xdr:nvGraphicFramePr>
          <xdr:xfrm>
            <a:off x="0" y="0"/>
            <a:ext cx="0" cy="0"/>
          </xdr:xfrm>
          <a:graphic>
            <a:graphicData uri="http://schemas.microsoft.com/office/drawing/2010/slicer">
              <sle:slicer xmlns:sle="http://schemas.microsoft.com/office/drawing/2010/slicer" name="PhongBan 1"/>
            </a:graphicData>
          </a:graphic>
        </xdr:graphicFrame>
      </mc:Choice>
      <mc:Fallback xmlns="">
        <xdr:sp macro="" textlink="">
          <xdr:nvSpPr>
            <xdr:cNvPr id="0" name=""/>
            <xdr:cNvSpPr>
              <a:spLocks noTextEdit="1"/>
            </xdr:cNvSpPr>
          </xdr:nvSpPr>
          <xdr:spPr>
            <a:xfrm>
              <a:off x="8398011" y="63649678"/>
              <a:ext cx="1816418" cy="24810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94342</xdr:colOff>
      <xdr:row>233</xdr:row>
      <xdr:rowOff>126999</xdr:rowOff>
    </xdr:from>
    <xdr:to>
      <xdr:col>7</xdr:col>
      <xdr:colOff>417285</xdr:colOff>
      <xdr:row>236</xdr:row>
      <xdr:rowOff>14265</xdr:rowOff>
    </xdr:to>
    <mc:AlternateContent xmlns:mc="http://schemas.openxmlformats.org/markup-compatibility/2006" xmlns:a14="http://schemas.microsoft.com/office/drawing/2010/main">
      <mc:Choice Requires="a14">
        <xdr:graphicFrame macro="">
          <xdr:nvGraphicFramePr>
            <xdr:cNvPr id="113" name="Tháng  3">
              <a:extLst>
                <a:ext uri="{FF2B5EF4-FFF2-40B4-BE49-F238E27FC236}">
                  <a16:creationId xmlns:a16="http://schemas.microsoft.com/office/drawing/2014/main" id="{9D537F11-C9DB-D16B-81B1-3A3A157540E9}"/>
                </a:ext>
              </a:extLst>
            </xdr:cNvPr>
            <xdr:cNvGraphicFramePr/>
          </xdr:nvGraphicFramePr>
          <xdr:xfrm>
            <a:off x="0" y="0"/>
            <a:ext cx="0" cy="0"/>
          </xdr:xfrm>
          <a:graphic>
            <a:graphicData uri="http://schemas.microsoft.com/office/drawing/2010/slicer">
              <sle:slicer xmlns:sle="http://schemas.microsoft.com/office/drawing/2010/slicer" name="Tháng  3"/>
            </a:graphicData>
          </a:graphic>
        </xdr:graphicFrame>
      </mc:Choice>
      <mc:Fallback xmlns="">
        <xdr:sp macro="" textlink="">
          <xdr:nvSpPr>
            <xdr:cNvPr id="0" name=""/>
            <xdr:cNvSpPr>
              <a:spLocks noTextEdit="1"/>
            </xdr:cNvSpPr>
          </xdr:nvSpPr>
          <xdr:spPr>
            <a:xfrm>
              <a:off x="7088413" y="63645142"/>
              <a:ext cx="1202872" cy="13568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3395</xdr:colOff>
      <xdr:row>244</xdr:row>
      <xdr:rowOff>46183</xdr:rowOff>
    </xdr:from>
    <xdr:to>
      <xdr:col>5</xdr:col>
      <xdr:colOff>806824</xdr:colOff>
      <xdr:row>252</xdr:row>
      <xdr:rowOff>163285</xdr:rowOff>
    </xdr:to>
    <xdr:graphicFrame macro="">
      <xdr:nvGraphicFramePr>
        <xdr:cNvPr id="115" name="Chart 114">
          <a:extLst>
            <a:ext uri="{FF2B5EF4-FFF2-40B4-BE49-F238E27FC236}">
              <a16:creationId xmlns:a16="http://schemas.microsoft.com/office/drawing/2014/main" id="{75DB9AF2-9510-4044-A842-8718AA8C8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6</xdr:col>
      <xdr:colOff>55929</xdr:colOff>
      <xdr:row>244</xdr:row>
      <xdr:rowOff>37447</xdr:rowOff>
    </xdr:from>
    <xdr:to>
      <xdr:col>7</xdr:col>
      <xdr:colOff>377841</xdr:colOff>
      <xdr:row>247</xdr:row>
      <xdr:rowOff>254633</xdr:rowOff>
    </xdr:to>
    <mc:AlternateContent xmlns:mc="http://schemas.openxmlformats.org/markup-compatibility/2006" xmlns:a14="http://schemas.microsoft.com/office/drawing/2010/main">
      <mc:Choice Requires="a14">
        <xdr:graphicFrame macro="">
          <xdr:nvGraphicFramePr>
            <xdr:cNvPr id="116" name="Tháng">
              <a:extLst>
                <a:ext uri="{FF2B5EF4-FFF2-40B4-BE49-F238E27FC236}">
                  <a16:creationId xmlns:a16="http://schemas.microsoft.com/office/drawing/2014/main" id="{6D6529C8-42B3-C10F-06B8-897C0B0F2A34}"/>
                </a:ext>
              </a:extLst>
            </xdr:cNvPr>
            <xdr:cNvGraphicFramePr/>
          </xdr:nvGraphicFramePr>
          <xdr:xfrm>
            <a:off x="0" y="0"/>
            <a:ext cx="0" cy="0"/>
          </xdr:xfrm>
          <a:graphic>
            <a:graphicData uri="http://schemas.microsoft.com/office/drawing/2010/slicer">
              <sle:slicer xmlns:sle="http://schemas.microsoft.com/office/drawing/2010/slicer" name="Tháng"/>
            </a:graphicData>
          </a:graphic>
        </xdr:graphicFrame>
      </mc:Choice>
      <mc:Fallback xmlns="">
        <xdr:sp macro="" textlink="">
          <xdr:nvSpPr>
            <xdr:cNvPr id="0" name=""/>
            <xdr:cNvSpPr>
              <a:spLocks noTextEdit="1"/>
            </xdr:cNvSpPr>
          </xdr:nvSpPr>
          <xdr:spPr>
            <a:xfrm>
              <a:off x="7050000" y="68771661"/>
              <a:ext cx="1201841" cy="13329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419953</xdr:colOff>
      <xdr:row>244</xdr:row>
      <xdr:rowOff>38668</xdr:rowOff>
    </xdr:from>
    <xdr:to>
      <xdr:col>10</xdr:col>
      <xdr:colOff>2964</xdr:colOff>
      <xdr:row>250</xdr:row>
      <xdr:rowOff>45358</xdr:rowOff>
    </xdr:to>
    <mc:AlternateContent xmlns:mc="http://schemas.openxmlformats.org/markup-compatibility/2006" xmlns:a14="http://schemas.microsoft.com/office/drawing/2010/main">
      <mc:Choice Requires="a14">
        <xdr:graphicFrame macro="">
          <xdr:nvGraphicFramePr>
            <xdr:cNvPr id="117" name="Loại HĐ">
              <a:extLst>
                <a:ext uri="{FF2B5EF4-FFF2-40B4-BE49-F238E27FC236}">
                  <a16:creationId xmlns:a16="http://schemas.microsoft.com/office/drawing/2014/main" id="{C1F9FDA2-59ED-FD20-1640-69359B9CFCA3}"/>
                </a:ext>
              </a:extLst>
            </xdr:cNvPr>
            <xdr:cNvGraphicFramePr/>
          </xdr:nvGraphicFramePr>
          <xdr:xfrm>
            <a:off x="0" y="0"/>
            <a:ext cx="0" cy="0"/>
          </xdr:xfrm>
          <a:graphic>
            <a:graphicData uri="http://schemas.microsoft.com/office/drawing/2010/slicer">
              <sle:slicer xmlns:sle="http://schemas.microsoft.com/office/drawing/2010/slicer" name="Loại HĐ"/>
            </a:graphicData>
          </a:graphic>
        </xdr:graphicFrame>
      </mc:Choice>
      <mc:Fallback xmlns="">
        <xdr:sp macro="" textlink="">
          <xdr:nvSpPr>
            <xdr:cNvPr id="0" name=""/>
            <xdr:cNvSpPr>
              <a:spLocks noTextEdit="1"/>
            </xdr:cNvSpPr>
          </xdr:nvSpPr>
          <xdr:spPr>
            <a:xfrm>
              <a:off x="8293953" y="68772882"/>
              <a:ext cx="1948758" cy="22382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46181</xdr:colOff>
      <xdr:row>253</xdr:row>
      <xdr:rowOff>0</xdr:rowOff>
    </xdr:from>
    <xdr:to>
      <xdr:col>9</xdr:col>
      <xdr:colOff>611909</xdr:colOff>
      <xdr:row>256</xdr:row>
      <xdr:rowOff>0</xdr:rowOff>
    </xdr:to>
    <xdr:sp macro="" textlink="">
      <xdr:nvSpPr>
        <xdr:cNvPr id="118" name="TextBox 117">
          <a:extLst>
            <a:ext uri="{FF2B5EF4-FFF2-40B4-BE49-F238E27FC236}">
              <a16:creationId xmlns:a16="http://schemas.microsoft.com/office/drawing/2014/main" id="{B7D1C4DA-5049-6F79-4A79-0596AA2D1D49}"/>
            </a:ext>
          </a:extLst>
        </xdr:cNvPr>
        <xdr:cNvSpPr txBox="1"/>
      </xdr:nvSpPr>
      <xdr:spPr>
        <a:xfrm>
          <a:off x="412240" y="73102423"/>
          <a:ext cx="9933845" cy="103569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latin typeface="Arial" panose="020B0604020202020204" pitchFamily="34" charset="0"/>
              <a:cs typeface="Arial" panose="020B0604020202020204" pitchFamily="34" charset="0"/>
            </a:rPr>
            <a:t>Công</a:t>
          </a:r>
          <a:r>
            <a:rPr lang="en-US" sz="1000" b="1" baseline="0">
              <a:latin typeface="Arial" panose="020B0604020202020204" pitchFamily="34" charset="0"/>
              <a:cs typeface="Arial" panose="020B0604020202020204" pitchFamily="34" charset="0"/>
            </a:rPr>
            <a:t> tác trọng tâm tháng 9: </a:t>
          </a:r>
        </a:p>
        <a:p>
          <a:r>
            <a:rPr lang="en-US" sz="1000" baseline="0">
              <a:latin typeface="Arial" panose="020B0604020202020204" pitchFamily="34" charset="0"/>
              <a:cs typeface="Arial" panose="020B0604020202020204" pitchFamily="34" charset="0"/>
            </a:rPr>
            <a:t>- Tổ chức Hội nghị người lao động năm học 2026 - 2027 &amp; Tổ chức truyền thông các chính sách cho toàn thể đội ngũ giáo viên nước ngoài</a:t>
          </a:r>
        </a:p>
        <a:p>
          <a:r>
            <a:rPr lang="en-US" sz="1000">
              <a:latin typeface="Arial" panose="020B0604020202020204" pitchFamily="34" charset="0"/>
              <a:cs typeface="Arial" panose="020B0604020202020204" pitchFamily="34" charset="0"/>
            </a:rPr>
            <a:t>- Tuyển</a:t>
          </a:r>
          <a:r>
            <a:rPr lang="en-US" sz="1000" baseline="0">
              <a:latin typeface="Arial" panose="020B0604020202020204" pitchFamily="34" charset="0"/>
              <a:cs typeface="Arial" panose="020B0604020202020204" pitchFamily="34" charset="0"/>
            </a:rPr>
            <a:t> dụng giáo viên mầm non, tự nhiên, ngoại ngữ </a:t>
          </a:r>
        </a:p>
        <a:p>
          <a:r>
            <a:rPr lang="en-US" sz="1000" b="0" i="0">
              <a:solidFill>
                <a:schemeClr val="dk1"/>
              </a:solidFill>
              <a:effectLst/>
              <a:latin typeface="Arial" panose="020B0604020202020204" pitchFamily="34" charset="0"/>
              <a:ea typeface="+mn-ea"/>
              <a:cs typeface="Arial" panose="020B0604020202020204" pitchFamily="34" charset="0"/>
            </a:rPr>
            <a:t>- Đối chiếu phép tồn 2026-2027: đã điều chỉnh số liệu phép tồn. </a:t>
          </a:r>
        </a:p>
        <a:p>
          <a:pPr rtl="0" fontAlgn="base"/>
          <a:r>
            <a:rPr lang="en-US" sz="1000" b="0" i="0">
              <a:solidFill>
                <a:schemeClr val="dk1"/>
              </a:solidFill>
              <a:effectLst/>
              <a:latin typeface="Arial" panose="020B0604020202020204" pitchFamily="34" charset="0"/>
              <a:ea typeface="+mn-ea"/>
              <a:cs typeface="Arial" panose="020B0604020202020204" pitchFamily="34" charset="0"/>
            </a:rPr>
            <a:t>- Hồ sơ báo cáo HĐ trường MNTB đã nộp</a:t>
          </a:r>
          <a:r>
            <a:rPr lang="en-US" sz="1000" b="0" i="0" baseline="0">
              <a:solidFill>
                <a:schemeClr val="dk1"/>
              </a:solidFill>
              <a:effectLst/>
              <a:latin typeface="Arial" panose="020B0604020202020204" pitchFamily="34" charset="0"/>
              <a:ea typeface="+mn-ea"/>
              <a:cs typeface="Arial" panose="020B0604020202020204" pitchFamily="34" charset="0"/>
            </a:rPr>
            <a:t> UBND phường</a:t>
          </a:r>
          <a:endParaRPr lang="en-US" sz="1000" b="0" i="0">
            <a:solidFill>
              <a:schemeClr val="dk1"/>
            </a:solidFill>
            <a:effectLst/>
            <a:latin typeface="Arial" panose="020B0604020202020204" pitchFamily="34" charset="0"/>
            <a:ea typeface="+mn-ea"/>
            <a:cs typeface="Arial" panose="020B0604020202020204" pitchFamily="34" charset="0"/>
          </a:endParaRPr>
        </a:p>
        <a:p>
          <a:pPr rtl="0" fontAlgn="base"/>
          <a:r>
            <a:rPr lang="en-US" sz="1000" b="0" i="0">
              <a:solidFill>
                <a:schemeClr val="dk1"/>
              </a:solidFill>
              <a:effectLst/>
              <a:latin typeface="Arial" panose="020B0604020202020204" pitchFamily="34" charset="0"/>
              <a:ea typeface="+mn-ea"/>
              <a:cs typeface="Arial" panose="020B0604020202020204" pitchFamily="34" charset="0"/>
            </a:rPr>
            <a:t>-</a:t>
          </a:r>
          <a:r>
            <a:rPr lang="en-US" sz="1000" b="0" i="0" baseline="0">
              <a:solidFill>
                <a:schemeClr val="dk1"/>
              </a:solidFill>
              <a:effectLst/>
              <a:latin typeface="Arial" panose="020B0604020202020204" pitchFamily="34" charset="0"/>
              <a:ea typeface="+mn-ea"/>
              <a:cs typeface="Arial" panose="020B0604020202020204" pitchFamily="34" charset="0"/>
            </a:rPr>
            <a:t> </a:t>
          </a:r>
          <a:r>
            <a:rPr lang="en-US" sz="1000" b="0" i="0">
              <a:solidFill>
                <a:schemeClr val="dk1"/>
              </a:solidFill>
              <a:effectLst/>
              <a:latin typeface="Arial" panose="020B0604020202020204" pitchFamily="34" charset="0"/>
              <a:ea typeface="+mn-ea"/>
              <a:cs typeface="Arial" panose="020B0604020202020204" pitchFamily="34" charset="0"/>
            </a:rPr>
            <a:t>Thực hiện các công tác chuẩn bị cho CLB ngoại khóa (tính</a:t>
          </a:r>
          <a:r>
            <a:rPr lang="en-US" sz="1000" b="0" i="0" baseline="0">
              <a:solidFill>
                <a:schemeClr val="dk1"/>
              </a:solidFill>
              <a:effectLst/>
              <a:latin typeface="Arial" panose="020B0604020202020204" pitchFamily="34" charset="0"/>
              <a:ea typeface="+mn-ea"/>
              <a:cs typeface="Arial" panose="020B0604020202020204" pitchFamily="34" charset="0"/>
            </a:rPr>
            <a:t> lương, tính tiết giáo viên)</a:t>
          </a:r>
          <a:r>
            <a:rPr lang="en-US" sz="1000" b="0" i="0">
              <a:solidFill>
                <a:schemeClr val="dk1"/>
              </a:solidFill>
              <a:effectLst/>
              <a:latin typeface="Arial" panose="020B0604020202020204" pitchFamily="34" charset="0"/>
              <a:ea typeface="+mn-ea"/>
              <a:cs typeface="Arial" panose="020B0604020202020204" pitchFamily="34" charset="0"/>
            </a:rPr>
            <a:t>. </a:t>
          </a:r>
        </a:p>
        <a:p>
          <a:endParaRPr lang="en-US" sz="1000">
            <a:latin typeface="Arial" panose="020B0604020202020204" pitchFamily="34" charset="0"/>
            <a:cs typeface="Arial" panose="020B0604020202020204" pitchFamily="34" charset="0"/>
          </a:endParaRPr>
        </a:p>
      </xdr:txBody>
    </xdr:sp>
    <xdr:clientData/>
  </xdr:twoCellAnchor>
  <xdr:twoCellAnchor>
    <xdr:from>
      <xdr:col>1</xdr:col>
      <xdr:colOff>22411</xdr:colOff>
      <xdr:row>179</xdr:row>
      <xdr:rowOff>276411</xdr:rowOff>
    </xdr:from>
    <xdr:to>
      <xdr:col>9</xdr:col>
      <xdr:colOff>662214</xdr:colOff>
      <xdr:row>183</xdr:row>
      <xdr:rowOff>160</xdr:rowOff>
    </xdr:to>
    <xdr:sp macro="" textlink="">
      <xdr:nvSpPr>
        <xdr:cNvPr id="119" name="TextBox 118">
          <a:extLst>
            <a:ext uri="{FF2B5EF4-FFF2-40B4-BE49-F238E27FC236}">
              <a16:creationId xmlns:a16="http://schemas.microsoft.com/office/drawing/2014/main" id="{9167F237-0CDF-1047-661A-D86DD895F94F}"/>
            </a:ext>
          </a:extLst>
        </xdr:cNvPr>
        <xdr:cNvSpPr txBox="1"/>
      </xdr:nvSpPr>
      <xdr:spPr>
        <a:xfrm>
          <a:off x="394340" y="45769625"/>
          <a:ext cx="10001517" cy="14019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1">
              <a:latin typeface="Arial" panose="020B0604020202020204" pitchFamily="34" charset="0"/>
              <a:cs typeface="Arial" panose="020B0604020202020204" pitchFamily="34" charset="0"/>
            </a:rPr>
            <a:t>Cấp</a:t>
          </a:r>
          <a:r>
            <a:rPr lang="en-US" sz="1000" b="1" baseline="0">
              <a:latin typeface="Arial" panose="020B0604020202020204" pitchFamily="34" charset="0"/>
              <a:cs typeface="Arial" panose="020B0604020202020204" pitchFamily="34" charset="0"/>
            </a:rPr>
            <a:t> mầm non: Không bị nghỉ phép </a:t>
          </a:r>
        </a:p>
        <a:p>
          <a:r>
            <a:rPr lang="en-US" sz="1000" b="1" baseline="0">
              <a:latin typeface="Arial" panose="020B0604020202020204" pitchFamily="34" charset="0"/>
              <a:cs typeface="Arial" panose="020B0604020202020204" pitchFamily="34" charset="0"/>
            </a:rPr>
            <a:t>Cấp </a:t>
          </a:r>
          <a:r>
            <a:rPr lang="vi-VN" sz="1000" b="1">
              <a:latin typeface="Arial" panose="020B0604020202020204" pitchFamily="34" charset="0"/>
              <a:cs typeface="Arial" panose="020B0604020202020204" pitchFamily="34" charset="0"/>
            </a:rPr>
            <a:t>tiểu học</a:t>
          </a:r>
          <a:r>
            <a:rPr lang="en-US" sz="1000" b="1">
              <a:latin typeface="Arial" panose="020B0604020202020204" pitchFamily="34" charset="0"/>
              <a:cs typeface="Arial" panose="020B0604020202020204" pitchFamily="34" charset="0"/>
            </a:rPr>
            <a:t>: </a:t>
          </a:r>
          <a:r>
            <a:rPr lang="en-US" sz="1000" b="0">
              <a:latin typeface="Arial" panose="020B0604020202020204" pitchFamily="34" charset="0"/>
              <a:cs typeface="Arial" panose="020B0604020202020204" pitchFamily="34" charset="0"/>
            </a:rPr>
            <a:t>T</a:t>
          </a:r>
          <a:r>
            <a:rPr lang="vi-VN" sz="1000" b="0">
              <a:latin typeface="Arial" panose="020B0604020202020204" pitchFamily="34" charset="0"/>
              <a:cs typeface="Arial" panose="020B0604020202020204" pitchFamily="34" charset="0"/>
            </a:rPr>
            <a:t>i</a:t>
          </a:r>
          <a:r>
            <a:rPr lang="vi-VN" sz="1000">
              <a:latin typeface="Arial" panose="020B0604020202020204" pitchFamily="34" charset="0"/>
              <a:cs typeface="Arial" panose="020B0604020202020204" pitchFamily="34" charset="0"/>
            </a:rPr>
            <a:t>ết vắng </a:t>
          </a:r>
          <a:r>
            <a:rPr lang="en-US" sz="1000">
              <a:latin typeface="Arial" panose="020B0604020202020204" pitchFamily="34" charset="0"/>
              <a:cs typeface="Arial" panose="020B0604020202020204" pitchFamily="34" charset="0"/>
            </a:rPr>
            <a:t>do 2 khối</a:t>
          </a:r>
          <a:r>
            <a:rPr lang="en-US" sz="1000" baseline="0">
              <a:latin typeface="Arial" panose="020B0604020202020204" pitchFamily="34" charset="0"/>
              <a:cs typeface="Arial" panose="020B0604020202020204" pitchFamily="34" charset="0"/>
            </a:rPr>
            <a:t> trưởng (cô Huyền và Yến) </a:t>
          </a:r>
          <a:r>
            <a:rPr lang="en-US" sz="1000">
              <a:latin typeface="Arial" panose="020B0604020202020204" pitchFamily="34" charset="0"/>
              <a:cs typeface="Arial" panose="020B0604020202020204" pitchFamily="34" charset="0"/>
            </a:rPr>
            <a:t>được</a:t>
          </a:r>
          <a:r>
            <a:rPr lang="en-US" sz="1000" baseline="0">
              <a:latin typeface="Arial" panose="020B0604020202020204" pitchFamily="34" charset="0"/>
              <a:cs typeface="Arial" panose="020B0604020202020204" pitchFamily="34" charset="0"/>
            </a:rPr>
            <a:t> cử đi tham gia</a:t>
          </a:r>
          <a:r>
            <a:rPr lang="vi-VN" sz="1000">
              <a:latin typeface="Arial" panose="020B0604020202020204" pitchFamily="34" charset="0"/>
              <a:cs typeface="Arial" panose="020B0604020202020204" pitchFamily="34" charset="0"/>
            </a:rPr>
            <a:t> tập huấn lồng ghép nội dung giáo dục quốc phòng và an ninh trong trường tiểu học, trường trung học cơ sở năm 202</a:t>
          </a:r>
          <a:r>
            <a:rPr lang="en-US" sz="1000">
              <a:latin typeface="Arial" panose="020B0604020202020204" pitchFamily="34" charset="0"/>
              <a:cs typeface="Arial" panose="020B0604020202020204" pitchFamily="34" charset="0"/>
            </a:rPr>
            <a:t>6 ngày</a:t>
          </a:r>
          <a:r>
            <a:rPr lang="en-US" sz="1000" baseline="0">
              <a:latin typeface="Arial" panose="020B0604020202020204" pitchFamily="34" charset="0"/>
              <a:cs typeface="Arial" panose="020B0604020202020204" pitchFamily="34" charset="0"/>
            </a:rPr>
            <a:t> 30/9/2026. Cô Như Vy và Mai Kiều Anh Thư giải quyết phép năm còn tồn, cô Ngọc Minh (GV tiếng Anh) nghỉ do bị sốt, Cô Uyên Thy (GV Tiếng Anh) chăm người nhà bị ốm, Cô Hạnh kết hôn. </a:t>
          </a:r>
        </a:p>
        <a:p>
          <a:r>
            <a:rPr lang="en-US" sz="1000" b="1" baseline="0">
              <a:latin typeface="Arial" panose="020B0604020202020204" pitchFamily="34" charset="0"/>
              <a:cs typeface="Arial" panose="020B0604020202020204" pitchFamily="34" charset="0"/>
            </a:rPr>
            <a:t>Cấp THCS: </a:t>
          </a:r>
          <a:r>
            <a:rPr lang="en-US" sz="1000" baseline="0">
              <a:latin typeface="Arial" panose="020B0604020202020204" pitchFamily="34" charset="0"/>
              <a:cs typeface="Arial" panose="020B0604020202020204" pitchFamily="34" charset="0"/>
            </a:rPr>
            <a:t>Các tiết vắng/ nghỉ chủ yếu tập trung vào tổ ngoại ngữ do (1) Đi dự tập huấn Cambridge Orientation Day tại TP. HCM ngày 9/9, (2) Cô Duyên (GV TA) bị sốt xuất huyết điều trị 3 ngày (3) Các trường hợp khác đa phần bị ốm, sốt. </a:t>
          </a:r>
        </a:p>
        <a:p>
          <a:r>
            <a:rPr lang="en-US" sz="1000" b="1" baseline="0">
              <a:latin typeface="Arial" panose="020B0604020202020204" pitchFamily="34" charset="0"/>
              <a:cs typeface="Arial" panose="020B0604020202020204" pitchFamily="34" charset="0"/>
            </a:rPr>
            <a:t>Cấp THPT: </a:t>
          </a:r>
          <a:r>
            <a:rPr lang="en-US" sz="1000" baseline="0">
              <a:latin typeface="Arial" panose="020B0604020202020204" pitchFamily="34" charset="0"/>
              <a:cs typeface="Arial" panose="020B0604020202020204" pitchFamily="34" charset="0"/>
            </a:rPr>
            <a:t>Giáo viên tổ Toán và KHTN thầy Giang, cô Sen dẫn HS đi dự lễ Khánh thành STEM Hub tại Đại học Lạc Hồng (2) Giáo viên tiếng Anh nghỉ ốm (ho sốt, trào ngược ...</a:t>
          </a:r>
        </a:p>
      </xdr:txBody>
    </xdr:sp>
    <xdr:clientData/>
  </xdr:twoCellAnchor>
  <xdr:twoCellAnchor>
    <xdr:from>
      <xdr:col>1</xdr:col>
      <xdr:colOff>898072</xdr:colOff>
      <xdr:row>259</xdr:row>
      <xdr:rowOff>1</xdr:rowOff>
    </xdr:from>
    <xdr:to>
      <xdr:col>4</xdr:col>
      <xdr:colOff>580572</xdr:colOff>
      <xdr:row>261</xdr:row>
      <xdr:rowOff>299357</xdr:rowOff>
    </xdr:to>
    <xdr:sp macro="" textlink="">
      <xdr:nvSpPr>
        <xdr:cNvPr id="120" name="TextBox 119">
          <a:extLst>
            <a:ext uri="{FF2B5EF4-FFF2-40B4-BE49-F238E27FC236}">
              <a16:creationId xmlns:a16="http://schemas.microsoft.com/office/drawing/2014/main" id="{8CF8C01D-2C7B-386A-C260-8BB4C75B20F9}"/>
            </a:ext>
          </a:extLst>
        </xdr:cNvPr>
        <xdr:cNvSpPr txBox="1"/>
      </xdr:nvSpPr>
      <xdr:spPr>
        <a:xfrm>
          <a:off x="1270001" y="73859572"/>
          <a:ext cx="4644571" cy="78014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vi-VN" sz="1000">
              <a:latin typeface="+mn-lt"/>
            </a:rPr>
            <a:t>Hệ thống lưới an toàn cầu thang cho mầm non Long Khánh </a:t>
          </a:r>
          <a:endParaRPr lang="en-US" sz="1000">
            <a:latin typeface="+mn-lt"/>
          </a:endParaRPr>
        </a:p>
        <a:p>
          <a:pPr marL="0" marR="0" lvl="0" indent="0" defTabSz="914400" eaLnBrk="1" fontAlgn="auto" latinLnBrk="0" hangingPunct="1">
            <a:lnSpc>
              <a:spcPct val="100000"/>
            </a:lnSpc>
            <a:spcBef>
              <a:spcPts val="0"/>
            </a:spcBef>
            <a:spcAft>
              <a:spcPts val="0"/>
            </a:spcAft>
            <a:buClrTx/>
            <a:buSzTx/>
            <a:buFontTx/>
            <a:buNone/>
            <a:tabLst/>
            <a:defRPr/>
          </a:pPr>
          <a:r>
            <a:rPr lang="vi-VN" sz="1000">
              <a:latin typeface="+mn-lt"/>
            </a:rPr>
            <a:t>Cải tạo phòng T</a:t>
          </a:r>
          <a:r>
            <a:rPr lang="vi-VN" sz="1000">
              <a:solidFill>
                <a:schemeClr val="dk1"/>
              </a:solidFill>
              <a:effectLst/>
              <a:latin typeface="+mn-lt"/>
              <a:ea typeface="+mn-ea"/>
              <a:cs typeface="+mn-cs"/>
            </a:rPr>
            <a:t>ham vấn học đường theo yêu cầu của BGH</a:t>
          </a:r>
          <a:r>
            <a:rPr lang="vi-VN" sz="1000">
              <a:solidFill>
                <a:schemeClr val="dk1"/>
              </a:solidFill>
              <a:effectLst/>
              <a:latin typeface="Arial" panose="020B0604020202020204" pitchFamily="34" charset="0"/>
              <a:ea typeface="+mn-ea"/>
              <a:cs typeface="Arial" panose="020B0604020202020204" pitchFamily="34" charset="0"/>
            </a:rPr>
            <a:t> </a:t>
          </a:r>
          <a:r>
            <a:rPr lang="en-US" sz="1000">
              <a:solidFill>
                <a:schemeClr val="dk1"/>
              </a:solidFill>
              <a:effectLst/>
              <a:latin typeface="Arial" panose="020B0604020202020204" pitchFamily="34" charset="0"/>
              <a:ea typeface="+mn-ea"/>
              <a:cs typeface="Arial" panose="020B0604020202020204" pitchFamily="34" charset="0"/>
            </a:rPr>
            <a:t>(Tấn</a:t>
          </a:r>
          <a:r>
            <a:rPr lang="en-US" sz="1000" baseline="0">
              <a:solidFill>
                <a:schemeClr val="dk1"/>
              </a:solidFill>
              <a:effectLst/>
              <a:latin typeface="Arial" panose="020B0604020202020204" pitchFamily="34" charset="0"/>
              <a:ea typeface="+mn-ea"/>
              <a:cs typeface="Arial" panose="020B0604020202020204" pitchFamily="34" charset="0"/>
            </a:rPr>
            <a:t> Minh Thành)</a:t>
          </a:r>
          <a:endParaRPr lang="en-US" sz="1000">
            <a:effectLst/>
            <a:latin typeface="Arial" panose="020B0604020202020204" pitchFamily="34" charset="0"/>
            <a:cs typeface="Arial" panose="020B0604020202020204" pitchFamily="34" charset="0"/>
          </a:endParaRPr>
        </a:p>
        <a:p>
          <a:r>
            <a:rPr lang="vi-VN" sz="1000">
              <a:latin typeface="+mn-lt"/>
            </a:rPr>
            <a:t>Hoàn thiện </a:t>
          </a:r>
          <a:r>
            <a:rPr lang="en-US" sz="1000">
              <a:latin typeface="+mn-lt"/>
            </a:rPr>
            <a:t>nghiệm</a:t>
          </a:r>
          <a:r>
            <a:rPr lang="en-US" sz="1000" baseline="0">
              <a:latin typeface="+mn-lt"/>
            </a:rPr>
            <a:t> thu lắp đặt </a:t>
          </a:r>
          <a:r>
            <a:rPr lang="vi-VN" sz="1000">
              <a:latin typeface="+mn-lt"/>
            </a:rPr>
            <a:t>hệ thống loa lớp </a:t>
          </a:r>
          <a:r>
            <a:rPr lang="vi-VN" sz="1000">
              <a:latin typeface="Arial" panose="020B0604020202020204" pitchFamily="34" charset="0"/>
              <a:cs typeface="Arial" panose="020B0604020202020204" pitchFamily="34" charset="0"/>
            </a:rPr>
            <a:t>học</a:t>
          </a:r>
          <a:r>
            <a:rPr lang="en-US" sz="1000" baseline="0">
              <a:latin typeface="Arial" panose="020B0604020202020204" pitchFamily="34" charset="0"/>
              <a:cs typeface="Arial" panose="020B0604020202020204" pitchFamily="34" charset="0"/>
            </a:rPr>
            <a:t> (Rồng Phương Bắc) </a:t>
          </a:r>
        </a:p>
        <a:p>
          <a:r>
            <a:rPr lang="en-US" sz="1000" baseline="0">
              <a:latin typeface="Arial" panose="020B0604020202020204" pitchFamily="34" charset="0"/>
              <a:cs typeface="Arial" panose="020B0604020202020204" pitchFamily="34" charset="0"/>
            </a:rPr>
            <a:t>Nghiệm thu hòa lưới chính thức điện mặt trời (có xác nhận của EVN)</a:t>
          </a:r>
          <a:endParaRPr lang="en-US" sz="1000">
            <a:latin typeface="Arial" panose="020B0604020202020204" pitchFamily="34" charset="0"/>
            <a:cs typeface="Arial" panose="020B0604020202020204" pitchFamily="34" charset="0"/>
          </a:endParaRPr>
        </a:p>
      </xdr:txBody>
    </xdr:sp>
    <xdr:clientData/>
  </xdr:twoCellAnchor>
  <xdr:twoCellAnchor>
    <xdr:from>
      <xdr:col>0</xdr:col>
      <xdr:colOff>299357</xdr:colOff>
      <xdr:row>262</xdr:row>
      <xdr:rowOff>272143</xdr:rowOff>
    </xdr:from>
    <xdr:to>
      <xdr:col>3</xdr:col>
      <xdr:colOff>571500</xdr:colOff>
      <xdr:row>272</xdr:row>
      <xdr:rowOff>190501</xdr:rowOff>
    </xdr:to>
    <mc:AlternateContent xmlns:mc="http://schemas.openxmlformats.org/markup-compatibility/2006">
      <mc:Choice xmlns:cx2="http://schemas.microsoft.com/office/drawing/2015/10/21/chartex" Requires="cx2">
        <xdr:graphicFrame macro="">
          <xdr:nvGraphicFramePr>
            <xdr:cNvPr id="128" name="Chart 127">
              <a:extLst>
                <a:ext uri="{FF2B5EF4-FFF2-40B4-BE49-F238E27FC236}">
                  <a16:creationId xmlns:a16="http://schemas.microsoft.com/office/drawing/2014/main" id="{055D7834-059C-4703-BE26-7AF1064F5F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185057" y="74700493"/>
              <a:ext cx="3351893" cy="254090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635000</xdr:colOff>
      <xdr:row>263</xdr:row>
      <xdr:rowOff>2</xdr:rowOff>
    </xdr:from>
    <xdr:to>
      <xdr:col>9</xdr:col>
      <xdr:colOff>535214</xdr:colOff>
      <xdr:row>272</xdr:row>
      <xdr:rowOff>226786</xdr:rowOff>
    </xdr:to>
    <mc:AlternateContent xmlns:mc="http://schemas.openxmlformats.org/markup-compatibility/2006">
      <mc:Choice xmlns:cx1="http://schemas.microsoft.com/office/drawing/2015/9/8/chartex" Requires="cx1">
        <xdr:graphicFrame macro="">
          <xdr:nvGraphicFramePr>
            <xdr:cNvPr id="129" name="Chart 128">
              <a:extLst>
                <a:ext uri="{FF2B5EF4-FFF2-40B4-BE49-F238E27FC236}">
                  <a16:creationId xmlns:a16="http://schemas.microsoft.com/office/drawing/2014/main" id="{CA23D238-AF9D-4597-A748-F225890B457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3600450" y="74707752"/>
              <a:ext cx="5710464" cy="2569934"/>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xdr:colOff>
      <xdr:row>287</xdr:row>
      <xdr:rowOff>0</xdr:rowOff>
    </xdr:from>
    <xdr:to>
      <xdr:col>4</xdr:col>
      <xdr:colOff>163285</xdr:colOff>
      <xdr:row>299</xdr:row>
      <xdr:rowOff>130628</xdr:rowOff>
    </xdr:to>
    <xdr:graphicFrame macro="">
      <xdr:nvGraphicFramePr>
        <xdr:cNvPr id="133" name="Chart 132">
          <a:extLst>
            <a:ext uri="{FF2B5EF4-FFF2-40B4-BE49-F238E27FC236}">
              <a16:creationId xmlns:a16="http://schemas.microsoft.com/office/drawing/2014/main" id="{0C7D368D-71A1-4A8A-8CB6-91B4BCA9D5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4</xdr:col>
      <xdr:colOff>208642</xdr:colOff>
      <xdr:row>287</xdr:row>
      <xdr:rowOff>0</xdr:rowOff>
    </xdr:from>
    <xdr:to>
      <xdr:col>9</xdr:col>
      <xdr:colOff>644071</xdr:colOff>
      <xdr:row>308</xdr:row>
      <xdr:rowOff>480786</xdr:rowOff>
    </xdr:to>
    <xdr:sp macro="" textlink="">
      <xdr:nvSpPr>
        <xdr:cNvPr id="134" name="TextBox 133">
          <a:extLst>
            <a:ext uri="{FF2B5EF4-FFF2-40B4-BE49-F238E27FC236}">
              <a16:creationId xmlns:a16="http://schemas.microsoft.com/office/drawing/2014/main" id="{B8C81B41-DCB2-EF0F-3A7E-5EC9FD6243CB}"/>
            </a:ext>
          </a:extLst>
        </xdr:cNvPr>
        <xdr:cNvSpPr txBox="1"/>
      </xdr:nvSpPr>
      <xdr:spPr>
        <a:xfrm>
          <a:off x="5542642" y="81098571"/>
          <a:ext cx="4835072" cy="73932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spcAft>
              <a:spcPts val="600"/>
            </a:spcAft>
          </a:pPr>
          <a:r>
            <a:rPr lang="en-US" sz="1000">
              <a:latin typeface="Arial" panose="020B0604020202020204" pitchFamily="34" charset="0"/>
              <a:cs typeface="Arial" panose="020B0604020202020204" pitchFamily="34" charset="0"/>
            </a:rPr>
            <a:t>Số</a:t>
          </a:r>
          <a:r>
            <a:rPr lang="en-US" sz="1000" baseline="0">
              <a:latin typeface="Arial" panose="020B0604020202020204" pitchFamily="34" charset="0"/>
              <a:cs typeface="Arial" panose="020B0604020202020204" pitchFamily="34" charset="0"/>
            </a:rPr>
            <a:t> Lead thu về giảm trong tháng chủ yếu do việc giảm số bài đăng và ngân sách chạy quảng cáo (từ 66 triệu tháng 8 về 23 triệu tháng 9). </a:t>
          </a:r>
          <a:r>
            <a:rPr lang="en-US" sz="1000" b="1" baseline="0">
              <a:solidFill>
                <a:schemeClr val="accent1"/>
              </a:solidFill>
              <a:latin typeface="Arial" panose="020B0604020202020204" pitchFamily="34" charset="0"/>
              <a:cs typeface="Arial" panose="020B0604020202020204" pitchFamily="34" charset="0"/>
            </a:rPr>
            <a:t>Cần có phương án tiếp cận phụ huynh hiệu quả hơn giảm việc phụ thuộc đơn thuần vào việc chạy ad FB như hiện tại. </a:t>
          </a:r>
        </a:p>
        <a:p>
          <a:pPr>
            <a:spcBef>
              <a:spcPts val="600"/>
            </a:spcBef>
            <a:spcAft>
              <a:spcPts val="600"/>
            </a:spcAft>
          </a:pPr>
          <a:r>
            <a:rPr lang="en-US" sz="1000" baseline="0">
              <a:latin typeface="Arial" panose="020B0604020202020204" pitchFamily="34" charset="0"/>
              <a:cs typeface="Arial" panose="020B0604020202020204" pitchFamily="34" charset="0"/>
            </a:rPr>
            <a:t>Tháng 9, Mầm non Long Khánh đã chủ động triển khai việc tiếp cận PH tại khu vui chơi giáo trí Jilion và Happy World để tư vấn, chăm sóc nguồn khách hàng mới thông qua hoạt động làm lồng đèn, thiết kế túi Canva, trang trí mặt nạ trung thu. Bước đầu có đánh giá hiệu quả thu về 43 leads tư vấn và 10 khách hàng tiềm năng. </a:t>
          </a:r>
        </a:p>
        <a:p>
          <a:pPr>
            <a:spcBef>
              <a:spcPts val="600"/>
            </a:spcBef>
            <a:spcAft>
              <a:spcPts val="600"/>
            </a:spcAft>
          </a:pPr>
          <a:r>
            <a:rPr lang="en-US" sz="1000" baseline="0">
              <a:latin typeface="Arial" panose="020B0604020202020204" pitchFamily="34" charset="0"/>
              <a:cs typeface="Arial" panose="020B0604020202020204" pitchFamily="34" charset="0"/>
            </a:rPr>
            <a:t>Website đã được đầu tư với kinh phí khá lớn, BP. TVTS và </a:t>
          </a:r>
          <a:r>
            <a:rPr lang="en-US" sz="1000" b="1" baseline="0">
              <a:solidFill>
                <a:schemeClr val="accent1"/>
              </a:solidFill>
              <a:latin typeface="Arial" panose="020B0604020202020204" pitchFamily="34" charset="0"/>
              <a:cs typeface="Arial" panose="020B0604020202020204" pitchFamily="34" charset="0"/>
            </a:rPr>
            <a:t>Marketing cần có phương án khai thác website để tạo thêm nguồn lead chăm sóc từ website, Zalo, Tiktok.  </a:t>
          </a:r>
        </a:p>
        <a:p>
          <a:pPr>
            <a:spcBef>
              <a:spcPts val="600"/>
            </a:spcBef>
            <a:spcAft>
              <a:spcPts val="600"/>
            </a:spcAft>
          </a:pPr>
          <a:r>
            <a:rPr lang="en-US" sz="1000" baseline="0">
              <a:solidFill>
                <a:schemeClr val="dk1"/>
              </a:solidFill>
              <a:effectLst/>
              <a:latin typeface="Arial" panose="020B0604020202020204" pitchFamily="34" charset="0"/>
              <a:ea typeface="+mn-ea"/>
              <a:cs typeface="Arial" panose="020B0604020202020204" pitchFamily="34" charset="0"/>
            </a:rPr>
            <a:t>Tháng 10, MN Trấn Biên đã thử nghiệm việc đăng quảng cáo tại các màn hình led thang máy các chung cư Topaz Twin, Vietcombank, A6 - A7 và Big C Tân Hiệp. </a:t>
          </a:r>
          <a:endParaRPr lang="en-US" sz="1000">
            <a:effectLst/>
            <a:latin typeface="Arial" panose="020B0604020202020204" pitchFamily="34" charset="0"/>
            <a:cs typeface="Arial" panose="020B0604020202020204" pitchFamily="34" charset="0"/>
          </a:endParaRPr>
        </a:p>
        <a:p>
          <a:pPr>
            <a:spcBef>
              <a:spcPts val="600"/>
            </a:spcBef>
            <a:spcAft>
              <a:spcPts val="600"/>
            </a:spcAft>
          </a:pPr>
          <a:r>
            <a:rPr lang="en-US" sz="1000" baseline="0">
              <a:solidFill>
                <a:schemeClr val="dk1"/>
              </a:solidFill>
              <a:effectLst/>
              <a:latin typeface="Arial" panose="020B0604020202020204" pitchFamily="34" charset="0"/>
              <a:ea typeface="+mn-ea"/>
              <a:cs typeface="Arial" panose="020B0604020202020204" pitchFamily="34" charset="0"/>
            </a:rPr>
            <a:t>Đối với mầm non Long Khánh sẽ thử nghiệm treo banner các trục đường chính.</a:t>
          </a:r>
        </a:p>
        <a:p>
          <a:pPr>
            <a:spcBef>
              <a:spcPts val="600"/>
            </a:spcBef>
            <a:spcAft>
              <a:spcPts val="600"/>
            </a:spcAft>
          </a:pPr>
          <a:r>
            <a:rPr lang="en-US" sz="1000" baseline="0">
              <a:solidFill>
                <a:schemeClr val="dk1"/>
              </a:solidFill>
              <a:effectLst/>
              <a:latin typeface="Arial" panose="020B0604020202020204" pitchFamily="34" charset="0"/>
              <a:ea typeface="+mn-ea"/>
              <a:cs typeface="Arial" panose="020B0604020202020204" pitchFamily="34" charset="0"/>
            </a:rPr>
            <a:t>Bình quân tỷ lệ chuyển đổi có cải thiện ở cả 2 mầm non Biên Hòa khá ổn định khoảng 10%, Mầm non Long Khánh cải thiện tăng lên 16,39% trong tháng 9. </a:t>
          </a:r>
        </a:p>
        <a:p>
          <a:r>
            <a:rPr lang="en-US" sz="1000" b="1" baseline="0">
              <a:solidFill>
                <a:schemeClr val="dk1"/>
              </a:solidFill>
              <a:effectLst/>
              <a:latin typeface="Arial" panose="020B0604020202020204" pitchFamily="34" charset="0"/>
              <a:ea typeface="+mn-ea"/>
              <a:cs typeface="Arial" panose="020B0604020202020204" pitchFamily="34" charset="0"/>
            </a:rPr>
            <a:t>Chi phí tuyển sinh bình quân/ lead: </a:t>
          </a:r>
          <a:r>
            <a:rPr lang="en-US" sz="1000" b="1" i="0" u="none" strike="noStrike">
              <a:solidFill>
                <a:schemeClr val="dk1"/>
              </a:solidFill>
              <a:effectLst/>
              <a:latin typeface="Arial" panose="020B0604020202020204" pitchFamily="34" charset="0"/>
              <a:ea typeface="+mn-ea"/>
              <a:cs typeface="Arial" panose="020B0604020202020204" pitchFamily="34" charset="0"/>
            </a:rPr>
            <a:t>                                  </a:t>
          </a:r>
        </a:p>
        <a:p>
          <a:r>
            <a:rPr lang="en-US" sz="1000" b="0" i="0" u="none" strike="noStrike">
              <a:solidFill>
                <a:schemeClr val="dk1"/>
              </a:solidFill>
              <a:effectLst/>
              <a:latin typeface="Arial" panose="020B0604020202020204" pitchFamily="34" charset="0"/>
              <a:ea typeface="+mn-ea"/>
              <a:cs typeface="Arial" panose="020B0604020202020204" pitchFamily="34" charset="0"/>
            </a:rPr>
            <a:t>Trường</a:t>
          </a:r>
          <a:r>
            <a:rPr lang="en-US" sz="1000" b="0" i="0" u="none" strike="noStrike" baseline="0">
              <a:solidFill>
                <a:schemeClr val="dk1"/>
              </a:solidFill>
              <a:effectLst/>
              <a:latin typeface="Arial" panose="020B0604020202020204" pitchFamily="34" charset="0"/>
              <a:ea typeface="+mn-ea"/>
              <a:cs typeface="Arial" panose="020B0604020202020204" pitchFamily="34" charset="0"/>
            </a:rPr>
            <a:t> liên cấp</a:t>
          </a:r>
          <a:r>
            <a:rPr lang="en-US" sz="1000" b="0" i="0" u="none" strike="noStrike">
              <a:solidFill>
                <a:schemeClr val="dk1"/>
              </a:solidFill>
              <a:effectLst/>
              <a:latin typeface="Arial" panose="020B0604020202020204" pitchFamily="34" charset="0"/>
              <a:ea typeface="+mn-ea"/>
              <a:cs typeface="Arial" panose="020B0604020202020204" pitchFamily="34" charset="0"/>
            </a:rPr>
            <a:t> 	170.000 </a:t>
          </a:r>
          <a:endParaRPr lang="en-US" sz="1000">
            <a:effectLst/>
            <a:latin typeface="Arial" panose="020B0604020202020204" pitchFamily="34" charset="0"/>
            <a:cs typeface="Arial" panose="020B0604020202020204" pitchFamily="34" charset="0"/>
          </a:endParaRPr>
        </a:p>
        <a:p>
          <a:r>
            <a:rPr lang="en-US" sz="1000" b="0" i="0" u="none" strike="noStrike">
              <a:solidFill>
                <a:schemeClr val="dk1"/>
              </a:solidFill>
              <a:effectLst/>
              <a:latin typeface="Arial" panose="020B0604020202020204" pitchFamily="34" charset="0"/>
              <a:ea typeface="+mn-ea"/>
              <a:cs typeface="Arial" panose="020B0604020202020204" pitchFamily="34" charset="0"/>
            </a:rPr>
            <a:t>Mầm</a:t>
          </a:r>
          <a:r>
            <a:rPr lang="en-US" sz="1000" b="0" i="0" u="none" strike="noStrike" baseline="0">
              <a:solidFill>
                <a:schemeClr val="dk1"/>
              </a:solidFill>
              <a:effectLst/>
              <a:latin typeface="Arial" panose="020B0604020202020204" pitchFamily="34" charset="0"/>
              <a:ea typeface="+mn-ea"/>
              <a:cs typeface="Arial" panose="020B0604020202020204" pitchFamily="34" charset="0"/>
            </a:rPr>
            <a:t> non Trấn Biên</a:t>
          </a:r>
          <a:r>
            <a:rPr lang="en-US" sz="1000" b="0" i="0" u="none" strike="noStrike">
              <a:solidFill>
                <a:schemeClr val="dk1"/>
              </a:solidFill>
              <a:effectLst/>
              <a:latin typeface="Arial" panose="020B0604020202020204" pitchFamily="34" charset="0"/>
              <a:ea typeface="+mn-ea"/>
              <a:cs typeface="Arial" panose="020B0604020202020204" pitchFamily="34" charset="0"/>
            </a:rPr>
            <a:t>             	1.500.000</a:t>
          </a:r>
          <a:endParaRPr lang="en-US" sz="1000">
            <a:effectLst/>
            <a:latin typeface="Arial" panose="020B0604020202020204" pitchFamily="34" charset="0"/>
            <a:cs typeface="Arial" panose="020B0604020202020204" pitchFamily="34" charset="0"/>
          </a:endParaRPr>
        </a:p>
        <a:p>
          <a:r>
            <a:rPr lang="en-US" sz="1000" b="0" i="0" u="none" strike="noStrike">
              <a:solidFill>
                <a:schemeClr val="dk1"/>
              </a:solidFill>
              <a:effectLst/>
              <a:latin typeface="Arial" panose="020B0604020202020204" pitchFamily="34" charset="0"/>
              <a:ea typeface="+mn-ea"/>
              <a:cs typeface="Arial" panose="020B0604020202020204" pitchFamily="34" charset="0"/>
            </a:rPr>
            <a:t>Mầm</a:t>
          </a:r>
          <a:r>
            <a:rPr lang="en-US" sz="1000" b="0" i="0" u="none" strike="noStrike" baseline="0">
              <a:solidFill>
                <a:schemeClr val="dk1"/>
              </a:solidFill>
              <a:effectLst/>
              <a:latin typeface="Arial" panose="020B0604020202020204" pitchFamily="34" charset="0"/>
              <a:ea typeface="+mn-ea"/>
              <a:cs typeface="Arial" panose="020B0604020202020204" pitchFamily="34" charset="0"/>
            </a:rPr>
            <a:t> non Long Khánh</a:t>
          </a:r>
          <a:r>
            <a:rPr lang="en-US" sz="1000" b="0" i="0" u="none" strike="noStrike">
              <a:solidFill>
                <a:schemeClr val="dk1"/>
              </a:solidFill>
              <a:effectLst/>
              <a:latin typeface="Arial" panose="020B0604020202020204" pitchFamily="34" charset="0"/>
              <a:ea typeface="+mn-ea"/>
              <a:cs typeface="Arial" panose="020B0604020202020204" pitchFamily="34" charset="0"/>
            </a:rPr>
            <a:t>             	1.300.000</a:t>
          </a:r>
          <a:endParaRPr lang="en-US" sz="1000">
            <a:effectLst/>
            <a:latin typeface="Arial" panose="020B0604020202020204" pitchFamily="34" charset="0"/>
            <a:cs typeface="Arial" panose="020B0604020202020204" pitchFamily="34" charset="0"/>
          </a:endParaRPr>
        </a:p>
        <a:p>
          <a:r>
            <a:rPr lang="en-US" sz="1000" b="1" baseline="0">
              <a:solidFill>
                <a:schemeClr val="dk1"/>
              </a:solidFill>
              <a:effectLst/>
              <a:latin typeface="Arial" panose="020B0604020202020204" pitchFamily="34" charset="0"/>
              <a:ea typeface="+mn-ea"/>
              <a:cs typeface="Arial" panose="020B0604020202020204" pitchFamily="34" charset="0"/>
            </a:rPr>
            <a:t>Chi phí tuyển sinh bình quân/ lead</a:t>
          </a:r>
          <a:endParaRPr lang="en-US" sz="1000">
            <a:effectLst/>
            <a:latin typeface="Arial" panose="020B0604020202020204" pitchFamily="34" charset="0"/>
            <a:cs typeface="Arial" panose="020B0604020202020204" pitchFamily="34" charset="0"/>
          </a:endParaRPr>
        </a:p>
        <a:p>
          <a:r>
            <a:rPr lang="en-US" sz="1000" b="0" i="0">
              <a:solidFill>
                <a:schemeClr val="dk1"/>
              </a:solidFill>
              <a:effectLst/>
              <a:latin typeface="Arial" panose="020B0604020202020204" pitchFamily="34" charset="0"/>
              <a:ea typeface="+mn-ea"/>
              <a:cs typeface="Arial" panose="020B0604020202020204" pitchFamily="34" charset="0"/>
            </a:rPr>
            <a:t>Trường</a:t>
          </a:r>
          <a:r>
            <a:rPr lang="en-US" sz="1000" b="0" i="0" baseline="0">
              <a:solidFill>
                <a:schemeClr val="dk1"/>
              </a:solidFill>
              <a:effectLst/>
              <a:latin typeface="Arial" panose="020B0604020202020204" pitchFamily="34" charset="0"/>
              <a:ea typeface="+mn-ea"/>
              <a:cs typeface="Arial" panose="020B0604020202020204" pitchFamily="34" charset="0"/>
            </a:rPr>
            <a:t> liên cấp</a:t>
          </a:r>
          <a:r>
            <a:rPr lang="en-US" sz="1000" b="0" i="0">
              <a:solidFill>
                <a:schemeClr val="dk1"/>
              </a:solidFill>
              <a:effectLst/>
              <a:latin typeface="Arial" panose="020B0604020202020204" pitchFamily="34" charset="0"/>
              <a:ea typeface="+mn-ea"/>
              <a:cs typeface="Arial" panose="020B0604020202020204" pitchFamily="34" charset="0"/>
            </a:rPr>
            <a:t> 	40.000 </a:t>
          </a:r>
          <a:endParaRPr lang="en-US" sz="1000">
            <a:effectLst/>
            <a:latin typeface="Arial" panose="020B0604020202020204" pitchFamily="34" charset="0"/>
            <a:cs typeface="Arial" panose="020B0604020202020204" pitchFamily="34" charset="0"/>
          </a:endParaRPr>
        </a:p>
        <a:p>
          <a:r>
            <a:rPr lang="en-US" sz="1000" b="0" i="0">
              <a:solidFill>
                <a:schemeClr val="dk1"/>
              </a:solidFill>
              <a:effectLst/>
              <a:latin typeface="Arial" panose="020B0604020202020204" pitchFamily="34" charset="0"/>
              <a:ea typeface="+mn-ea"/>
              <a:cs typeface="Arial" panose="020B0604020202020204" pitchFamily="34" charset="0"/>
            </a:rPr>
            <a:t>Mầm</a:t>
          </a:r>
          <a:r>
            <a:rPr lang="en-US" sz="1000" b="0" i="0" baseline="0">
              <a:solidFill>
                <a:schemeClr val="dk1"/>
              </a:solidFill>
              <a:effectLst/>
              <a:latin typeface="Arial" panose="020B0604020202020204" pitchFamily="34" charset="0"/>
              <a:ea typeface="+mn-ea"/>
              <a:cs typeface="Arial" panose="020B0604020202020204" pitchFamily="34" charset="0"/>
            </a:rPr>
            <a:t> non Trấn Biên</a:t>
          </a:r>
          <a:r>
            <a:rPr lang="en-US" sz="1000" b="0" i="0">
              <a:solidFill>
                <a:schemeClr val="dk1"/>
              </a:solidFill>
              <a:effectLst/>
              <a:latin typeface="Arial" panose="020B0604020202020204" pitchFamily="34" charset="0"/>
              <a:ea typeface="+mn-ea"/>
              <a:cs typeface="Arial" panose="020B0604020202020204" pitchFamily="34" charset="0"/>
            </a:rPr>
            <a:t>             	150.000</a:t>
          </a:r>
          <a:endParaRPr lang="en-US" sz="1000">
            <a:effectLst/>
            <a:latin typeface="Arial" panose="020B0604020202020204" pitchFamily="34" charset="0"/>
            <a:cs typeface="Arial" panose="020B0604020202020204" pitchFamily="34" charset="0"/>
          </a:endParaRPr>
        </a:p>
        <a:p>
          <a:r>
            <a:rPr lang="en-US" sz="1000" b="0" i="0">
              <a:solidFill>
                <a:schemeClr val="dk1"/>
              </a:solidFill>
              <a:effectLst/>
              <a:latin typeface="Arial" panose="020B0604020202020204" pitchFamily="34" charset="0"/>
              <a:ea typeface="+mn-ea"/>
              <a:cs typeface="Arial" panose="020B0604020202020204" pitchFamily="34" charset="0"/>
            </a:rPr>
            <a:t>Mầm</a:t>
          </a:r>
          <a:r>
            <a:rPr lang="en-US" sz="1000" b="0" i="0" baseline="0">
              <a:solidFill>
                <a:schemeClr val="dk1"/>
              </a:solidFill>
              <a:effectLst/>
              <a:latin typeface="Arial" panose="020B0604020202020204" pitchFamily="34" charset="0"/>
              <a:ea typeface="+mn-ea"/>
              <a:cs typeface="Arial" panose="020B0604020202020204" pitchFamily="34" charset="0"/>
            </a:rPr>
            <a:t> non Long Khánh</a:t>
          </a:r>
          <a:r>
            <a:rPr lang="en-US" sz="1000" b="0" i="0">
              <a:solidFill>
                <a:schemeClr val="dk1"/>
              </a:solidFill>
              <a:effectLst/>
              <a:latin typeface="Arial" panose="020B0604020202020204" pitchFamily="34" charset="0"/>
              <a:ea typeface="+mn-ea"/>
              <a:cs typeface="Arial" panose="020B0604020202020204" pitchFamily="34" charset="0"/>
            </a:rPr>
            <a:t>             	210.000</a:t>
          </a:r>
          <a:endParaRPr lang="en-US" sz="1000">
            <a:effectLst/>
            <a:latin typeface="Arial" panose="020B0604020202020204" pitchFamily="34" charset="0"/>
            <a:cs typeface="Arial" panose="020B0604020202020204" pitchFamily="34" charset="0"/>
          </a:endParaRPr>
        </a:p>
        <a:p>
          <a:pPr>
            <a:spcBef>
              <a:spcPts val="600"/>
            </a:spcBef>
            <a:spcAft>
              <a:spcPts val="600"/>
            </a:spcAft>
          </a:pPr>
          <a:endParaRPr lang="en-US" sz="1000" baseline="0">
            <a:solidFill>
              <a:schemeClr val="dk1"/>
            </a:solidFill>
            <a:effectLst/>
            <a:latin typeface="Arial" panose="020B0604020202020204" pitchFamily="34" charset="0"/>
            <a:ea typeface="+mn-ea"/>
            <a:cs typeface="Arial" panose="020B0604020202020204" pitchFamily="34" charset="0"/>
          </a:endParaRPr>
        </a:p>
        <a:p>
          <a:pPr>
            <a:spcBef>
              <a:spcPts val="600"/>
            </a:spcBef>
            <a:spcAft>
              <a:spcPts val="600"/>
            </a:spcAft>
          </a:pPr>
          <a:endParaRPr lang="en-US" sz="1000" baseline="0">
            <a:solidFill>
              <a:schemeClr val="dk1"/>
            </a:solidFill>
            <a:effectLst/>
            <a:latin typeface="Arial" panose="020B0604020202020204" pitchFamily="34" charset="0"/>
            <a:ea typeface="+mn-ea"/>
            <a:cs typeface="Arial" panose="020B0604020202020204" pitchFamily="34" charset="0"/>
          </a:endParaRPr>
        </a:p>
        <a:p>
          <a:pPr>
            <a:spcBef>
              <a:spcPts val="600"/>
            </a:spcBef>
            <a:spcAft>
              <a:spcPts val="600"/>
            </a:spcAft>
          </a:pPr>
          <a:endParaRPr lang="en-US" sz="1000">
            <a:effectLst/>
            <a:latin typeface="Arial" panose="020B0604020202020204" pitchFamily="34" charset="0"/>
            <a:cs typeface="Arial" panose="020B0604020202020204" pitchFamily="34" charset="0"/>
          </a:endParaRPr>
        </a:p>
        <a:p>
          <a:pPr>
            <a:spcBef>
              <a:spcPts val="600"/>
            </a:spcBef>
            <a:spcAft>
              <a:spcPts val="600"/>
            </a:spcAft>
          </a:pPr>
          <a:r>
            <a:rPr lang="en-US" sz="1000" baseline="0">
              <a:solidFill>
                <a:schemeClr val="dk1"/>
              </a:solidFill>
              <a:effectLst/>
              <a:latin typeface="Arial" panose="020B0604020202020204" pitchFamily="34" charset="0"/>
              <a:ea typeface="+mn-ea"/>
              <a:cs typeface="Arial" panose="020B0604020202020204" pitchFamily="34" charset="0"/>
            </a:rPr>
            <a:t> </a:t>
          </a:r>
          <a:endParaRPr lang="en-US" sz="1000">
            <a:effectLst/>
            <a:latin typeface="Arial" panose="020B0604020202020204" pitchFamily="34" charset="0"/>
            <a:cs typeface="Arial" panose="020B0604020202020204" pitchFamily="34" charset="0"/>
          </a:endParaRPr>
        </a:p>
        <a:p>
          <a:endParaRPr lang="en-US" sz="1000" b="1">
            <a:solidFill>
              <a:schemeClr val="accent1"/>
            </a:solidFill>
            <a:latin typeface="Arial" panose="020B0604020202020204" pitchFamily="34" charset="0"/>
            <a:cs typeface="Arial" panose="020B0604020202020204" pitchFamily="34" charset="0"/>
          </a:endParaRPr>
        </a:p>
      </xdr:txBody>
    </xdr:sp>
    <xdr:clientData/>
  </xdr:twoCellAnchor>
  <xdr:twoCellAnchor>
    <xdr:from>
      <xdr:col>0</xdr:col>
      <xdr:colOff>353786</xdr:colOff>
      <xdr:row>305</xdr:row>
      <xdr:rowOff>290285</xdr:rowOff>
    </xdr:from>
    <xdr:to>
      <xdr:col>4</xdr:col>
      <xdr:colOff>117929</xdr:colOff>
      <xdr:row>308</xdr:row>
      <xdr:rowOff>480786</xdr:rowOff>
    </xdr:to>
    <xdr:graphicFrame macro="">
      <xdr:nvGraphicFramePr>
        <xdr:cNvPr id="135" name="Chart 134">
          <a:extLst>
            <a:ext uri="{FF2B5EF4-FFF2-40B4-BE49-F238E27FC236}">
              <a16:creationId xmlns:a16="http://schemas.microsoft.com/office/drawing/2014/main" id="{01A94CE6-83A1-47B7-987B-964A7CFF88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oneCell">
    <xdr:from>
      <xdr:col>1</xdr:col>
      <xdr:colOff>0</xdr:colOff>
      <xdr:row>310</xdr:row>
      <xdr:rowOff>172356</xdr:rowOff>
    </xdr:from>
    <xdr:to>
      <xdr:col>4</xdr:col>
      <xdr:colOff>829128</xdr:colOff>
      <xdr:row>317</xdr:row>
      <xdr:rowOff>51522</xdr:rowOff>
    </xdr:to>
    <xdr:pic>
      <xdr:nvPicPr>
        <xdr:cNvPr id="137" name="Picture 136">
          <a:extLst>
            <a:ext uri="{FF2B5EF4-FFF2-40B4-BE49-F238E27FC236}">
              <a16:creationId xmlns:a16="http://schemas.microsoft.com/office/drawing/2014/main" id="{F47EAA01-3219-2347-133E-6D3B1825F4CF}"/>
            </a:ext>
          </a:extLst>
        </xdr:cNvPr>
        <xdr:cNvPicPr>
          <a:picLocks noChangeAspect="1"/>
        </xdr:cNvPicPr>
      </xdr:nvPicPr>
      <xdr:blipFill>
        <a:blip xmlns:r="http://schemas.openxmlformats.org/officeDocument/2006/relationships" r:embed="rId24"/>
        <a:stretch>
          <a:fillRect/>
        </a:stretch>
      </xdr:blipFill>
      <xdr:spPr>
        <a:xfrm>
          <a:off x="371929" y="86369070"/>
          <a:ext cx="5842000" cy="2500809"/>
        </a:xfrm>
        <a:prstGeom prst="rect">
          <a:avLst/>
        </a:prstGeom>
      </xdr:spPr>
    </xdr:pic>
    <xdr:clientData/>
  </xdr:twoCellAnchor>
  <xdr:twoCellAnchor>
    <xdr:from>
      <xdr:col>0</xdr:col>
      <xdr:colOff>370113</xdr:colOff>
      <xdr:row>300</xdr:row>
      <xdr:rowOff>61684</xdr:rowOff>
    </xdr:from>
    <xdr:to>
      <xdr:col>4</xdr:col>
      <xdr:colOff>145142</xdr:colOff>
      <xdr:row>305</xdr:row>
      <xdr:rowOff>219527</xdr:rowOff>
    </xdr:to>
    <xdr:graphicFrame macro="">
      <xdr:nvGraphicFramePr>
        <xdr:cNvPr id="138" name="Chart 137">
          <a:extLst>
            <a:ext uri="{FF2B5EF4-FFF2-40B4-BE49-F238E27FC236}">
              <a16:creationId xmlns:a16="http://schemas.microsoft.com/office/drawing/2014/main" id="{791F7261-94A4-4F94-9D9A-6090CB3F3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PC" refreshedDate="46297.67245578704" createdVersion="8" refreshedVersion="8" minRefreshableVersion="3" recordCount="1048575" xr:uid="{B9616585-383B-4D1C-ABA7-F990D149A631}">
  <cacheSource type="worksheet">
    <worksheetSource name="Table3"/>
  </cacheSource>
  <cacheFields count="12">
    <cacheField name="Nhóm bệnh" numFmtId="0">
      <sharedItems containsBlank="1" count="15">
        <s v="Bệnh truyền nhiễm"/>
        <s v="Bỏng da"/>
        <s v="Chấn thương"/>
        <s v="Da liễu"/>
        <s v="Hô hấp"/>
        <s v="Mắt"/>
        <s v="Răng hàm mặt"/>
        <s v="Tai mũi họng"/>
        <s v="Thần Kinh"/>
        <s v="Tiêu hoá"/>
        <s v="Tim mạch"/>
        <s v="Tổng hợp "/>
        <s v="Vết thương"/>
        <s v="Thận - Tiết niệu"/>
        <m/>
      </sharedItems>
    </cacheField>
    <cacheField name="Loại bệnh" numFmtId="0">
      <sharedItems containsBlank="1" count="80">
        <s v="Sốt"/>
        <s v="Bỏng"/>
        <s v="Bỏng độ 1"/>
        <s v="Đau nhức do va chạm / chơi thể thao"/>
        <s v="Đau mỏi cơ"/>
        <s v="Chấn thương phần mềm"/>
        <s v="TD Dị ứng da do tiếp xúc "/>
        <s v="Dị ứng da ( Mề đay dị ứng )"/>
        <s v="Mụn viêm "/>
        <s v="Dị ứng do thức ăn"/>
        <s v="Viêm da dị ứng"/>
        <s v="Kích ứng da"/>
        <s v="Viêm da"/>
        <s v="Chính mé"/>
        <s v="Viêm da cơ địa"/>
        <s v="Viêm đường hô hấp trên"/>
        <s v="Viêm phế quản"/>
        <s v="Dị ứng mắt"/>
        <s v="Tăng điều tiết mắt"/>
        <s v="Viêm mi mắt"/>
        <s v="Đau mắt "/>
        <s v="Chắp, lẹo mắt"/>
        <s v="Viêm kết mạc mắt"/>
        <s v="Rụng răng sữa"/>
        <s v="Đau răng"/>
        <s v="Viêm loét niêm mạc miệng (nhiệt miệng)"/>
        <s v="Dập môi"/>
        <s v="Rớt mắc cài niềng răng"/>
        <s v="Viêm nướu "/>
        <s v="Viêm họng "/>
        <s v="Chảy máu cam"/>
        <s v="Viêm mũi dị ứng"/>
        <s v="Đau tai "/>
        <s v="Viêm mũi"/>
        <s v="Viêm da vành tai"/>
        <s v=" TD Viêm tai giữa "/>
        <s v="Dị vật tai"/>
        <s v="Viêm xoang"/>
        <s v="Rối loạn tiền đình"/>
        <s v="Rối loạn tiêu hoá"/>
        <s v="Viêm dạ dày"/>
        <s v="Tiêu chảy cấp"/>
        <s v="Hội chứng ruột kích thích"/>
        <s v="TD Trào ngược dạ dày thực quản"/>
        <s v="Táo bón"/>
        <s v="TD Rối loạn nhịp tim"/>
        <s v="Đau bụng chưa rõ nguyên nhân"/>
        <s v="Mệt"/>
        <s v="Đau đầu chưa rõ nguyên nhân"/>
        <s v="Thống Kinh"/>
        <s v="Đau đầu cơ năng"/>
        <s v="Côn Trùng đốt"/>
        <s v="Mất ngủ do thức khuya"/>
        <s v="Viêm nhọt"/>
        <s v="Vết thương trầy xước da"/>
        <s v="Vết thương ngón tay"/>
        <s v="Vết thương ngón chân"/>
        <s v="Vết thương "/>
        <s v="Vết thương gối"/>
        <s v="Vết thương cẳng tay"/>
        <s v="Vết thương bàn chân"/>
        <s v="Vết thương bàn tay"/>
        <s v="Vết thương cẳng chân"/>
        <s v="Áp xe "/>
        <s v="Lật móng chân"/>
        <s v="Lật móng tay"/>
        <s v="Vết thương khuỷu tay"/>
        <s v="Vết thương vùng lưng"/>
        <s v="Vết thương vùng mặt"/>
        <s v="TD Tay chân miệng"/>
        <s v="Sốt siêu vi"/>
        <s v="TD Sốt siêu vi"/>
        <s v="Căng cơ"/>
        <s v="Đau mắc cá chân"/>
        <s v="Ngứa mắt"/>
        <s v="Mắc cài niềng răng bung "/>
        <s v="Viêm amydan"/>
        <s v="Ù  tai"/>
        <s v="TD Nhiễm trùng tiểu"/>
        <m/>
      </sharedItems>
    </cacheField>
    <cacheField name="HS mầm non" numFmtId="0">
      <sharedItems containsString="0" containsBlank="1" containsNumber="1" containsInteger="1" minValue="0" maxValue="46"/>
    </cacheField>
    <cacheField name="HS tiểu học" numFmtId="0">
      <sharedItems containsString="0" containsBlank="1" containsNumber="1" containsInteger="1" minValue="0" maxValue="59"/>
    </cacheField>
    <cacheField name="HS THCS " numFmtId="0">
      <sharedItems containsString="0" containsBlank="1" containsNumber="1" containsInteger="1" minValue="0" maxValue="70"/>
    </cacheField>
    <cacheField name="HS THPT " numFmtId="0">
      <sharedItems containsString="0" containsBlank="1" containsNumber="1" containsInteger="1" minValue="0" maxValue="29"/>
    </cacheField>
    <cacheField name="Tổng số lượt khám " numFmtId="0">
      <sharedItems containsString="0" containsBlank="1" containsNumber="1" containsInteger="1" minValue="1" maxValue="174"/>
    </cacheField>
    <cacheField name="Lượt khám mầm non" numFmtId="0">
      <sharedItems containsString="0" containsBlank="1" containsNumber="1" containsInteger="1" minValue="0" maxValue="65" count="10">
        <n v="51"/>
        <n v="0"/>
        <n v="2"/>
        <n v="1"/>
        <n v="6"/>
        <n v="4"/>
        <n v="3"/>
        <n v="65"/>
        <n v="32"/>
        <m/>
      </sharedItems>
    </cacheField>
    <cacheField name="Lượt khám Tiểu học" numFmtId="0">
      <sharedItems containsString="0" containsBlank="1" containsNumber="1" containsInteger="1" minValue="0" maxValue="70"/>
    </cacheField>
    <cacheField name="Lượt khám THCS " numFmtId="0">
      <sharedItems containsString="0" containsBlank="1" containsNumber="1" containsInteger="1" minValue="0" maxValue="98"/>
    </cacheField>
    <cacheField name="Lượt khám THPT" numFmtId="0">
      <sharedItems containsString="0" containsBlank="1" containsNumber="1" containsInteger="1" minValue="0" maxValue="37"/>
    </cacheField>
    <cacheField name="Tháng " numFmtId="0">
      <sharedItems containsString="0" containsBlank="1" containsNumber="1" containsInteger="1" minValue="8" maxValue="9" count="3">
        <n v="8"/>
        <n v="9"/>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301.388399884258" createdVersion="8" refreshedVersion="8" minRefreshableVersion="3" recordCount="289" xr:uid="{9D70C2A8-3F61-445D-99E5-388C47BB2CFD}">
  <cacheSource type="worksheet">
    <worksheetSource ref="A1:M1048576" sheet="3. Tiết dạy"/>
  </cacheSource>
  <cacheFields count="13">
    <cacheField name="STT" numFmtId="0">
      <sharedItems containsString="0" containsBlank="1" containsNumber="1" containsInteger="1" minValue="1" maxValue="144"/>
    </cacheField>
    <cacheField name="Cap" numFmtId="0">
      <sharedItems containsBlank="1" count="5">
        <s v="Cấp 1"/>
        <s v="Cấp 3"/>
        <s v="Cấp 2"/>
        <s v="Cấp 0"/>
        <m/>
      </sharedItems>
    </cacheField>
    <cacheField name="Thu" numFmtId="0">
      <sharedItems containsString="0" containsBlank="1" containsNumber="1" containsInteger="1" minValue="2" maxValue="7"/>
    </cacheField>
    <cacheField name="Ngay" numFmtId="0">
      <sharedItems containsBlank="1"/>
    </cacheField>
    <cacheField name="Buoi" numFmtId="0">
      <sharedItems containsBlank="1"/>
    </cacheField>
    <cacheField name="Tiet" numFmtId="0">
      <sharedItems containsString="0" containsBlank="1" containsNumber="1" containsInteger="1" minValue="1" maxValue="5"/>
    </cacheField>
    <cacheField name="TenLop" numFmtId="0">
      <sharedItems containsBlank="1"/>
    </cacheField>
    <cacheField name="TenMonHoc" numFmtId="0">
      <sharedItems containsBlank="1" count="28">
        <s v="Câu lạc bộ"/>
        <s v="Bóng đá"/>
        <s v="Ngữ văn"/>
        <s v="Bóng rổ"/>
        <s v="Câu lạc bộ bơi"/>
        <s v="Tiếng Anh - GVNN"/>
        <s v="Sinh hoạt"/>
        <s v="Hóa học"/>
        <s v="TA tích hợp GVNN"/>
        <s v="Lịch sử và địa lý"/>
        <s v="Tiếng Việt"/>
        <s v="Toán"/>
        <s v="TA tích hợp GVVN"/>
        <s v="Khoa học"/>
        <s v="HĐ Trải nghiệm GVCN"/>
        <s v="JA"/>
        <s v="Âm nhạc"/>
        <s v="Vật lí"/>
        <s v="Tiếng Anh - GVVN"/>
        <s v="Tự nhiên xã hội"/>
        <s v="STEM trải nghiệm"/>
        <s v="Chuyên đề HT Toán"/>
        <s v="Tin học"/>
        <s v="Chuyên đề HT Lý"/>
        <s v="HĐ Trải nghiệm GVBM"/>
        <s v="Khoa học tự nhiên"/>
        <s v="Công nghệ"/>
        <m/>
      </sharedItems>
    </cacheField>
    <cacheField name="GiaoVienPhuTrach" numFmtId="0">
      <sharedItems containsBlank="1" count="36">
        <s v="Trần Đức Thanh"/>
        <s v="Trần Đắc Mùi"/>
        <s v="Dương Kim Cương"/>
        <s v="Trần Thuỳ Dung"/>
        <s v="Nguyễn Quang Thịnh"/>
        <s v="Tống Mỹ Kiều Loan"/>
        <s v="Trịnh Văn Tự"/>
        <s v="Nguyễn Thị Bích Trâm"/>
        <s v="La Gia Nghi"/>
        <s v="Lê Thị Hạnh"/>
        <s v="Lopez Anne Julia Redor"/>
        <s v="Lê Thị Thanh Huyền"/>
        <s v="Phạm Thị Mỹ Yến"/>
        <s v="Đỗ Thị Duyên"/>
        <s v="Thạch Thị Sa My"/>
        <s v="Mai Kiều Anh Thư"/>
        <s v="PEÑAFLORIDA LACHICA CHRISTY MA. NATION"/>
        <s v="Đỗ Thị Thanh Huyền"/>
        <s v="Võ Thị Lan Anh"/>
        <s v="Trần Thị Bích Đào"/>
        <s v="Phan Hoàng Uyên Thy"/>
        <s v="Lê Thị Ngọc Linh"/>
        <s v="Nguyễn Thị Hạnh"/>
        <s v="Nguyễn Mai Khanh"/>
        <s v="Carreon Gugol Vanessa Ariane"/>
        <s v="Nguyễn Thị Bích Ngọc"/>
        <s v="Nguyễn Ngọc Thanh Vy"/>
        <s v="Nguyễn Thị Thảo Loan"/>
        <s v="Nguyễn Quang Nam"/>
        <s v="Dương Hồng Thủy"/>
        <s v="Nguyễn Thụy Ngọc Minh"/>
        <s v="Đoàn Anh Hào"/>
        <s v="Nguyễn Ngọc Bảo Trâm"/>
        <s v="Lê Nguyễn Anh Thư"/>
        <s v="Trần Thị Như Vy"/>
        <m/>
      </sharedItems>
    </cacheField>
    <cacheField name="GV dạy thay" numFmtId="0">
      <sharedItems containsBlank="1"/>
    </cacheField>
    <cacheField name="Tên GV dạy thay" numFmtId="0">
      <sharedItems containsBlank="1"/>
    </cacheField>
    <cacheField name="Số tiết chưa được bù " numFmtId="0">
      <sharedItems containsString="0" containsBlank="1" containsNumber="1" containsInteger="1" minValue="1" maxValue="1"/>
    </cacheField>
    <cacheField name="Tháng " numFmtId="0">
      <sharedItems containsString="0" containsBlank="1" containsNumber="1" containsInteger="1" minValue="8" maxValue="9" count="3">
        <n v="8"/>
        <n v="9"/>
        <m/>
      </sharedItems>
    </cacheField>
  </cacheFields>
  <extLst>
    <ext xmlns:x14="http://schemas.microsoft.com/office/spreadsheetml/2009/9/main" uri="{725AE2AE-9491-48be-B2B4-4EB974FC3084}">
      <x14:pivotCacheDefinition pivotCacheId="26820005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301.406609259262" createdVersion="8" refreshedVersion="8" minRefreshableVersion="3" recordCount="475" xr:uid="{4E9006BC-4025-4B2E-A5D5-6E97101F1E01}">
  <cacheSource type="worksheet">
    <worksheetSource ref="A1:J1048576" sheet="5. Nghỉ phép"/>
  </cacheSource>
  <cacheFields count="10">
    <cacheField name="MaNV" numFmtId="0">
      <sharedItems containsBlank="1"/>
    </cacheField>
    <cacheField name="HoTen" numFmtId="0">
      <sharedItems containsBlank="1" count="197">
        <s v="Bùi Thị Bích Trâm"/>
        <s v="Hoàng Văn Thanh"/>
        <s v="Hà Thị Kim Sang"/>
        <s v="Trần Thanh Bền"/>
        <s v="Carreon Gugol Vanessa Ariane"/>
        <s v="Trần Thị Thùy Trang"/>
        <s v="Trần Thị Thanh Thủy"/>
        <s v="Nguyễn Thị Kim Liên"/>
        <s v="Dương Thị Gọn"/>
        <s v="Ngô Thị Xuân Thủy"/>
        <s v="Dalumpines Obregon Kizzle Kaye"/>
        <s v="Đỗ Thị Thanh"/>
        <s v="Nguyễn Trần Gia Hân"/>
        <s v="Phan Thị Ngọc Nga"/>
        <s v="Nguyễn Vũ Kim Ngân"/>
        <s v="Nguyễn Đình Hạnh"/>
        <s v="Lê Bá Quang Thắng"/>
        <s v="Nguyễn Thị Hằng"/>
        <s v="Mai Thị Kim Ngân"/>
        <s v="Trần Thị Hoa"/>
        <s v="Nguyễn Thị Diễm Trang"/>
        <s v="Hoàng Thị Diễm Trang"/>
        <s v="Lopez Anne Julia Redor"/>
        <s v="Trần Thị Thanh Tâm"/>
        <s v="Võ Kim Ngân"/>
        <s v="Trần Thị Như Vy"/>
        <s v="Phạm Thị Linh"/>
        <s v="Võ Thị Hồng Nhung"/>
        <s v="Nguyễn Thị Thanh Thuỷ"/>
        <s v="Trương Thu Trang"/>
        <s v="Nguyễn Thị Kim Phượng"/>
        <s v="Nguyễn Thị Bích Huyền"/>
        <s v="Khương Thị Ngọc Phụng"/>
        <s v="Trịnh Văn Tiến"/>
        <s v="Nguyễn Thị Thuý Hằng"/>
        <s v="ABDUL MAJID MARANI SWALLAH"/>
        <s v="Hà Thanh Hằng"/>
        <s v="Dương Hồng Thủy"/>
        <s v="Dương Thị Đào"/>
        <s v="Lê Thị Hải Linh"/>
        <s v="Vũ Bùi Mai Khanh"/>
        <s v="Nguyễn Thị Bích Trâm"/>
        <s v="Võ Thị Ngọc Trang"/>
        <s v="Trần Thanh Hiền"/>
        <s v="Hà Thị Kim Anh"/>
        <s v="Trần Thị Bích Đào"/>
        <s v="Phạm Thị Kiều Hạnh"/>
        <s v="Nguyễn Thị Trang Đài"/>
        <s v="Đỗ Ngọc Minh Thư"/>
        <s v="Nguyễn Thị Thắm"/>
        <s v="Nguyễn Thị Thuật"/>
        <s v="Trần Đình Ngọc"/>
        <s v="Phạm Thị Trà My"/>
        <s v="Trịnh Thị Thu"/>
        <s v="Nguyễn Thị Mai Thanh"/>
        <s v="Nguyễn Thị Nhâm"/>
        <s v="Lê Thị Thúy Ly"/>
        <s v="Phạm Huỳnh Ny Na"/>
        <s v="Nguyễn Thị Hồng Thảo"/>
        <s v="Nguyễn Thị Hường"/>
        <s v="Nguyễn Thị Hạnh"/>
        <s v="Võ Thị Ý"/>
        <s v="Lý Mỹ Linh"/>
        <s v="Lê Trần Hoài Anh"/>
        <s v="Lê Thị Ngọc Hân"/>
        <s v="Trần Thị Phương"/>
        <s v="Lộc Thị Thông"/>
        <s v="Đồng Thị Kim Chi"/>
        <s v="Nguyễn Thị Tuyết Mai"/>
        <s v="Nguyễn Thị Ngọc Thủy"/>
        <s v="Vi Thị Ngọc Nhi"/>
        <s v="Trần Thành Danh"/>
        <s v="Nguyễn Thị Thu Thảo"/>
        <s v="Trần Kim Oanh"/>
        <s v="Trần Thị Phương Uyên"/>
        <s v="Ngô Thị Lan"/>
        <s v="Nguyễn Thu Hiền"/>
        <s v="Nguyễn Thị Lệ Thu"/>
        <s v="Lê Thị Anh"/>
        <s v="Lê Thị Ngọc Linh"/>
        <s v="Nguyễn Thị Nga"/>
        <s v="Bùi Thị Huệ"/>
        <s v="Vũ Thị Giàu Sang"/>
        <s v="Nguyễn Ngọc Mai Anh"/>
        <s v="Nguyễn Việt Trinh"/>
        <s v="Phạm Thị Mỹ Hảo"/>
        <s v="Phạm Minh Trường"/>
        <s v="Trần Thị Như Ngọc"/>
        <s v="Bùi Thị Kim Cang"/>
        <s v="Phạm Thị Thu Hiền"/>
        <s v="Lữ Thị Thu Hiền"/>
        <s v="Phạm Thị Thu Hương"/>
        <s v="Nguyễn Quang Tân"/>
        <s v="Pilita Bagnes"/>
        <s v="Trịnh Thanh Yến"/>
        <s v="Linh Thị Lan Anh"/>
        <s v="Cam Ngọc Đăng Thanh"/>
        <s v="Nguyễn An Di"/>
        <s v="JARED DAGUIL NADELA"/>
        <s v="Trần Duy Sang"/>
        <s v="Phạm Thị Mười"/>
        <s v="Đoàn Thị Mỹ Tiên"/>
        <s v="Nguyễn Trúc Linh"/>
        <s v="Nguyễn Thị Thanh Tâm"/>
        <s v="Nguyễn Phạm Thị Thuỷ Tiên"/>
        <s v="Phan Thị Mỹ Uyên"/>
        <s v="Huỳnh Trúc Lan Tuyên"/>
        <s v="Trần Thị Thanh Loan"/>
        <s v="Hồ Ngọc Diệp"/>
        <s v="Tống Thị Lan Anh"/>
        <s v="Biện Thị Kim Thắm"/>
        <s v="Phạm Quang Phúc"/>
        <s v="Rajamanickam Abhishek"/>
        <s v="Nguyễn Thị Mộng Huyền"/>
        <s v="Lê Tuyết Nhi"/>
        <s v="Mai Thị Cẩm Thi"/>
        <s v="Võ Thị Kiều Oanh"/>
        <s v="Nguyễn Thụy Ngọc Minh"/>
        <s v="Văn Thị Hồng Yến"/>
        <s v="Nguyễn Duy Thanh Thảo"/>
        <s v="Trần Thị Hồng Sương"/>
        <s v="Lê Nguyễn Thanh Thảo"/>
        <s v="Trần Ngọc Liên"/>
        <s v="Nguyễn Thị Dịu Hiền"/>
        <s v="Lê Thị Thanh Huyền"/>
        <s v="Phạm Thị Mỹ Yến"/>
        <s v="Cao Thị Duyên"/>
        <s v="Mai Kiều Anh Thư"/>
        <s v="Thạch Thị Sa My"/>
        <s v="Trần Quang Trung"/>
        <s v="Hồ Thị Diệu Hiền"/>
        <s v="Hoàng Thị Thùy Dung"/>
        <s v="Phạm Lan Anh"/>
        <s v="Đoàn Thị Minh Thu"/>
        <s v="Đỗ Thị Duyên"/>
        <s v="Khương Anh Tuấn"/>
        <s v="PEÑAFLORIDA LACHICA CHRISTY MA. NATION"/>
        <s v="Trần Cảnh Phụng"/>
        <s v="Nguyễn Xuân Hùng"/>
        <s v="Võ Minh Tú"/>
        <s v="Trần Thuỳ Dung"/>
        <s v="Hoàng Thị Hồng Hải"/>
        <s v="Lê Nguyễn Hạ Ly"/>
        <s v="Nguyễn Trần Hải Yến"/>
        <s v="Nguyễn Thị Hồng Vân"/>
        <s v="Cao Thị Lan Hương"/>
        <s v="Nguyễn Thị Phương Nam"/>
        <s v="Amador Airel John"/>
        <s v="Võ Thị Lan Anh"/>
        <s v="Nguyễn Thành Công"/>
        <s v="Mai Thuỳ Mộng Trinh"/>
        <s v="Phan Hoàng Uyên Thy"/>
        <s v="Lý Lan Thanh"/>
        <s v="Lê Thị Ngọc Điệp"/>
        <s v="Nguyễn Sơn Phi Hoàng"/>
        <s v="Florenosos Delacerna Lloyd"/>
        <s v="Ngô Kim Phượng"/>
        <s v="Nguyễn Mai Khanh"/>
        <s v="Nguyễn Thị Sen"/>
        <s v="Nguyễn Hoài Giang"/>
        <s v="Tiêu Trung Tín"/>
        <s v="Phạm Thị Ngọc Trâm"/>
        <s v="Phạm Thị Tươi"/>
        <s v="Dinh Orestes"/>
        <s v="Nguyễn Kim Bảo Khánh"/>
        <s v="Hồ Thị Kim Liên"/>
        <s v="Phan Kim Tuyền"/>
        <s v="Vũ Thị Ngọc"/>
        <s v="Lâm Thị Hằng"/>
        <s v="Võ Đình Mộng Thuý"/>
        <s v="Nguyễn Thanh Phong"/>
        <s v="Nguyễn Ngọc Thuận"/>
        <s v="Lê Hồng Linh"/>
        <s v="Trương Thị Minh"/>
        <s v="Lê Thị Thu Nga"/>
        <s v="Ngô Thị Kim Hương"/>
        <s v="Hoàng Khánh Dâng"/>
        <s v="Nguyễn Quang Nam"/>
        <s v="Đinh Thị Đoan Nhi"/>
        <s v="Đặng Kim Yến"/>
        <s v="Lương Thị Bích Hạnh"/>
        <s v="Đặng Hồng Nhung"/>
        <s v="Đoàn Ngọc Nhi"/>
        <s v="Nguyễn Khương Duy"/>
        <s v="Nguyễn Thị Thanh Hương"/>
        <s v="Lê Thị Thanh Bình"/>
        <s v="Nguyễn Ngọc Bảo Trâm"/>
        <s v="Tăng Kim Hà"/>
        <s v="Trịnh Tuyết Nga"/>
        <s v="Huỳnh Thanh Trí"/>
        <s v="La Gia Nghi"/>
        <s v="Lê Thị Hạnh"/>
        <s v="Lê Thị Mỹ Huyền"/>
        <s v="Đỗ Anh Hào"/>
        <s v="Huỳnh Thị Hồng Thy"/>
        <s v="Nguyễn Mạnh Cường"/>
        <m/>
      </sharedItems>
    </cacheField>
    <cacheField name="PhongBan" numFmtId="0">
      <sharedItems containsBlank="1" count="29">
        <m/>
        <s v="Phòng Quản trị - An toàn và môi trường"/>
        <s v="Bộ Phận Bếp"/>
        <s v="Tổ Ngoại Ngữ, Khối THCS -THPT"/>
        <s v="Khối Mầm Non"/>
        <s v="Bộ phận Nhân sự"/>
        <s v="Bộ phận Thư viện, Khối THCS -THPT"/>
        <s v="Khối Mầm Non, Bộ Phận Bếp"/>
        <s v="Tổ Ngoại Ngữ, Khối Tiểu Học"/>
        <s v="Đơn vị Long Khánh"/>
        <s v="Hành chính chuyên môn"/>
        <s v="Marketing - TVTS - CSKH"/>
        <s v="Ban Giám Đốc"/>
        <s v="Ban Giám Hiệu"/>
        <s v="Khối Tiểu Học"/>
        <s v="Tổ xã hội, Khối THCS -THPT"/>
        <s v="Dịch vụ học sinh"/>
        <s v="Tổ Hoạt động trải nghiệm, hướng nghiệp, Khối THCS -THPT"/>
        <s v="Tổ Tin học và Công nghệ, Khối THCS -THPT"/>
        <s v="Phòng Kế Toán"/>
        <s v="Tổ thể dục - Quốc phòng - Nghệ thuật, Khối THCS -THPT"/>
        <s v="Khối Mầm Non, Tổ Ngoại Ngữ"/>
        <s v="Mua sắm tài sản"/>
        <s v="Tổ tự nhiên, Khối THCS -THPT"/>
        <s v="Tổ Quản Sinh"/>
        <s v="Tổ ngữ văn, Khối THCS -THPT"/>
        <s v="Tổ Khoa học Tự nhiên và Công nghệ, Khối THCS -THPT"/>
        <s v="Tổ Toán, Khối THCS -THPT"/>
        <s v="Tổ Tin học, Khối THCS -THPT"/>
      </sharedItems>
    </cacheField>
    <cacheField name="TenChiTiet" numFmtId="0">
      <sharedItems containsBlank="1" count="11">
        <s v="Nghỉ phép năm"/>
        <s v="Nghỉ khám bệnh trong 1 học kỳ"/>
        <s v="Nghỉ không lương -Không BHXH"/>
        <s v="Tập huấn. công tác"/>
        <s v="Nghỉ ốm (1 ngày/1 quý)"/>
        <s v="Nghỉ không lương -Có BHXH"/>
        <s v="Tứ thân phụ mẫu, vợ (chồng), con: mất"/>
        <s v="Nghỉ thai sản - Hưởng BHXH"/>
        <s v="Khám thai định kỳ (5 ngày/1 chu kỳ)"/>
        <s v="Bản thân kết hôn"/>
        <m/>
      </sharedItems>
    </cacheField>
    <cacheField name="GhiChu" numFmtId="0">
      <sharedItems containsBlank="1"/>
    </cacheField>
    <cacheField name="SoNgayThang" numFmtId="0">
      <sharedItems containsBlank="1" containsMixedTypes="1" containsNumber="1" minValue="0.5" maxValue="10"/>
    </cacheField>
    <cacheField name="TuNgayT" numFmtId="0">
      <sharedItems containsBlank="1"/>
    </cacheField>
    <cacheField name="DenNgayT" numFmtId="0">
      <sharedItems containsBlank="1"/>
    </cacheField>
    <cacheField name="Tháng " numFmtId="0">
      <sharedItems containsString="0" containsBlank="1" containsNumber="1" containsInteger="1" minValue="8" maxValue="9" count="3">
        <n v="8"/>
        <n v="9"/>
        <m/>
      </sharedItems>
    </cacheField>
    <cacheField name="Buoi" numFmtId="0">
      <sharedItems containsBlank="1"/>
    </cacheField>
  </cacheFields>
  <extLst>
    <ext xmlns:x14="http://schemas.microsoft.com/office/spreadsheetml/2009/9/main" uri="{725AE2AE-9491-48be-B2B4-4EB974FC3084}">
      <x14:pivotCacheDefinition pivotCacheId="1051095874"/>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C" refreshedDate="46301.454268518515" createdVersion="8" refreshedVersion="8" minRefreshableVersion="3" recordCount="59" xr:uid="{76A4BC92-8BB4-48F1-8A6F-5F14F48A2127}">
  <cacheSource type="worksheet">
    <worksheetSource ref="A1:N1048576" sheet="7. Biến động nhân sự"/>
  </cacheSource>
  <cacheFields count="14">
    <cacheField name="STT" numFmtId="0">
      <sharedItems containsString="0" containsBlank="1" containsNumber="1" containsInteger="1" minValue="1" maxValue="30"/>
    </cacheField>
    <cacheField name="Mã NV" numFmtId="0">
      <sharedItems containsBlank="1"/>
    </cacheField>
    <cacheField name="Họ" numFmtId="0">
      <sharedItems containsBlank="1"/>
    </cacheField>
    <cacheField name="Tên" numFmtId="0">
      <sharedItems containsBlank="1"/>
    </cacheField>
    <cacheField name="Tình trạng" numFmtId="0">
      <sharedItems containsBlank="1"/>
    </cacheField>
    <cacheField name="Phòng ban" numFmtId="0">
      <sharedItems containsBlank="1" count="13">
        <s v="Khối Mầm Non"/>
        <s v="Tổ Quản Sinh"/>
        <s v="Tổ Hoạt động trải nghiệm, hướng nghiệp"/>
        <s v="Đơn vị Long Khánh"/>
        <s v="Tổ Ngoại Ngữ"/>
        <s v="Bộ Phận Bếp"/>
        <s v="Tổ thể dục - Quốc phòng - Nghệ thuật"/>
        <s v="Khối Tiểu Học"/>
        <s v="Hành chính chuyên môn "/>
        <s v="Tổ ngữ văn"/>
        <s v="Tổ Khoa học Tự nhiên và Công nghệ"/>
        <s v="Phòng IT"/>
        <m/>
      </sharedItems>
    </cacheField>
    <cacheField name="Chức vụ" numFmtId="0">
      <sharedItems containsBlank="1"/>
    </cacheField>
    <cacheField name="Giới tính" numFmtId="0">
      <sharedItems containsBlank="1"/>
    </cacheField>
    <cacheField name="Ngày HĐ" numFmtId="0">
      <sharedItems containsBlank="1"/>
    </cacheField>
    <cacheField name="Loại HĐ" numFmtId="0">
      <sharedItems containsBlank="1" count="7">
        <s v="Hợp đồng chính thức có xác định thời hạn 1 năm"/>
        <s v="Hợp đồng thỉnh giảng "/>
        <s v="Hợp đồng thử việc "/>
        <s v="Hợp đồng khoán công việc"/>
        <s v="Hợp đồng chính thức không xác định thời hạn"/>
        <s v=""/>
        <m/>
      </sharedItems>
    </cacheField>
    <cacheField name="Ngày hiệu lực HĐ" numFmtId="0">
      <sharedItems containsBlank="1"/>
    </cacheField>
    <cacheField name="Ghi chú" numFmtId="0">
      <sharedItems containsBlank="1" count="3">
        <s v="Tăng"/>
        <s v="Giảm"/>
        <m/>
      </sharedItems>
    </cacheField>
    <cacheField name="Tháng" numFmtId="0">
      <sharedItems containsString="0" containsBlank="1" containsNumber="1" containsInteger="1" minValue="8" maxValue="9" count="3">
        <n v="8"/>
        <n v="9"/>
        <m/>
      </sharedItems>
    </cacheField>
    <cacheField name="Năm" numFmtId="0">
      <sharedItems containsString="0" containsBlank="1" containsNumber="1" containsInteger="1" minValue="2026" maxValue="2026"/>
    </cacheField>
  </cacheFields>
  <extLst>
    <ext xmlns:x14="http://schemas.microsoft.com/office/spreadsheetml/2009/9/main" uri="{725AE2AE-9491-48be-B2B4-4EB974FC3084}">
      <x14:pivotCacheDefinition pivotCacheId="6721017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9">
  <r>
    <n v="1"/>
    <x v="0"/>
    <n v="2"/>
    <s v="28/09/2026"/>
    <s v="Chiều"/>
    <n v="5"/>
    <s v="26CLB-BC_D1"/>
    <x v="0"/>
    <x v="0"/>
    <s v="Giáo viên"/>
    <m/>
    <n v="1"/>
    <x v="0"/>
  </r>
  <r>
    <n v="2"/>
    <x v="0"/>
    <n v="2"/>
    <s v="28/09/2026"/>
    <s v="Chiều"/>
    <n v="4"/>
    <s v="26CLB-BD_B1"/>
    <x v="1"/>
    <x v="1"/>
    <s v="Giáo viên"/>
    <m/>
    <n v="1"/>
    <x v="0"/>
  </r>
  <r>
    <n v="3"/>
    <x v="0"/>
    <n v="2"/>
    <s v="28/09/2026"/>
    <s v="Chiều"/>
    <n v="4"/>
    <s v="26CLB-BD_A1"/>
    <x v="1"/>
    <x v="2"/>
    <s v="Giáo viên"/>
    <m/>
    <n v="1"/>
    <x v="0"/>
  </r>
  <r>
    <n v="4"/>
    <x v="1"/>
    <n v="6"/>
    <s v="25/09/2026"/>
    <s v="Chiều"/>
    <n v="3"/>
    <s v="11A"/>
    <x v="2"/>
    <x v="3"/>
    <s v="Giáo viên"/>
    <m/>
    <n v="1"/>
    <x v="0"/>
  </r>
  <r>
    <n v="5"/>
    <x v="2"/>
    <n v="5"/>
    <s v="24/09/2026"/>
    <s v="Chiều"/>
    <n v="3"/>
    <s v="06E"/>
    <x v="2"/>
    <x v="3"/>
    <s v="Giáo viên"/>
    <m/>
    <n v="1"/>
    <x v="0"/>
  </r>
  <r>
    <n v="6"/>
    <x v="0"/>
    <n v="4"/>
    <s v="23/09/2026"/>
    <s v="Chiều"/>
    <n v="5"/>
    <s v="26CLB-BC_D1"/>
    <x v="0"/>
    <x v="0"/>
    <s v="Giáo viên"/>
    <m/>
    <n v="1"/>
    <x v="0"/>
  </r>
  <r>
    <n v="7"/>
    <x v="0"/>
    <n v="4"/>
    <s v="23/09/2026"/>
    <s v="Chiều"/>
    <n v="4"/>
    <s v="26CLB-BR_B1"/>
    <x v="3"/>
    <x v="4"/>
    <s v="Giáo viên"/>
    <m/>
    <n v="1"/>
    <x v="0"/>
  </r>
  <r>
    <n v="8"/>
    <x v="0"/>
    <n v="4"/>
    <s v="23/09/2026"/>
    <s v="Chiều"/>
    <n v="4"/>
    <s v="26CLB-BD_B1"/>
    <x v="1"/>
    <x v="1"/>
    <s v="Giáo viên"/>
    <m/>
    <n v="1"/>
    <x v="0"/>
  </r>
  <r>
    <n v="9"/>
    <x v="0"/>
    <n v="4"/>
    <s v="23/09/2026"/>
    <s v="Chiều"/>
    <n v="4"/>
    <s v="26CLB-BD_A1"/>
    <x v="1"/>
    <x v="2"/>
    <s v="Giáo viên"/>
    <m/>
    <n v="1"/>
    <x v="0"/>
  </r>
  <r>
    <n v="10"/>
    <x v="0"/>
    <n v="3"/>
    <s v="22/09/2026"/>
    <s v="Chiều"/>
    <n v="5"/>
    <s v="26CLB-BD_C2"/>
    <x v="1"/>
    <x v="2"/>
    <s v="Giáo viên"/>
    <m/>
    <n v="1"/>
    <x v="0"/>
  </r>
  <r>
    <n v="11"/>
    <x v="0"/>
    <n v="3"/>
    <s v="22/09/2026"/>
    <s v="Chiều"/>
    <n v="5"/>
    <s v="26CLB-Boi_C1"/>
    <x v="4"/>
    <x v="5"/>
    <s v="Giáo viên"/>
    <m/>
    <n v="1"/>
    <x v="0"/>
  </r>
  <r>
    <n v="12"/>
    <x v="0"/>
    <n v="3"/>
    <s v="22/09/2026"/>
    <s v="Chiều"/>
    <n v="4"/>
    <s v="26CLB-Boi_B1"/>
    <x v="4"/>
    <x v="0"/>
    <s v="Giáo viên"/>
    <m/>
    <n v="1"/>
    <x v="0"/>
  </r>
  <r>
    <n v="13"/>
    <x v="0"/>
    <n v="3"/>
    <s v="22/09/2026"/>
    <s v="Chiều"/>
    <n v="4"/>
    <s v="26CLB-BD_C1"/>
    <x v="1"/>
    <x v="1"/>
    <s v="Giáo viên"/>
    <m/>
    <n v="1"/>
    <x v="0"/>
  </r>
  <r>
    <n v="14"/>
    <x v="2"/>
    <n v="2"/>
    <s v="14/09/2026"/>
    <s v="Sáng"/>
    <n v="2"/>
    <s v="06F"/>
    <x v="2"/>
    <x v="6"/>
    <m/>
    <m/>
    <n v="1"/>
    <x v="0"/>
  </r>
  <r>
    <n v="15"/>
    <x v="2"/>
    <n v="2"/>
    <s v="14/09/2026"/>
    <s v="Sáng"/>
    <n v="1"/>
    <s v="08B"/>
    <x v="2"/>
    <x v="6"/>
    <m/>
    <m/>
    <n v="1"/>
    <x v="0"/>
  </r>
  <r>
    <n v="16"/>
    <x v="3"/>
    <n v="3"/>
    <s v="08/09/2026"/>
    <s v="Chiều"/>
    <n v="4"/>
    <s v="26CLBMNLK-TA-A1-TG"/>
    <x v="5"/>
    <x v="7"/>
    <s v="GV Mầm non"/>
    <m/>
    <n v="1"/>
    <x v="0"/>
  </r>
  <r>
    <n v="17"/>
    <x v="1"/>
    <n v="6"/>
    <s v="04/09/2026"/>
    <s v="Chiều"/>
    <n v="4"/>
    <s v="10C"/>
    <x v="6"/>
    <x v="8"/>
    <s v="Giáo viên"/>
    <m/>
    <n v="1"/>
    <x v="0"/>
  </r>
  <r>
    <n v="18"/>
    <x v="1"/>
    <n v="6"/>
    <s v="04/09/2026"/>
    <s v="Chiều"/>
    <n v="4"/>
    <s v="10A"/>
    <x v="6"/>
    <x v="9"/>
    <s v="Giáo viên"/>
    <m/>
    <n v="1"/>
    <x v="0"/>
  </r>
  <r>
    <n v="19"/>
    <x v="1"/>
    <n v="6"/>
    <s v="04/09/2026"/>
    <s v="Chiều"/>
    <n v="3"/>
    <s v="10B"/>
    <x v="7"/>
    <x v="9"/>
    <s v="Giáo viên"/>
    <m/>
    <n v="1"/>
    <x v="0"/>
  </r>
  <r>
    <n v="20"/>
    <x v="1"/>
    <n v="4"/>
    <s v="30/09/2026"/>
    <s v="Chiều"/>
    <n v="4"/>
    <s v="10AV2"/>
    <x v="8"/>
    <x v="10"/>
    <s v="GV nước ngoài"/>
    <s v="Carreon Gugol Vanessa Ariane"/>
    <m/>
    <x v="0"/>
  </r>
  <r>
    <n v="21"/>
    <x v="0"/>
    <n v="4"/>
    <s v="30/09/2026"/>
    <s v="Chiều"/>
    <n v="4"/>
    <s v="04B"/>
    <x v="9"/>
    <x v="11"/>
    <s v="GV Tiểu học"/>
    <s v="Nguyễn Thị Nga"/>
    <m/>
    <x v="0"/>
  </r>
  <r>
    <n v="22"/>
    <x v="0"/>
    <n v="4"/>
    <s v="30/09/2026"/>
    <s v="Chiều"/>
    <n v="4"/>
    <s v="05A"/>
    <x v="10"/>
    <x v="12"/>
    <s v="GV Tiểu học"/>
    <s v="Phạm Lê Uyễn Nhi"/>
    <m/>
    <x v="0"/>
  </r>
  <r>
    <n v="23"/>
    <x v="1"/>
    <n v="4"/>
    <s v="30/09/2026"/>
    <s v="Chiều"/>
    <n v="3"/>
    <s v="10AV2"/>
    <x v="8"/>
    <x v="10"/>
    <s v="GV nước ngoài"/>
    <s v="Carreon Gugol Vanessa Ariane"/>
    <m/>
    <x v="0"/>
  </r>
  <r>
    <n v="24"/>
    <x v="0"/>
    <n v="4"/>
    <s v="30/09/2026"/>
    <s v="Chiều"/>
    <n v="3"/>
    <s v="04B"/>
    <x v="11"/>
    <x v="11"/>
    <s v="GV Tiểu học"/>
    <s v="Nguyễn Thị Nga"/>
    <m/>
    <x v="0"/>
  </r>
  <r>
    <n v="25"/>
    <x v="0"/>
    <n v="4"/>
    <s v="30/09/2026"/>
    <s v="Chiều"/>
    <n v="3"/>
    <s v="05A"/>
    <x v="10"/>
    <x v="12"/>
    <s v="GV Tiểu học"/>
    <s v="Thạch Thị Sa My"/>
    <m/>
    <x v="0"/>
  </r>
  <r>
    <n v="26"/>
    <x v="0"/>
    <n v="4"/>
    <s v="30/09/2026"/>
    <s v="Chiều"/>
    <n v="2"/>
    <s v="04B"/>
    <x v="10"/>
    <x v="11"/>
    <s v="GV Tiểu học"/>
    <s v="Tống Thị Lan Anh"/>
    <m/>
    <x v="0"/>
  </r>
  <r>
    <n v="27"/>
    <x v="0"/>
    <n v="4"/>
    <s v="30/09/2026"/>
    <s v="Chiều"/>
    <n v="1"/>
    <s v="04B"/>
    <x v="10"/>
    <x v="11"/>
    <s v="GV Tiểu học"/>
    <s v="Tống Thị Lan Anh"/>
    <m/>
    <x v="0"/>
  </r>
  <r>
    <n v="28"/>
    <x v="0"/>
    <n v="4"/>
    <s v="30/09/2026"/>
    <s v="Chiều"/>
    <n v="1"/>
    <s v="05A"/>
    <x v="11"/>
    <x v="12"/>
    <s v="GV Tiểu học"/>
    <s v="Đoàn Ngọc Nhi"/>
    <m/>
    <x v="0"/>
  </r>
  <r>
    <n v="29"/>
    <x v="2"/>
    <n v="4"/>
    <s v="30/09/2026"/>
    <s v="Sáng"/>
    <n v="4"/>
    <s v="06G"/>
    <x v="12"/>
    <x v="13"/>
    <s v="Giáo viên"/>
    <s v="Nguyễn Thị Thanh Thùy"/>
    <m/>
    <x v="0"/>
  </r>
  <r>
    <n v="30"/>
    <x v="2"/>
    <n v="4"/>
    <s v="30/09/2026"/>
    <s v="Sáng"/>
    <n v="3"/>
    <s v="06G"/>
    <x v="12"/>
    <x v="13"/>
    <s v="Giáo viên"/>
    <s v="Nguyễn Thị Thanh Thùy"/>
    <m/>
    <x v="0"/>
  </r>
  <r>
    <n v="31"/>
    <x v="2"/>
    <n v="4"/>
    <s v="30/09/2026"/>
    <s v="Sáng"/>
    <n v="2"/>
    <s v="06B"/>
    <x v="12"/>
    <x v="13"/>
    <s v="Giáo viên"/>
    <s v="Nguyễn Thị Thanh Thùy"/>
    <m/>
    <x v="0"/>
  </r>
  <r>
    <n v="32"/>
    <x v="2"/>
    <n v="4"/>
    <s v="30/09/2026"/>
    <s v="Sáng"/>
    <n v="1"/>
    <s v="06B"/>
    <x v="12"/>
    <x v="13"/>
    <s v="Giáo viên"/>
    <s v="Nguyễn Thị Thanh Thùy"/>
    <m/>
    <x v="0"/>
  </r>
  <r>
    <n v="33"/>
    <x v="0"/>
    <n v="3"/>
    <s v="29/09/2026"/>
    <s v="Chiều"/>
    <n v="4"/>
    <s v="05D"/>
    <x v="13"/>
    <x v="14"/>
    <s v="GV Tiểu học"/>
    <s v="Trịnh Ngọc Bảo Trân"/>
    <m/>
    <x v="0"/>
  </r>
  <r>
    <n v="34"/>
    <x v="0"/>
    <n v="3"/>
    <s v="29/09/2026"/>
    <s v="Chiều"/>
    <n v="3"/>
    <s v="05D"/>
    <x v="14"/>
    <x v="14"/>
    <s v="GV Tiểu học"/>
    <s v="Nguyễn Thị Kiều Duyên"/>
    <m/>
    <x v="0"/>
  </r>
  <r>
    <n v="35"/>
    <x v="0"/>
    <n v="3"/>
    <s v="29/09/2026"/>
    <s v="Chiều"/>
    <n v="2"/>
    <s v="05D"/>
    <x v="11"/>
    <x v="14"/>
    <s v="GV Tiểu học"/>
    <s v="Nguyễn Thị Kiều Duyên"/>
    <m/>
    <x v="0"/>
  </r>
  <r>
    <n v="36"/>
    <x v="0"/>
    <n v="3"/>
    <s v="29/09/2026"/>
    <s v="Chiều"/>
    <n v="1"/>
    <s v="05D"/>
    <x v="15"/>
    <x v="14"/>
    <s v="GV Tiểu học"/>
    <s v="Lê Thuỷ Tiên"/>
    <m/>
    <x v="0"/>
  </r>
  <r>
    <n v="37"/>
    <x v="2"/>
    <n v="3"/>
    <s v="29/09/2026"/>
    <s v="Sáng"/>
    <n v="4"/>
    <s v="06F"/>
    <x v="12"/>
    <x v="13"/>
    <s v="Giáo viên"/>
    <s v="Trần Thanh Tâm"/>
    <m/>
    <x v="0"/>
  </r>
  <r>
    <n v="38"/>
    <x v="2"/>
    <n v="3"/>
    <s v="29/09/2026"/>
    <s v="Sáng"/>
    <n v="3"/>
    <s v="06F"/>
    <x v="12"/>
    <x v="13"/>
    <s v="Giáo viên"/>
    <s v="Trần Thanh Tâm"/>
    <m/>
    <x v="0"/>
  </r>
  <r>
    <n v="39"/>
    <x v="0"/>
    <n v="3"/>
    <s v="29/09/2026"/>
    <s v="Sáng"/>
    <n v="3"/>
    <s v="05D"/>
    <x v="10"/>
    <x v="14"/>
    <s v="GV Tiểu học"/>
    <s v="Nguyễn Thị Kiều Duyên"/>
    <m/>
    <x v="0"/>
  </r>
  <r>
    <n v="40"/>
    <x v="2"/>
    <n v="3"/>
    <s v="29/09/2026"/>
    <s v="Sáng"/>
    <n v="2"/>
    <s v="06E"/>
    <x v="12"/>
    <x v="13"/>
    <s v="Giáo viên"/>
    <s v="Trần Thanh Tâm"/>
    <m/>
    <x v="0"/>
  </r>
  <r>
    <n v="41"/>
    <x v="0"/>
    <n v="3"/>
    <s v="29/09/2026"/>
    <s v="Sáng"/>
    <n v="2"/>
    <s v="03A"/>
    <x v="10"/>
    <x v="15"/>
    <s v="GV Tiểu học"/>
    <s v="Trương Thị Mộng Thi"/>
    <m/>
    <x v="0"/>
  </r>
  <r>
    <n v="42"/>
    <x v="2"/>
    <n v="3"/>
    <s v="29/09/2026"/>
    <s v="Sáng"/>
    <n v="1"/>
    <s v="06E"/>
    <x v="12"/>
    <x v="13"/>
    <s v="Giáo viên"/>
    <s v="Trần Thanh Tâm"/>
    <m/>
    <x v="0"/>
  </r>
  <r>
    <n v="43"/>
    <x v="0"/>
    <n v="3"/>
    <s v="29/09/2026"/>
    <s v="Sáng"/>
    <n v="1"/>
    <s v="03A"/>
    <x v="10"/>
    <x v="15"/>
    <s v="GV Tiểu học"/>
    <s v="Ngô Thị Tuyết Hải"/>
    <m/>
    <x v="0"/>
  </r>
  <r>
    <n v="44"/>
    <x v="2"/>
    <n v="2"/>
    <s v="28/09/2026"/>
    <s v="Chiều"/>
    <n v="4"/>
    <s v="06B"/>
    <x v="12"/>
    <x v="13"/>
    <s v="Giáo viên"/>
    <s v="Hoàng Thanh Quang"/>
    <m/>
    <x v="0"/>
  </r>
  <r>
    <n v="45"/>
    <x v="2"/>
    <n v="2"/>
    <s v="28/09/2026"/>
    <s v="Chiều"/>
    <n v="3"/>
    <s v="06B"/>
    <x v="12"/>
    <x v="13"/>
    <s v="Giáo viên"/>
    <s v="Hoàng Thanh Quang"/>
    <m/>
    <x v="0"/>
  </r>
  <r>
    <n v="46"/>
    <x v="2"/>
    <n v="2"/>
    <s v="28/09/2026"/>
    <s v="Sáng"/>
    <n v="4"/>
    <s v="06G"/>
    <x v="12"/>
    <x v="13"/>
    <s v="Giáo viên"/>
    <s v="Nguyễn Thị Thu Mai"/>
    <m/>
    <x v="0"/>
  </r>
  <r>
    <n v="47"/>
    <x v="2"/>
    <n v="2"/>
    <s v="28/09/2026"/>
    <s v="Sáng"/>
    <n v="4"/>
    <s v="07F"/>
    <x v="8"/>
    <x v="16"/>
    <s v="GV nước ngoài"/>
    <s v="Dinh Orestes"/>
    <m/>
    <x v="0"/>
  </r>
  <r>
    <n v="48"/>
    <x v="2"/>
    <n v="2"/>
    <s v="28/09/2026"/>
    <s v="Sáng"/>
    <n v="3"/>
    <s v="06G"/>
    <x v="12"/>
    <x v="13"/>
    <s v="Giáo viên"/>
    <s v="Nguyễn Thị Thu Mai"/>
    <m/>
    <x v="0"/>
  </r>
  <r>
    <n v="49"/>
    <x v="2"/>
    <n v="2"/>
    <s v="28/09/2026"/>
    <s v="Sáng"/>
    <n v="3"/>
    <s v="07F"/>
    <x v="8"/>
    <x v="16"/>
    <s v="GV nước ngoài"/>
    <s v="Dinh Orestes"/>
    <m/>
    <x v="0"/>
  </r>
  <r>
    <n v="50"/>
    <x v="1"/>
    <n v="2"/>
    <s v="28/09/2026"/>
    <s v="Sáng"/>
    <n v="2"/>
    <s v="12AV1"/>
    <x v="8"/>
    <x v="16"/>
    <s v="GV nước ngoài"/>
    <s v="Yusifova Ayla"/>
    <m/>
    <x v="0"/>
  </r>
  <r>
    <n v="51"/>
    <x v="2"/>
    <n v="2"/>
    <s v="28/09/2026"/>
    <s v="Sáng"/>
    <n v="2"/>
    <s v="06C"/>
    <x v="12"/>
    <x v="13"/>
    <s v="Giáo viên"/>
    <s v="Nguyễn Kim Bảo Khánh"/>
    <m/>
    <x v="0"/>
  </r>
  <r>
    <n v="52"/>
    <x v="1"/>
    <n v="2"/>
    <s v="28/09/2026"/>
    <s v="Sáng"/>
    <n v="1"/>
    <s v="12AV1"/>
    <x v="8"/>
    <x v="16"/>
    <s v="GV nước ngoài"/>
    <s v="Yusifova Ayla"/>
    <m/>
    <x v="0"/>
  </r>
  <r>
    <n v="53"/>
    <x v="2"/>
    <n v="2"/>
    <s v="28/09/2026"/>
    <s v="Sáng"/>
    <n v="1"/>
    <s v="06C"/>
    <x v="12"/>
    <x v="13"/>
    <s v="Giáo viên"/>
    <s v="Nguyễn Kim Bảo Khánh"/>
    <m/>
    <x v="0"/>
  </r>
  <r>
    <n v="54"/>
    <x v="2"/>
    <n v="2"/>
    <s v="28/09/2026"/>
    <s v="Sáng"/>
    <n v="1"/>
    <s v="07D"/>
    <x v="11"/>
    <x v="17"/>
    <s v="Giáo viên"/>
    <s v="Triệu Quang Vĩnh"/>
    <m/>
    <x v="0"/>
  </r>
  <r>
    <n v="55"/>
    <x v="2"/>
    <n v="6"/>
    <s v="25/09/2026"/>
    <s v="Chiều"/>
    <n v="4"/>
    <s v="06G"/>
    <x v="6"/>
    <x v="3"/>
    <s v="Giáo viên"/>
    <s v="Lê Thị Thanh Bình"/>
    <m/>
    <x v="0"/>
  </r>
  <r>
    <n v="56"/>
    <x v="2"/>
    <n v="6"/>
    <s v="25/09/2026"/>
    <s v="Chiều"/>
    <n v="2"/>
    <s v="06A"/>
    <x v="2"/>
    <x v="3"/>
    <s v="Giáo viên"/>
    <s v="Nguyễn Thị Phương Nam"/>
    <m/>
    <x v="0"/>
  </r>
  <r>
    <n v="57"/>
    <x v="2"/>
    <n v="6"/>
    <s v="25/09/2026"/>
    <s v="Chiều"/>
    <n v="1"/>
    <s v="06A"/>
    <x v="2"/>
    <x v="3"/>
    <s v="Giáo viên"/>
    <s v="Nguyễn Thị Phương Nam"/>
    <m/>
    <x v="0"/>
  </r>
  <r>
    <n v="58"/>
    <x v="2"/>
    <n v="5"/>
    <s v="24/09/2026"/>
    <s v="Chiều"/>
    <n v="1"/>
    <s v="06G"/>
    <x v="2"/>
    <x v="3"/>
    <s v="Giáo viên"/>
    <s v="Nguyễn Thị Trí"/>
    <m/>
    <x v="0"/>
  </r>
  <r>
    <n v="59"/>
    <x v="2"/>
    <n v="5"/>
    <s v="24/09/2026"/>
    <s v="Sáng"/>
    <n v="4"/>
    <s v="06A"/>
    <x v="2"/>
    <x v="3"/>
    <s v="Giáo viên"/>
    <s v="Nguyễn Thị Trí"/>
    <m/>
    <x v="0"/>
  </r>
  <r>
    <n v="60"/>
    <x v="2"/>
    <n v="5"/>
    <s v="24/09/2026"/>
    <s v="Sáng"/>
    <n v="3"/>
    <s v="06E"/>
    <x v="2"/>
    <x v="3"/>
    <s v="Giáo viên"/>
    <s v="Cao Thị Lan Hương"/>
    <m/>
    <x v="0"/>
  </r>
  <r>
    <n v="61"/>
    <x v="2"/>
    <n v="5"/>
    <s v="24/09/2026"/>
    <s v="Sáng"/>
    <n v="2"/>
    <s v="06D"/>
    <x v="2"/>
    <x v="3"/>
    <s v="Giáo viên"/>
    <s v="Cao Thị Lan Hương"/>
    <m/>
    <x v="0"/>
  </r>
  <r>
    <n v="62"/>
    <x v="2"/>
    <n v="5"/>
    <s v="24/09/2026"/>
    <s v="Sáng"/>
    <n v="1"/>
    <s v="06D"/>
    <x v="2"/>
    <x v="3"/>
    <s v="Giáo viên"/>
    <s v="Cao Thị Lan Hương"/>
    <m/>
    <x v="0"/>
  </r>
  <r>
    <n v="63"/>
    <x v="2"/>
    <n v="4"/>
    <s v="23/09/2026"/>
    <s v="Chiều"/>
    <n v="4"/>
    <s v="07C"/>
    <x v="16"/>
    <x v="18"/>
    <s v="Giáo viên"/>
    <s v="Phạm Minh Trường"/>
    <m/>
    <x v="0"/>
  </r>
  <r>
    <n v="64"/>
    <x v="2"/>
    <n v="4"/>
    <s v="23/09/2026"/>
    <s v="Chiều"/>
    <n v="2"/>
    <s v="07A"/>
    <x v="16"/>
    <x v="18"/>
    <s v="Giáo viên"/>
    <s v="Phạm Minh Trường"/>
    <m/>
    <x v="0"/>
  </r>
  <r>
    <n v="65"/>
    <x v="0"/>
    <n v="4"/>
    <s v="23/09/2026"/>
    <s v="Chiều"/>
    <n v="1"/>
    <s v="05C"/>
    <x v="16"/>
    <x v="18"/>
    <s v="Giáo viên"/>
    <s v="Phạm Minh Trường"/>
    <m/>
    <x v="0"/>
  </r>
  <r>
    <n v="66"/>
    <x v="1"/>
    <n v="4"/>
    <s v="23/09/2026"/>
    <s v="Sáng"/>
    <n v="5"/>
    <s v="12C2"/>
    <x v="17"/>
    <x v="19"/>
    <s v="Hành chính"/>
    <s v="Trần Thị Thanh Dung"/>
    <m/>
    <x v="0"/>
  </r>
  <r>
    <n v="67"/>
    <x v="0"/>
    <n v="3"/>
    <s v="22/09/2026"/>
    <s v="Chiều"/>
    <n v="2"/>
    <s v="01E"/>
    <x v="18"/>
    <x v="20"/>
    <s v="Giáo viên"/>
    <s v="Bùi Dương Thảo Vy"/>
    <m/>
    <x v="0"/>
  </r>
  <r>
    <n v="68"/>
    <x v="0"/>
    <n v="3"/>
    <s v="22/09/2026"/>
    <s v="Chiều"/>
    <n v="1"/>
    <s v="01E"/>
    <x v="18"/>
    <x v="20"/>
    <s v="Giáo viên"/>
    <s v="Bùi Dương Thảo Vy"/>
    <m/>
    <x v="0"/>
  </r>
  <r>
    <n v="69"/>
    <x v="2"/>
    <n v="3"/>
    <s v="22/09/2026"/>
    <s v="Sáng"/>
    <n v="5"/>
    <s v="09H"/>
    <x v="12"/>
    <x v="21"/>
    <s v="Giáo viên"/>
    <s v="Lưu Gia Tuệ"/>
    <m/>
    <x v="0"/>
  </r>
  <r>
    <n v="70"/>
    <x v="2"/>
    <n v="3"/>
    <s v="22/09/2026"/>
    <s v="Sáng"/>
    <n v="4"/>
    <s v="09H"/>
    <x v="12"/>
    <x v="21"/>
    <s v="Giáo viên"/>
    <s v="Lưu Gia Tuệ"/>
    <m/>
    <x v="0"/>
  </r>
  <r>
    <n v="71"/>
    <x v="0"/>
    <n v="2"/>
    <s v="21/09/2026"/>
    <s v="Chiều"/>
    <n v="4"/>
    <s v="03E"/>
    <x v="14"/>
    <x v="22"/>
    <s v="GV Tiểu học"/>
    <s v="Đào Hồng Yến Nhi"/>
    <m/>
    <x v="0"/>
  </r>
  <r>
    <n v="72"/>
    <x v="0"/>
    <n v="2"/>
    <s v="21/09/2026"/>
    <s v="Chiều"/>
    <n v="3"/>
    <s v="03E"/>
    <x v="19"/>
    <x v="22"/>
    <s v="GV Tiểu học"/>
    <s v="Đào Hồng Yến Nhi"/>
    <m/>
    <x v="0"/>
  </r>
  <r>
    <n v="73"/>
    <x v="2"/>
    <n v="2"/>
    <s v="21/09/2026"/>
    <s v="Chiều"/>
    <n v="3"/>
    <s v="09F"/>
    <x v="12"/>
    <x v="21"/>
    <s v="Giáo viên"/>
    <s v="Nguyễn Thị Thu Mai"/>
    <m/>
    <x v="0"/>
  </r>
  <r>
    <n v="74"/>
    <x v="2"/>
    <n v="2"/>
    <s v="21/09/2026"/>
    <s v="Chiều"/>
    <n v="2"/>
    <s v="09F"/>
    <x v="12"/>
    <x v="21"/>
    <s v="Giáo viên"/>
    <s v="Phạm Thị Thu Hương"/>
    <m/>
    <x v="0"/>
  </r>
  <r>
    <n v="75"/>
    <x v="1"/>
    <n v="2"/>
    <s v="21/09/2026"/>
    <s v="Sáng"/>
    <n v="5"/>
    <s v="11B2"/>
    <x v="17"/>
    <x v="23"/>
    <s v="Giáo viên"/>
    <s v="Lê Văn Hải"/>
    <m/>
    <x v="0"/>
  </r>
  <r>
    <n v="76"/>
    <x v="1"/>
    <n v="2"/>
    <s v="21/09/2026"/>
    <s v="Sáng"/>
    <n v="4"/>
    <s v="11B2"/>
    <x v="17"/>
    <x v="23"/>
    <s v="Giáo viên"/>
    <s v="Nguyễn Quốc Việt"/>
    <m/>
    <x v="0"/>
  </r>
  <r>
    <n v="77"/>
    <x v="1"/>
    <n v="2"/>
    <s v="21/09/2026"/>
    <s v="Sáng"/>
    <n v="4"/>
    <s v="12AV2"/>
    <x v="12"/>
    <x v="21"/>
    <s v="Giáo viên"/>
    <s v="Nguyễn Thị Thu Mai"/>
    <m/>
    <x v="0"/>
  </r>
  <r>
    <n v="78"/>
    <x v="2"/>
    <n v="2"/>
    <s v="21/09/2026"/>
    <s v="Sáng"/>
    <n v="4"/>
    <s v="06F"/>
    <x v="8"/>
    <x v="24"/>
    <s v="GV nước ngoài"/>
    <s v="Lopez Anne Julia Redor"/>
    <m/>
    <x v="0"/>
  </r>
  <r>
    <n v="79"/>
    <x v="0"/>
    <n v="2"/>
    <s v="21/09/2026"/>
    <s v="Sáng"/>
    <n v="4"/>
    <s v="03E"/>
    <x v="10"/>
    <x v="22"/>
    <s v="GV Tiểu học"/>
    <s v="Trương Thị Mộng Thi"/>
    <m/>
    <x v="0"/>
  </r>
  <r>
    <n v="80"/>
    <x v="1"/>
    <n v="2"/>
    <s v="21/09/2026"/>
    <s v="Sáng"/>
    <n v="3"/>
    <s v="11B2"/>
    <x v="17"/>
    <x v="23"/>
    <s v="Giáo viên"/>
    <s v="Biện Thị Kim Thắm"/>
    <m/>
    <x v="0"/>
  </r>
  <r>
    <n v="81"/>
    <x v="1"/>
    <n v="2"/>
    <s v="21/09/2026"/>
    <s v="Sáng"/>
    <n v="3"/>
    <s v="12AV2"/>
    <x v="12"/>
    <x v="21"/>
    <s v="Giáo viên"/>
    <s v="Nguyễn Thị Thu Mai"/>
    <m/>
    <x v="0"/>
  </r>
  <r>
    <n v="82"/>
    <x v="2"/>
    <n v="2"/>
    <s v="21/09/2026"/>
    <s v="Sáng"/>
    <n v="3"/>
    <s v="06F"/>
    <x v="8"/>
    <x v="24"/>
    <s v="GV nước ngoài"/>
    <s v="Lopez Anne Julia Redor"/>
    <m/>
    <x v="0"/>
  </r>
  <r>
    <n v="83"/>
    <x v="0"/>
    <n v="2"/>
    <s v="21/09/2026"/>
    <s v="Sáng"/>
    <n v="3"/>
    <s v="03E"/>
    <x v="10"/>
    <x v="22"/>
    <s v="GV Tiểu học"/>
    <s v="Trương Thị Mộng Thi"/>
    <m/>
    <x v="0"/>
  </r>
  <r>
    <n v="84"/>
    <x v="2"/>
    <n v="2"/>
    <s v="21/09/2026"/>
    <s v="Sáng"/>
    <n v="2"/>
    <s v="08D"/>
    <x v="20"/>
    <x v="23"/>
    <s v="Giáo viên"/>
    <s v="Lê Thị Hạnh"/>
    <m/>
    <x v="0"/>
  </r>
  <r>
    <n v="85"/>
    <x v="2"/>
    <n v="2"/>
    <s v="21/09/2026"/>
    <s v="Sáng"/>
    <n v="2"/>
    <s v="09H"/>
    <x v="12"/>
    <x v="21"/>
    <s v="Giáo viên"/>
    <s v="Trần Thanh Tâm"/>
    <m/>
    <x v="0"/>
  </r>
  <r>
    <n v="86"/>
    <x v="0"/>
    <n v="2"/>
    <s v="21/09/2026"/>
    <s v="Sáng"/>
    <n v="1"/>
    <s v="03E"/>
    <x v="11"/>
    <x v="22"/>
    <s v="GV Tiểu học"/>
    <s v="Trương Thị Mộng Thi"/>
    <m/>
    <x v="0"/>
  </r>
  <r>
    <n v="87"/>
    <x v="2"/>
    <n v="2"/>
    <s v="21/09/2026"/>
    <s v="Sáng"/>
    <n v="1"/>
    <s v="08D"/>
    <x v="20"/>
    <x v="23"/>
    <s v="Giáo viên"/>
    <s v="Lê Thị Hạnh"/>
    <m/>
    <x v="0"/>
  </r>
  <r>
    <n v="88"/>
    <x v="2"/>
    <n v="2"/>
    <s v="21/09/2026"/>
    <s v="Sáng"/>
    <n v="1"/>
    <s v="09H"/>
    <x v="12"/>
    <x v="21"/>
    <s v="Giáo viên"/>
    <s v="Trần Thanh Tâm"/>
    <m/>
    <x v="0"/>
  </r>
  <r>
    <n v="89"/>
    <x v="2"/>
    <n v="5"/>
    <s v="17/09/2026"/>
    <s v="Sáng"/>
    <n v="2"/>
    <s v="06B"/>
    <x v="11"/>
    <x v="25"/>
    <s v="Giáo viên"/>
    <s v="Phạm Phi Cường"/>
    <m/>
    <x v="0"/>
  </r>
  <r>
    <n v="90"/>
    <x v="2"/>
    <n v="5"/>
    <s v="17/09/2026"/>
    <s v="Sáng"/>
    <n v="1"/>
    <s v="06B"/>
    <x v="11"/>
    <x v="25"/>
    <s v="Giáo viên"/>
    <s v="Phạm Phi Cường"/>
    <m/>
    <x v="0"/>
  </r>
  <r>
    <n v="91"/>
    <x v="3"/>
    <n v="4"/>
    <s v="16/09/2026"/>
    <s v="Chiều"/>
    <n v="2"/>
    <s v="26DOLPHIN4"/>
    <x v="5"/>
    <x v="26"/>
    <s v="Thỉnh giảng"/>
    <s v="Đinh Minh Đức"/>
    <m/>
    <x v="0"/>
  </r>
  <r>
    <n v="92"/>
    <x v="3"/>
    <n v="4"/>
    <s v="16/09/2026"/>
    <s v="Chiều"/>
    <n v="1"/>
    <s v="26DOLPHIN2"/>
    <x v="5"/>
    <x v="26"/>
    <s v="Thỉnh giảng"/>
    <s v="Đinh Minh Đức"/>
    <m/>
    <x v="0"/>
  </r>
  <r>
    <n v="93"/>
    <x v="2"/>
    <n v="4"/>
    <s v="16/09/2026"/>
    <s v="Sáng"/>
    <n v="4"/>
    <s v="06H"/>
    <x v="11"/>
    <x v="27"/>
    <s v="Giáo viên"/>
    <s v="Đỗ Thị Thanh Huyền"/>
    <m/>
    <x v="0"/>
  </r>
  <r>
    <n v="94"/>
    <x v="2"/>
    <n v="4"/>
    <s v="16/09/2026"/>
    <s v="Sáng"/>
    <n v="3"/>
    <s v="06H"/>
    <x v="11"/>
    <x v="27"/>
    <s v="Giáo viên"/>
    <s v="Đỗ Thị Thanh Huyền"/>
    <m/>
    <x v="0"/>
  </r>
  <r>
    <n v="95"/>
    <x v="2"/>
    <n v="3"/>
    <s v="15/09/2026"/>
    <s v="Chiều"/>
    <n v="3"/>
    <s v="06H"/>
    <x v="11"/>
    <x v="27"/>
    <s v="Giáo viên"/>
    <s v="Phạm Phi Cường"/>
    <m/>
    <x v="0"/>
  </r>
  <r>
    <n v="96"/>
    <x v="1"/>
    <n v="3"/>
    <s v="15/09/2026"/>
    <s v="Chiều"/>
    <n v="2"/>
    <s v="12B"/>
    <x v="11"/>
    <x v="27"/>
    <s v="Giáo viên"/>
    <s v="Phạm Phi Cường"/>
    <m/>
    <x v="0"/>
  </r>
  <r>
    <n v="97"/>
    <x v="1"/>
    <n v="3"/>
    <s v="15/09/2026"/>
    <s v="Chiều"/>
    <n v="1"/>
    <s v="12B"/>
    <x v="11"/>
    <x v="27"/>
    <s v="Giáo viên"/>
    <s v="Phạm Phi Cường"/>
    <m/>
    <x v="0"/>
  </r>
  <r>
    <n v="98"/>
    <x v="1"/>
    <n v="3"/>
    <s v="15/09/2026"/>
    <s v="Sáng"/>
    <n v="5"/>
    <s v="12C2"/>
    <x v="21"/>
    <x v="27"/>
    <s v="Giáo viên"/>
    <s v="Hà Thị Hằng"/>
    <m/>
    <x v="0"/>
  </r>
  <r>
    <n v="99"/>
    <x v="1"/>
    <n v="3"/>
    <s v="15/09/2026"/>
    <s v="Sáng"/>
    <n v="4"/>
    <s v="12C"/>
    <x v="11"/>
    <x v="27"/>
    <s v="Giáo viên"/>
    <s v="Phạm Phi Cường"/>
    <m/>
    <x v="0"/>
  </r>
  <r>
    <n v="100"/>
    <x v="2"/>
    <n v="3"/>
    <s v="15/09/2026"/>
    <s v="Sáng"/>
    <n v="2"/>
    <s v="06A"/>
    <x v="11"/>
    <x v="27"/>
    <s v="Giáo viên"/>
    <s v="Phạm Phi Cường"/>
    <m/>
    <x v="0"/>
  </r>
  <r>
    <n v="101"/>
    <x v="2"/>
    <n v="3"/>
    <s v="15/09/2026"/>
    <s v="Sáng"/>
    <n v="1"/>
    <s v="06A"/>
    <x v="11"/>
    <x v="27"/>
    <s v="Giáo viên"/>
    <s v="Hà Thị Hằng"/>
    <m/>
    <x v="0"/>
  </r>
  <r>
    <n v="102"/>
    <x v="2"/>
    <n v="2"/>
    <s v="14/09/2026"/>
    <s v="Sáng"/>
    <n v="4"/>
    <s v="08A"/>
    <x v="2"/>
    <x v="6"/>
    <m/>
    <s v="Nguyễn Thị Mai"/>
    <m/>
    <x v="0"/>
  </r>
  <r>
    <n v="103"/>
    <x v="2"/>
    <n v="6"/>
    <s v="11/09/2026"/>
    <s v="Chiều"/>
    <n v="4"/>
    <s v="09E"/>
    <x v="6"/>
    <x v="17"/>
    <s v="Giáo viên"/>
    <s v="Lê Thị Thúy Hằng"/>
    <m/>
    <x v="0"/>
  </r>
  <r>
    <n v="104"/>
    <x v="2"/>
    <n v="6"/>
    <s v="11/09/2026"/>
    <s v="Chiều"/>
    <n v="3"/>
    <s v="07D"/>
    <x v="11"/>
    <x v="17"/>
    <s v="Giáo viên"/>
    <s v="Lê Thị Thúy Hằng"/>
    <m/>
    <x v="0"/>
  </r>
  <r>
    <n v="105"/>
    <x v="2"/>
    <n v="6"/>
    <s v="11/09/2026"/>
    <s v="Chiều"/>
    <n v="3"/>
    <s v="09A"/>
    <x v="22"/>
    <x v="28"/>
    <s v="Giáo viên"/>
    <s v="Trần Quốc Dũng"/>
    <m/>
    <x v="0"/>
  </r>
  <r>
    <n v="106"/>
    <x v="2"/>
    <n v="6"/>
    <s v="11/09/2026"/>
    <s v="Chiều"/>
    <n v="2"/>
    <s v="09E"/>
    <x v="11"/>
    <x v="17"/>
    <s v="Giáo viên"/>
    <s v="Lê Thị Thúy Hằng"/>
    <m/>
    <x v="0"/>
  </r>
  <r>
    <n v="107"/>
    <x v="2"/>
    <n v="6"/>
    <s v="11/09/2026"/>
    <s v="Chiều"/>
    <n v="1"/>
    <s v="09E"/>
    <x v="22"/>
    <x v="28"/>
    <s v="Giáo viên"/>
    <s v="Nguyễn Xuân Hưng"/>
    <m/>
    <x v="0"/>
  </r>
  <r>
    <n v="108"/>
    <x v="2"/>
    <n v="6"/>
    <s v="11/09/2026"/>
    <s v="Sáng"/>
    <n v="4"/>
    <s v="06H"/>
    <x v="15"/>
    <x v="29"/>
    <s v="Giáo viên"/>
    <s v="Lê Thị Thanh Thủy"/>
    <m/>
    <x v="0"/>
  </r>
  <r>
    <n v="109"/>
    <x v="0"/>
    <n v="5"/>
    <s v="10/09/2026"/>
    <s v="Chiều"/>
    <n v="4"/>
    <s v="03A"/>
    <x v="19"/>
    <x v="15"/>
    <s v="GV Tiểu học"/>
    <s v="Ngô Thị Tuyết Hải"/>
    <m/>
    <x v="0"/>
  </r>
  <r>
    <n v="110"/>
    <x v="0"/>
    <n v="5"/>
    <s v="10/09/2026"/>
    <s v="Chiều"/>
    <n v="3"/>
    <s v="03A"/>
    <x v="10"/>
    <x v="15"/>
    <s v="GV Tiểu học"/>
    <s v="Nguyễn Thị Hạnh"/>
    <m/>
    <x v="0"/>
  </r>
  <r>
    <n v="111"/>
    <x v="0"/>
    <n v="5"/>
    <s v="10/09/2026"/>
    <s v="Chiều"/>
    <n v="2"/>
    <s v="03A"/>
    <x v="15"/>
    <x v="15"/>
    <s v="GV Tiểu học"/>
    <s v="Ngô Thị Tuyết Hải"/>
    <m/>
    <x v="0"/>
  </r>
  <r>
    <n v="112"/>
    <x v="0"/>
    <n v="5"/>
    <s v="10/09/2026"/>
    <s v="Sáng"/>
    <n v="1"/>
    <s v="03A"/>
    <x v="11"/>
    <x v="15"/>
    <s v="GV Tiểu học"/>
    <s v="Võ Hoàng Anh"/>
    <m/>
    <x v="0"/>
  </r>
  <r>
    <n v="113"/>
    <x v="0"/>
    <n v="4"/>
    <s v="09/09/2026"/>
    <s v="Chiều"/>
    <n v="4"/>
    <s v="05D"/>
    <x v="18"/>
    <x v="30"/>
    <s v="Giáo viên"/>
    <s v="Chiêm Thu Hương"/>
    <m/>
    <x v="0"/>
  </r>
  <r>
    <n v="114"/>
    <x v="2"/>
    <n v="4"/>
    <s v="09/09/2026"/>
    <s v="Chiều"/>
    <n v="4"/>
    <s v="08A"/>
    <x v="20"/>
    <x v="31"/>
    <s v="Giáo viên"/>
    <s v="Nguyễn Mai Khanh"/>
    <m/>
    <x v="0"/>
  </r>
  <r>
    <n v="115"/>
    <x v="0"/>
    <n v="4"/>
    <s v="09/09/2026"/>
    <s v="Chiều"/>
    <n v="3"/>
    <s v="05D"/>
    <x v="18"/>
    <x v="30"/>
    <s v="Giáo viên"/>
    <s v="Chiêm Thu Hương"/>
    <m/>
    <x v="0"/>
  </r>
  <r>
    <n v="116"/>
    <x v="2"/>
    <n v="4"/>
    <s v="09/09/2026"/>
    <s v="Chiều"/>
    <n v="3"/>
    <s v="08A"/>
    <x v="20"/>
    <x v="31"/>
    <s v="Giáo viên"/>
    <s v="Nguyễn Mai Khanh"/>
    <m/>
    <x v="0"/>
  </r>
  <r>
    <n v="117"/>
    <x v="1"/>
    <n v="4"/>
    <s v="09/09/2026"/>
    <s v="Chiều"/>
    <n v="2"/>
    <s v="12AV2"/>
    <x v="12"/>
    <x v="21"/>
    <s v="Giáo viên"/>
    <s v="Nguyễn Thị Thu Mai"/>
    <m/>
    <x v="0"/>
  </r>
  <r>
    <n v="118"/>
    <x v="1"/>
    <n v="4"/>
    <s v="09/09/2026"/>
    <s v="Chiều"/>
    <n v="2"/>
    <s v="10B"/>
    <x v="23"/>
    <x v="31"/>
    <s v="Giáo viên"/>
    <s v="Lê Văn Hải"/>
    <m/>
    <x v="0"/>
  </r>
  <r>
    <n v="119"/>
    <x v="0"/>
    <n v="4"/>
    <s v="09/09/2026"/>
    <s v="Chiều"/>
    <n v="2"/>
    <s v="05B"/>
    <x v="18"/>
    <x v="30"/>
    <s v="Giáo viên"/>
    <s v="Ngô Phạm Ngọc Điệp"/>
    <m/>
    <x v="0"/>
  </r>
  <r>
    <n v="120"/>
    <x v="1"/>
    <n v="4"/>
    <s v="09/09/2026"/>
    <s v="Chiều"/>
    <n v="1"/>
    <s v="12AV2"/>
    <x v="12"/>
    <x v="21"/>
    <s v="Giáo viên"/>
    <s v="Nguyễn Thị Thu Mai"/>
    <m/>
    <x v="0"/>
  </r>
  <r>
    <n v="121"/>
    <x v="0"/>
    <n v="4"/>
    <s v="09/09/2026"/>
    <s v="Chiều"/>
    <n v="1"/>
    <s v="05B"/>
    <x v="18"/>
    <x v="30"/>
    <s v="Giáo viên"/>
    <s v="Ngô Phạm Ngọc Điệp"/>
    <m/>
    <x v="0"/>
  </r>
  <r>
    <n v="122"/>
    <x v="0"/>
    <n v="4"/>
    <s v="09/09/2026"/>
    <s v="Sáng"/>
    <n v="4"/>
    <s v="05C"/>
    <x v="18"/>
    <x v="30"/>
    <s v="Giáo viên"/>
    <s v="Chiêm Thu Hương"/>
    <m/>
    <x v="0"/>
  </r>
  <r>
    <n v="123"/>
    <x v="0"/>
    <n v="4"/>
    <s v="09/09/2026"/>
    <s v="Sáng"/>
    <n v="3"/>
    <s v="05C"/>
    <x v="18"/>
    <x v="30"/>
    <s v="Giáo viên"/>
    <s v="Chiêm Thu Hương"/>
    <m/>
    <x v="0"/>
  </r>
  <r>
    <n v="124"/>
    <x v="0"/>
    <n v="3"/>
    <s v="08/09/2026"/>
    <s v="Chiều"/>
    <n v="2"/>
    <s v="05E"/>
    <x v="18"/>
    <x v="30"/>
    <s v="Giáo viên"/>
    <s v="Bùi Dương Thảo Vy"/>
    <m/>
    <x v="0"/>
  </r>
  <r>
    <n v="125"/>
    <x v="0"/>
    <n v="3"/>
    <s v="08/09/2026"/>
    <s v="Chiều"/>
    <n v="1"/>
    <s v="05E"/>
    <x v="18"/>
    <x v="30"/>
    <s v="Giáo viên"/>
    <s v="Bùi Dương Thảo Vy"/>
    <m/>
    <x v="0"/>
  </r>
  <r>
    <n v="126"/>
    <x v="0"/>
    <n v="3"/>
    <s v="08/09/2026"/>
    <s v="Sáng"/>
    <n v="4"/>
    <s v="05C"/>
    <x v="18"/>
    <x v="30"/>
    <s v="Giáo viên"/>
    <s v="Chiêm Thu Hương"/>
    <m/>
    <x v="0"/>
  </r>
  <r>
    <n v="127"/>
    <x v="0"/>
    <n v="3"/>
    <s v="08/09/2026"/>
    <s v="Sáng"/>
    <n v="3"/>
    <s v="05C"/>
    <x v="18"/>
    <x v="30"/>
    <s v="Giáo viên"/>
    <s v="Chiêm Thu Hương"/>
    <m/>
    <x v="0"/>
  </r>
  <r>
    <n v="128"/>
    <x v="2"/>
    <n v="2"/>
    <s v="07/09/2026"/>
    <s v="Chiều"/>
    <n v="4"/>
    <s v="07F"/>
    <x v="11"/>
    <x v="17"/>
    <s v="Giáo viên"/>
    <s v="Trần Văn Hạnh"/>
    <m/>
    <x v="0"/>
  </r>
  <r>
    <n v="129"/>
    <x v="2"/>
    <n v="2"/>
    <s v="07/09/2026"/>
    <s v="Chiều"/>
    <n v="3"/>
    <s v="07F"/>
    <x v="11"/>
    <x v="17"/>
    <s v="Giáo viên"/>
    <s v="Nguyễn Hoài Giang"/>
    <m/>
    <x v="0"/>
  </r>
  <r>
    <n v="130"/>
    <x v="2"/>
    <n v="2"/>
    <s v="07/09/2026"/>
    <s v="Sáng"/>
    <n v="2"/>
    <s v="06D"/>
    <x v="12"/>
    <x v="32"/>
    <s v="Giáo viên"/>
    <s v="Lưu Gia Tuệ"/>
    <m/>
    <x v="0"/>
  </r>
  <r>
    <n v="131"/>
    <x v="2"/>
    <n v="2"/>
    <s v="07/09/2026"/>
    <s v="Sáng"/>
    <n v="1"/>
    <s v="06D"/>
    <x v="12"/>
    <x v="32"/>
    <s v="Giáo viên"/>
    <s v="Lưu Gia Tuệ"/>
    <m/>
    <x v="0"/>
  </r>
  <r>
    <n v="132"/>
    <x v="2"/>
    <n v="7"/>
    <s v="05/09/2026"/>
    <s v="Chiều"/>
    <n v="3"/>
    <s v="09E"/>
    <x v="24"/>
    <x v="33"/>
    <s v="Giáo viên"/>
    <s v="Nguyễn Khánh Huyền"/>
    <m/>
    <x v="0"/>
  </r>
  <r>
    <n v="133"/>
    <x v="2"/>
    <n v="6"/>
    <s v="04/09/2026"/>
    <s v="Chiều"/>
    <n v="2"/>
    <s v="06H"/>
    <x v="25"/>
    <x v="8"/>
    <s v="Giáo viên"/>
    <s v="Đoàn Anh Hào"/>
    <m/>
    <x v="0"/>
  </r>
  <r>
    <n v="134"/>
    <x v="2"/>
    <n v="6"/>
    <s v="04/09/2026"/>
    <s v="Chiều"/>
    <n v="1"/>
    <s v="06C"/>
    <x v="25"/>
    <x v="9"/>
    <s v="Giáo viên"/>
    <s v="Phạm Thị Oanh"/>
    <m/>
    <x v="0"/>
  </r>
  <r>
    <n v="135"/>
    <x v="0"/>
    <n v="6"/>
    <s v="04/09/2026"/>
    <s v="Sáng"/>
    <n v="4"/>
    <s v="03C"/>
    <x v="10"/>
    <x v="34"/>
    <s v="GV Tiểu học"/>
    <s v="Trương Thị Mộng Thi"/>
    <m/>
    <x v="0"/>
  </r>
  <r>
    <n v="136"/>
    <x v="0"/>
    <n v="6"/>
    <s v="04/09/2026"/>
    <s v="Sáng"/>
    <n v="3"/>
    <s v="03C"/>
    <x v="10"/>
    <x v="34"/>
    <s v="GV Tiểu học"/>
    <s v="Nguyễn Thị Hạnh"/>
    <m/>
    <x v="0"/>
  </r>
  <r>
    <n v="137"/>
    <x v="2"/>
    <n v="6"/>
    <s v="04/09/2026"/>
    <s v="Sáng"/>
    <n v="2"/>
    <s v="06A"/>
    <x v="26"/>
    <x v="8"/>
    <s v="Giáo viên"/>
    <s v="Đoàn Anh Hào"/>
    <m/>
    <x v="0"/>
  </r>
  <r>
    <n v="138"/>
    <x v="0"/>
    <n v="6"/>
    <s v="04/09/2026"/>
    <s v="Sáng"/>
    <n v="2"/>
    <s v="03C"/>
    <x v="11"/>
    <x v="34"/>
    <s v="GV Tiểu học"/>
    <s v="Hoàng Thị Thùy Dung"/>
    <m/>
    <x v="0"/>
  </r>
  <r>
    <n v="139"/>
    <x v="2"/>
    <n v="6"/>
    <s v="04/09/2026"/>
    <s v="Sáng"/>
    <n v="1"/>
    <s v="06F"/>
    <x v="25"/>
    <x v="8"/>
    <s v="Giáo viên"/>
    <s v="Đoàn Anh Hào"/>
    <m/>
    <x v="0"/>
  </r>
  <r>
    <n v="140"/>
    <x v="0"/>
    <n v="5"/>
    <s v="03/09/2026"/>
    <s v="Chiều"/>
    <n v="4"/>
    <s v="03C"/>
    <x v="10"/>
    <x v="34"/>
    <s v="GV Tiểu học"/>
    <s v="Hoàng Thị Thùy Dung"/>
    <m/>
    <x v="0"/>
  </r>
  <r>
    <n v="141"/>
    <x v="0"/>
    <n v="5"/>
    <s v="03/09/2026"/>
    <s v="Chiều"/>
    <n v="3"/>
    <s v="03C"/>
    <x v="10"/>
    <x v="34"/>
    <s v="GV Tiểu học"/>
    <s v="Hoàng Thị Thùy Dung"/>
    <m/>
    <x v="0"/>
  </r>
  <r>
    <n v="142"/>
    <x v="0"/>
    <n v="5"/>
    <s v="03/09/2026"/>
    <s v="Chiều"/>
    <n v="1"/>
    <s v="03C"/>
    <x v="11"/>
    <x v="34"/>
    <s v="GV Tiểu học"/>
    <s v="Hoàng Thị Thùy Dung"/>
    <m/>
    <x v="0"/>
  </r>
  <r>
    <n v="143"/>
    <x v="0"/>
    <n v="5"/>
    <s v="03/09/2026"/>
    <s v="Sáng"/>
    <n v="2"/>
    <s v="03C"/>
    <x v="10"/>
    <x v="34"/>
    <s v="GV Tiểu học"/>
    <s v="Ngô Thị Tuyết Hải"/>
    <m/>
    <x v="0"/>
  </r>
  <r>
    <n v="144"/>
    <x v="0"/>
    <n v="5"/>
    <s v="03/09/2026"/>
    <s v="Sáng"/>
    <n v="1"/>
    <s v="03C"/>
    <x v="10"/>
    <x v="34"/>
    <s v="GV Tiểu học"/>
    <s v="Ngô Thị Tuyết Hải"/>
    <m/>
    <x v="0"/>
  </r>
  <r>
    <n v="1"/>
    <x v="4"/>
    <n v="2"/>
    <s v="28/09/2026"/>
    <s v="Chiều"/>
    <n v="5"/>
    <s v="26CLB-BC_D1"/>
    <x v="0"/>
    <x v="0"/>
    <s v="Giáo viên"/>
    <m/>
    <n v="1"/>
    <x v="1"/>
  </r>
  <r>
    <n v="2"/>
    <x v="4"/>
    <n v="2"/>
    <s v="28/09/2026"/>
    <s v="Chiều"/>
    <n v="4"/>
    <s v="26CLB-BD_B1"/>
    <x v="1"/>
    <x v="1"/>
    <s v="Giáo viên"/>
    <m/>
    <n v="1"/>
    <x v="1"/>
  </r>
  <r>
    <n v="3"/>
    <x v="4"/>
    <n v="2"/>
    <s v="28/09/2026"/>
    <s v="Chiều"/>
    <n v="4"/>
    <s v="26CLB-BD_A1"/>
    <x v="1"/>
    <x v="2"/>
    <s v="Giáo viên"/>
    <m/>
    <n v="1"/>
    <x v="1"/>
  </r>
  <r>
    <n v="4"/>
    <x v="1"/>
    <n v="6"/>
    <s v="25/09/2026"/>
    <s v="Chiều"/>
    <n v="3"/>
    <s v="11A"/>
    <x v="2"/>
    <x v="3"/>
    <s v="Giáo viên"/>
    <m/>
    <n v="1"/>
    <x v="1"/>
  </r>
  <r>
    <n v="5"/>
    <x v="2"/>
    <n v="5"/>
    <s v="24/09/2026"/>
    <s v="Chiều"/>
    <n v="3"/>
    <s v="06E"/>
    <x v="2"/>
    <x v="3"/>
    <s v="Giáo viên"/>
    <m/>
    <n v="1"/>
    <x v="1"/>
  </r>
  <r>
    <n v="6"/>
    <x v="4"/>
    <n v="4"/>
    <s v="23/09/2026"/>
    <s v="Chiều"/>
    <n v="5"/>
    <s v="26CLB-BC_D1"/>
    <x v="0"/>
    <x v="0"/>
    <s v="Giáo viên"/>
    <m/>
    <n v="1"/>
    <x v="1"/>
  </r>
  <r>
    <n v="7"/>
    <x v="4"/>
    <n v="4"/>
    <s v="23/09/2026"/>
    <s v="Chiều"/>
    <n v="4"/>
    <s v="26CLB-BR_B1"/>
    <x v="3"/>
    <x v="4"/>
    <s v="Giáo viên"/>
    <m/>
    <n v="1"/>
    <x v="1"/>
  </r>
  <r>
    <n v="8"/>
    <x v="4"/>
    <n v="4"/>
    <s v="23/09/2026"/>
    <s v="Chiều"/>
    <n v="4"/>
    <s v="26CLB-BD_B1"/>
    <x v="1"/>
    <x v="1"/>
    <s v="Giáo viên"/>
    <m/>
    <n v="1"/>
    <x v="1"/>
  </r>
  <r>
    <n v="9"/>
    <x v="4"/>
    <n v="4"/>
    <s v="23/09/2026"/>
    <s v="Chiều"/>
    <n v="4"/>
    <s v="26CLB-BD_A1"/>
    <x v="1"/>
    <x v="2"/>
    <s v="Giáo viên"/>
    <m/>
    <n v="1"/>
    <x v="1"/>
  </r>
  <r>
    <n v="10"/>
    <x v="4"/>
    <n v="3"/>
    <s v="22/09/2026"/>
    <s v="Chiều"/>
    <n v="5"/>
    <s v="26CLB-BD_C2"/>
    <x v="1"/>
    <x v="2"/>
    <s v="Giáo viên"/>
    <m/>
    <n v="1"/>
    <x v="1"/>
  </r>
  <r>
    <n v="11"/>
    <x v="4"/>
    <n v="3"/>
    <s v="22/09/2026"/>
    <s v="Chiều"/>
    <n v="5"/>
    <s v="26CLB-Boi_C1"/>
    <x v="4"/>
    <x v="5"/>
    <s v="Giáo viên"/>
    <m/>
    <n v="1"/>
    <x v="1"/>
  </r>
  <r>
    <n v="12"/>
    <x v="4"/>
    <n v="3"/>
    <s v="22/09/2026"/>
    <s v="Chiều"/>
    <n v="4"/>
    <s v="26CLB-Boi_B1"/>
    <x v="4"/>
    <x v="0"/>
    <s v="Giáo viên"/>
    <m/>
    <n v="1"/>
    <x v="1"/>
  </r>
  <r>
    <n v="13"/>
    <x v="4"/>
    <n v="3"/>
    <s v="22/09/2026"/>
    <s v="Chiều"/>
    <n v="4"/>
    <s v="26CLB-BD_C1"/>
    <x v="1"/>
    <x v="1"/>
    <s v="Giáo viên"/>
    <m/>
    <n v="1"/>
    <x v="1"/>
  </r>
  <r>
    <n v="14"/>
    <x v="2"/>
    <n v="2"/>
    <s v="14/09/2026"/>
    <s v="Sáng"/>
    <n v="2"/>
    <s v="06F"/>
    <x v="2"/>
    <x v="6"/>
    <m/>
    <m/>
    <n v="1"/>
    <x v="1"/>
  </r>
  <r>
    <n v="15"/>
    <x v="2"/>
    <n v="2"/>
    <s v="14/09/2026"/>
    <s v="Sáng"/>
    <n v="1"/>
    <s v="08B"/>
    <x v="2"/>
    <x v="6"/>
    <m/>
    <m/>
    <n v="1"/>
    <x v="1"/>
  </r>
  <r>
    <n v="16"/>
    <x v="4"/>
    <n v="3"/>
    <s v="08/09/2026"/>
    <s v="Chiều"/>
    <n v="4"/>
    <s v="26CLBMNLK-TA-A1-TG"/>
    <x v="5"/>
    <x v="7"/>
    <s v="GV Mầm non"/>
    <m/>
    <n v="1"/>
    <x v="1"/>
  </r>
  <r>
    <n v="17"/>
    <x v="1"/>
    <n v="6"/>
    <s v="04/09/2026"/>
    <s v="Chiều"/>
    <n v="4"/>
    <s v="10C"/>
    <x v="6"/>
    <x v="8"/>
    <s v="Giáo viên"/>
    <m/>
    <n v="1"/>
    <x v="1"/>
  </r>
  <r>
    <n v="18"/>
    <x v="1"/>
    <n v="6"/>
    <s v="04/09/2026"/>
    <s v="Chiều"/>
    <n v="4"/>
    <s v="10A"/>
    <x v="6"/>
    <x v="9"/>
    <s v="Giáo viên"/>
    <m/>
    <n v="1"/>
    <x v="1"/>
  </r>
  <r>
    <n v="19"/>
    <x v="1"/>
    <n v="6"/>
    <s v="04/09/2026"/>
    <s v="Chiều"/>
    <n v="3"/>
    <s v="10B"/>
    <x v="7"/>
    <x v="9"/>
    <s v="Giáo viên"/>
    <m/>
    <n v="1"/>
    <x v="1"/>
  </r>
  <r>
    <n v="1"/>
    <x v="1"/>
    <n v="4"/>
    <s v="30/09/2026"/>
    <s v="Chiều"/>
    <n v="4"/>
    <s v="10AV2"/>
    <x v="8"/>
    <x v="10"/>
    <s v="GV nước ngoài"/>
    <s v="Carreon Gugol Vanessa Ariane"/>
    <m/>
    <x v="1"/>
  </r>
  <r>
    <n v="2"/>
    <x v="0"/>
    <n v="4"/>
    <s v="30/09/2026"/>
    <s v="Chiều"/>
    <n v="4"/>
    <s v="04B"/>
    <x v="9"/>
    <x v="11"/>
    <s v="GV Tiểu học"/>
    <s v="Nguyễn Thị Nga"/>
    <m/>
    <x v="1"/>
  </r>
  <r>
    <n v="3"/>
    <x v="0"/>
    <n v="4"/>
    <s v="30/09/2026"/>
    <s v="Chiều"/>
    <n v="4"/>
    <s v="05A"/>
    <x v="10"/>
    <x v="12"/>
    <s v="GV Tiểu học"/>
    <s v="Phạm Lê Uyễn Nhi"/>
    <m/>
    <x v="1"/>
  </r>
  <r>
    <n v="4"/>
    <x v="1"/>
    <n v="4"/>
    <s v="30/09/2026"/>
    <s v="Chiều"/>
    <n v="3"/>
    <s v="10AV2"/>
    <x v="8"/>
    <x v="10"/>
    <s v="GV nước ngoài"/>
    <s v="Carreon Gugol Vanessa Ariane"/>
    <m/>
    <x v="1"/>
  </r>
  <r>
    <n v="5"/>
    <x v="0"/>
    <n v="4"/>
    <s v="30/09/2026"/>
    <s v="Chiều"/>
    <n v="3"/>
    <s v="04B"/>
    <x v="11"/>
    <x v="11"/>
    <s v="GV Tiểu học"/>
    <s v="Nguyễn Thị Nga"/>
    <m/>
    <x v="1"/>
  </r>
  <r>
    <n v="6"/>
    <x v="0"/>
    <n v="4"/>
    <s v="30/09/2026"/>
    <s v="Chiều"/>
    <n v="3"/>
    <s v="05A"/>
    <x v="10"/>
    <x v="12"/>
    <s v="GV Tiểu học"/>
    <s v="Thạch Thị Sa My"/>
    <m/>
    <x v="1"/>
  </r>
  <r>
    <n v="7"/>
    <x v="0"/>
    <n v="4"/>
    <s v="30/09/2026"/>
    <s v="Chiều"/>
    <n v="2"/>
    <s v="04B"/>
    <x v="10"/>
    <x v="11"/>
    <s v="GV Tiểu học"/>
    <s v="Tống Thị Lan Anh"/>
    <m/>
    <x v="1"/>
  </r>
  <r>
    <n v="8"/>
    <x v="0"/>
    <n v="4"/>
    <s v="30/09/2026"/>
    <s v="Chiều"/>
    <n v="1"/>
    <s v="04B"/>
    <x v="10"/>
    <x v="11"/>
    <s v="GV Tiểu học"/>
    <s v="Tống Thị Lan Anh"/>
    <m/>
    <x v="1"/>
  </r>
  <r>
    <n v="9"/>
    <x v="0"/>
    <n v="4"/>
    <s v="30/09/2026"/>
    <s v="Chiều"/>
    <n v="1"/>
    <s v="05A"/>
    <x v="11"/>
    <x v="12"/>
    <s v="GV Tiểu học"/>
    <s v="Đoàn Ngọc Nhi"/>
    <m/>
    <x v="1"/>
  </r>
  <r>
    <n v="10"/>
    <x v="2"/>
    <n v="4"/>
    <s v="30/09/2026"/>
    <s v="Sáng"/>
    <n v="4"/>
    <s v="06G"/>
    <x v="12"/>
    <x v="13"/>
    <s v="Giáo viên"/>
    <s v="Nguyễn Thị Thanh Thùy"/>
    <m/>
    <x v="1"/>
  </r>
  <r>
    <n v="11"/>
    <x v="2"/>
    <n v="4"/>
    <s v="30/09/2026"/>
    <s v="Sáng"/>
    <n v="3"/>
    <s v="06G"/>
    <x v="12"/>
    <x v="13"/>
    <s v="Giáo viên"/>
    <s v="Nguyễn Thị Thanh Thùy"/>
    <m/>
    <x v="1"/>
  </r>
  <r>
    <n v="12"/>
    <x v="2"/>
    <n v="4"/>
    <s v="30/09/2026"/>
    <s v="Sáng"/>
    <n v="2"/>
    <s v="06B"/>
    <x v="12"/>
    <x v="13"/>
    <s v="Giáo viên"/>
    <s v="Nguyễn Thị Thanh Thùy"/>
    <m/>
    <x v="1"/>
  </r>
  <r>
    <n v="13"/>
    <x v="2"/>
    <n v="4"/>
    <s v="30/09/2026"/>
    <s v="Sáng"/>
    <n v="1"/>
    <s v="06B"/>
    <x v="12"/>
    <x v="13"/>
    <s v="Giáo viên"/>
    <s v="Nguyễn Thị Thanh Thùy"/>
    <m/>
    <x v="1"/>
  </r>
  <r>
    <n v="14"/>
    <x v="0"/>
    <n v="3"/>
    <s v="29/09/2026"/>
    <s v="Chiều"/>
    <n v="4"/>
    <s v="05D"/>
    <x v="13"/>
    <x v="14"/>
    <s v="GV Tiểu học"/>
    <s v="Trịnh Ngọc Bảo Trân"/>
    <m/>
    <x v="1"/>
  </r>
  <r>
    <n v="15"/>
    <x v="0"/>
    <n v="3"/>
    <s v="29/09/2026"/>
    <s v="Chiều"/>
    <n v="3"/>
    <s v="05D"/>
    <x v="14"/>
    <x v="14"/>
    <s v="GV Tiểu học"/>
    <s v="Nguyễn Thị Kiều Duyên"/>
    <m/>
    <x v="1"/>
  </r>
  <r>
    <n v="16"/>
    <x v="0"/>
    <n v="3"/>
    <s v="29/09/2026"/>
    <s v="Chiều"/>
    <n v="2"/>
    <s v="05D"/>
    <x v="11"/>
    <x v="14"/>
    <s v="GV Tiểu học"/>
    <s v="Nguyễn Thị Kiều Duyên"/>
    <m/>
    <x v="1"/>
  </r>
  <r>
    <n v="17"/>
    <x v="0"/>
    <n v="3"/>
    <s v="29/09/2026"/>
    <s v="Chiều"/>
    <n v="1"/>
    <s v="05D"/>
    <x v="15"/>
    <x v="14"/>
    <s v="GV Tiểu học"/>
    <s v="Lê Thuỷ Tiên"/>
    <m/>
    <x v="1"/>
  </r>
  <r>
    <n v="18"/>
    <x v="2"/>
    <n v="3"/>
    <s v="29/09/2026"/>
    <s v="Sáng"/>
    <n v="4"/>
    <s v="06F"/>
    <x v="12"/>
    <x v="13"/>
    <s v="Giáo viên"/>
    <s v="Trần Thanh Tâm"/>
    <m/>
    <x v="1"/>
  </r>
  <r>
    <n v="19"/>
    <x v="2"/>
    <n v="3"/>
    <s v="29/09/2026"/>
    <s v="Sáng"/>
    <n v="3"/>
    <s v="06F"/>
    <x v="12"/>
    <x v="13"/>
    <s v="Giáo viên"/>
    <s v="Trần Thanh Tâm"/>
    <m/>
    <x v="1"/>
  </r>
  <r>
    <n v="20"/>
    <x v="0"/>
    <n v="3"/>
    <s v="29/09/2026"/>
    <s v="Sáng"/>
    <n v="3"/>
    <s v="05D"/>
    <x v="10"/>
    <x v="14"/>
    <s v="GV Tiểu học"/>
    <s v="Nguyễn Thị Kiều Duyên"/>
    <m/>
    <x v="1"/>
  </r>
  <r>
    <n v="21"/>
    <x v="2"/>
    <n v="3"/>
    <s v="29/09/2026"/>
    <s v="Sáng"/>
    <n v="2"/>
    <s v="06E"/>
    <x v="12"/>
    <x v="13"/>
    <s v="Giáo viên"/>
    <s v="Trần Thanh Tâm"/>
    <m/>
    <x v="1"/>
  </r>
  <r>
    <n v="22"/>
    <x v="0"/>
    <n v="3"/>
    <s v="29/09/2026"/>
    <s v="Sáng"/>
    <n v="2"/>
    <s v="03A"/>
    <x v="10"/>
    <x v="15"/>
    <s v="GV Tiểu học"/>
    <s v="Trương Thị Mộng Thi"/>
    <m/>
    <x v="1"/>
  </r>
  <r>
    <n v="23"/>
    <x v="2"/>
    <n v="3"/>
    <s v="29/09/2026"/>
    <s v="Sáng"/>
    <n v="1"/>
    <s v="06E"/>
    <x v="12"/>
    <x v="13"/>
    <s v="Giáo viên"/>
    <s v="Trần Thanh Tâm"/>
    <m/>
    <x v="1"/>
  </r>
  <r>
    <n v="24"/>
    <x v="0"/>
    <n v="3"/>
    <s v="29/09/2026"/>
    <s v="Sáng"/>
    <n v="1"/>
    <s v="03A"/>
    <x v="10"/>
    <x v="15"/>
    <s v="GV Tiểu học"/>
    <s v="Ngô Thị Tuyết Hải"/>
    <m/>
    <x v="1"/>
  </r>
  <r>
    <n v="25"/>
    <x v="2"/>
    <n v="2"/>
    <s v="28/09/2026"/>
    <s v="Chiều"/>
    <n v="4"/>
    <s v="06B"/>
    <x v="12"/>
    <x v="13"/>
    <s v="Giáo viên"/>
    <s v="Hoàng Thanh Quang"/>
    <m/>
    <x v="1"/>
  </r>
  <r>
    <n v="26"/>
    <x v="2"/>
    <n v="2"/>
    <s v="28/09/2026"/>
    <s v="Chiều"/>
    <n v="3"/>
    <s v="06B"/>
    <x v="12"/>
    <x v="13"/>
    <s v="Giáo viên"/>
    <s v="Hoàng Thanh Quang"/>
    <m/>
    <x v="1"/>
  </r>
  <r>
    <n v="27"/>
    <x v="2"/>
    <n v="2"/>
    <s v="28/09/2026"/>
    <s v="Sáng"/>
    <n v="4"/>
    <s v="06G"/>
    <x v="12"/>
    <x v="13"/>
    <s v="Giáo viên"/>
    <s v="Nguyễn Thị Thu Mai"/>
    <m/>
    <x v="1"/>
  </r>
  <r>
    <n v="28"/>
    <x v="2"/>
    <n v="2"/>
    <s v="28/09/2026"/>
    <s v="Sáng"/>
    <n v="4"/>
    <s v="07F"/>
    <x v="8"/>
    <x v="16"/>
    <s v="GV nước ngoài"/>
    <s v="Dinh Orestes"/>
    <m/>
    <x v="1"/>
  </r>
  <r>
    <n v="29"/>
    <x v="2"/>
    <n v="2"/>
    <s v="28/09/2026"/>
    <s v="Sáng"/>
    <n v="3"/>
    <s v="06G"/>
    <x v="12"/>
    <x v="13"/>
    <s v="Giáo viên"/>
    <s v="Nguyễn Thị Thu Mai"/>
    <m/>
    <x v="1"/>
  </r>
  <r>
    <n v="30"/>
    <x v="2"/>
    <n v="2"/>
    <s v="28/09/2026"/>
    <s v="Sáng"/>
    <n v="3"/>
    <s v="07F"/>
    <x v="8"/>
    <x v="16"/>
    <s v="GV nước ngoài"/>
    <s v="Dinh Orestes"/>
    <m/>
    <x v="1"/>
  </r>
  <r>
    <n v="31"/>
    <x v="1"/>
    <n v="2"/>
    <s v="28/09/2026"/>
    <s v="Sáng"/>
    <n v="2"/>
    <s v="12AV1"/>
    <x v="8"/>
    <x v="16"/>
    <s v="GV nước ngoài"/>
    <s v="Yusifova Ayla"/>
    <m/>
    <x v="1"/>
  </r>
  <r>
    <n v="32"/>
    <x v="2"/>
    <n v="2"/>
    <s v="28/09/2026"/>
    <s v="Sáng"/>
    <n v="2"/>
    <s v="06C"/>
    <x v="12"/>
    <x v="13"/>
    <s v="Giáo viên"/>
    <s v="Nguyễn Kim Bảo Khánh"/>
    <m/>
    <x v="1"/>
  </r>
  <r>
    <n v="33"/>
    <x v="1"/>
    <n v="2"/>
    <s v="28/09/2026"/>
    <s v="Sáng"/>
    <n v="1"/>
    <s v="12AV1"/>
    <x v="8"/>
    <x v="16"/>
    <s v="GV nước ngoài"/>
    <s v="Yusifova Ayla"/>
    <m/>
    <x v="1"/>
  </r>
  <r>
    <n v="34"/>
    <x v="2"/>
    <n v="2"/>
    <s v="28/09/2026"/>
    <s v="Sáng"/>
    <n v="1"/>
    <s v="06C"/>
    <x v="12"/>
    <x v="13"/>
    <s v="Giáo viên"/>
    <s v="Nguyễn Kim Bảo Khánh"/>
    <m/>
    <x v="1"/>
  </r>
  <r>
    <n v="35"/>
    <x v="2"/>
    <n v="2"/>
    <s v="28/09/2026"/>
    <s v="Sáng"/>
    <n v="1"/>
    <s v="07D"/>
    <x v="11"/>
    <x v="17"/>
    <s v="Giáo viên"/>
    <s v="Triệu Quang Vĩnh"/>
    <m/>
    <x v="1"/>
  </r>
  <r>
    <n v="36"/>
    <x v="2"/>
    <n v="6"/>
    <s v="25/09/2026"/>
    <s v="Chiều"/>
    <n v="4"/>
    <s v="06G"/>
    <x v="6"/>
    <x v="3"/>
    <s v="Giáo viên"/>
    <s v="Lê Thị Thanh Bình"/>
    <m/>
    <x v="1"/>
  </r>
  <r>
    <n v="37"/>
    <x v="2"/>
    <n v="6"/>
    <s v="25/09/2026"/>
    <s v="Chiều"/>
    <n v="2"/>
    <s v="06A"/>
    <x v="2"/>
    <x v="3"/>
    <s v="Giáo viên"/>
    <s v="Nguyễn Thị Phương Nam"/>
    <m/>
    <x v="1"/>
  </r>
  <r>
    <n v="38"/>
    <x v="2"/>
    <n v="6"/>
    <s v="25/09/2026"/>
    <s v="Chiều"/>
    <n v="1"/>
    <s v="06A"/>
    <x v="2"/>
    <x v="3"/>
    <s v="Giáo viên"/>
    <s v="Nguyễn Thị Phương Nam"/>
    <m/>
    <x v="1"/>
  </r>
  <r>
    <n v="39"/>
    <x v="2"/>
    <n v="5"/>
    <s v="24/09/2026"/>
    <s v="Chiều"/>
    <n v="1"/>
    <s v="06G"/>
    <x v="2"/>
    <x v="3"/>
    <s v="Giáo viên"/>
    <s v="Nguyễn Thị Trí"/>
    <m/>
    <x v="1"/>
  </r>
  <r>
    <n v="40"/>
    <x v="2"/>
    <n v="5"/>
    <s v="24/09/2026"/>
    <s v="Sáng"/>
    <n v="4"/>
    <s v="06A"/>
    <x v="2"/>
    <x v="3"/>
    <s v="Giáo viên"/>
    <s v="Nguyễn Thị Trí"/>
    <m/>
    <x v="1"/>
  </r>
  <r>
    <n v="41"/>
    <x v="2"/>
    <n v="5"/>
    <s v="24/09/2026"/>
    <s v="Sáng"/>
    <n v="3"/>
    <s v="06E"/>
    <x v="2"/>
    <x v="3"/>
    <s v="Giáo viên"/>
    <s v="Cao Thị Lan Hương"/>
    <m/>
    <x v="1"/>
  </r>
  <r>
    <n v="42"/>
    <x v="2"/>
    <n v="5"/>
    <s v="24/09/2026"/>
    <s v="Sáng"/>
    <n v="2"/>
    <s v="06D"/>
    <x v="2"/>
    <x v="3"/>
    <s v="Giáo viên"/>
    <s v="Cao Thị Lan Hương"/>
    <m/>
    <x v="1"/>
  </r>
  <r>
    <n v="43"/>
    <x v="2"/>
    <n v="5"/>
    <s v="24/09/2026"/>
    <s v="Sáng"/>
    <n v="1"/>
    <s v="06D"/>
    <x v="2"/>
    <x v="3"/>
    <s v="Giáo viên"/>
    <s v="Cao Thị Lan Hương"/>
    <m/>
    <x v="1"/>
  </r>
  <r>
    <n v="44"/>
    <x v="2"/>
    <n v="4"/>
    <s v="23/09/2026"/>
    <s v="Chiều"/>
    <n v="4"/>
    <s v="07C"/>
    <x v="16"/>
    <x v="18"/>
    <s v="Giáo viên"/>
    <s v="Phạm Minh Trường"/>
    <m/>
    <x v="1"/>
  </r>
  <r>
    <n v="45"/>
    <x v="2"/>
    <n v="4"/>
    <s v="23/09/2026"/>
    <s v="Chiều"/>
    <n v="2"/>
    <s v="07A"/>
    <x v="16"/>
    <x v="18"/>
    <s v="Giáo viên"/>
    <s v="Phạm Minh Trường"/>
    <m/>
    <x v="1"/>
  </r>
  <r>
    <n v="46"/>
    <x v="0"/>
    <n v="4"/>
    <s v="23/09/2026"/>
    <s v="Chiều"/>
    <n v="1"/>
    <s v="05C"/>
    <x v="16"/>
    <x v="18"/>
    <s v="Giáo viên"/>
    <s v="Phạm Minh Trường"/>
    <m/>
    <x v="1"/>
  </r>
  <r>
    <n v="47"/>
    <x v="1"/>
    <n v="4"/>
    <s v="23/09/2026"/>
    <s v="Sáng"/>
    <n v="5"/>
    <s v="12C2"/>
    <x v="17"/>
    <x v="19"/>
    <s v="Hành chính"/>
    <s v="Trần Thị Thanh Dung"/>
    <m/>
    <x v="1"/>
  </r>
  <r>
    <n v="48"/>
    <x v="0"/>
    <n v="3"/>
    <s v="22/09/2026"/>
    <s v="Chiều"/>
    <n v="2"/>
    <s v="01E"/>
    <x v="18"/>
    <x v="20"/>
    <s v="Giáo viên"/>
    <s v="Bùi Dương Thảo Vy"/>
    <m/>
    <x v="1"/>
  </r>
  <r>
    <n v="49"/>
    <x v="0"/>
    <n v="3"/>
    <s v="22/09/2026"/>
    <s v="Chiều"/>
    <n v="1"/>
    <s v="01E"/>
    <x v="18"/>
    <x v="20"/>
    <s v="Giáo viên"/>
    <s v="Bùi Dương Thảo Vy"/>
    <m/>
    <x v="1"/>
  </r>
  <r>
    <n v="50"/>
    <x v="2"/>
    <n v="3"/>
    <s v="22/09/2026"/>
    <s v="Sáng"/>
    <n v="5"/>
    <s v="09H"/>
    <x v="12"/>
    <x v="21"/>
    <s v="Giáo viên"/>
    <s v="Lưu Gia Tuệ"/>
    <m/>
    <x v="1"/>
  </r>
  <r>
    <n v="51"/>
    <x v="2"/>
    <n v="3"/>
    <s v="22/09/2026"/>
    <s v="Sáng"/>
    <n v="4"/>
    <s v="09H"/>
    <x v="12"/>
    <x v="21"/>
    <s v="Giáo viên"/>
    <s v="Lưu Gia Tuệ"/>
    <m/>
    <x v="1"/>
  </r>
  <r>
    <n v="52"/>
    <x v="0"/>
    <n v="2"/>
    <s v="21/09/2026"/>
    <s v="Chiều"/>
    <n v="4"/>
    <s v="03E"/>
    <x v="14"/>
    <x v="22"/>
    <s v="GV Tiểu học"/>
    <s v="Đào Hồng Yến Nhi"/>
    <m/>
    <x v="1"/>
  </r>
  <r>
    <n v="53"/>
    <x v="0"/>
    <n v="2"/>
    <s v="21/09/2026"/>
    <s v="Chiều"/>
    <n v="3"/>
    <s v="03E"/>
    <x v="19"/>
    <x v="22"/>
    <s v="GV Tiểu học"/>
    <s v="Đào Hồng Yến Nhi"/>
    <m/>
    <x v="1"/>
  </r>
  <r>
    <n v="54"/>
    <x v="2"/>
    <n v="2"/>
    <s v="21/09/2026"/>
    <s v="Chiều"/>
    <n v="3"/>
    <s v="09F"/>
    <x v="12"/>
    <x v="21"/>
    <s v="Giáo viên"/>
    <s v="Nguyễn Thị Thu Mai"/>
    <m/>
    <x v="1"/>
  </r>
  <r>
    <n v="55"/>
    <x v="2"/>
    <n v="2"/>
    <s v="21/09/2026"/>
    <s v="Chiều"/>
    <n v="2"/>
    <s v="09F"/>
    <x v="12"/>
    <x v="21"/>
    <s v="Giáo viên"/>
    <s v="Phạm Thị Thu Hương"/>
    <m/>
    <x v="1"/>
  </r>
  <r>
    <n v="56"/>
    <x v="1"/>
    <n v="2"/>
    <s v="21/09/2026"/>
    <s v="Sáng"/>
    <n v="5"/>
    <s v="11B2"/>
    <x v="17"/>
    <x v="23"/>
    <s v="Giáo viên"/>
    <s v="Lê Văn Hải"/>
    <m/>
    <x v="1"/>
  </r>
  <r>
    <n v="57"/>
    <x v="1"/>
    <n v="2"/>
    <s v="21/09/2026"/>
    <s v="Sáng"/>
    <n v="4"/>
    <s v="11B2"/>
    <x v="17"/>
    <x v="23"/>
    <s v="Giáo viên"/>
    <s v="Nguyễn Quốc Việt"/>
    <m/>
    <x v="1"/>
  </r>
  <r>
    <n v="58"/>
    <x v="1"/>
    <n v="2"/>
    <s v="21/09/2026"/>
    <s v="Sáng"/>
    <n v="4"/>
    <s v="12AV2"/>
    <x v="12"/>
    <x v="21"/>
    <s v="Giáo viên"/>
    <s v="Nguyễn Thị Thu Mai"/>
    <m/>
    <x v="1"/>
  </r>
  <r>
    <n v="59"/>
    <x v="2"/>
    <n v="2"/>
    <s v="21/09/2026"/>
    <s v="Sáng"/>
    <n v="4"/>
    <s v="06F"/>
    <x v="8"/>
    <x v="24"/>
    <s v="GV nước ngoài"/>
    <s v="Lopez Anne Julia Redor"/>
    <m/>
    <x v="1"/>
  </r>
  <r>
    <n v="60"/>
    <x v="0"/>
    <n v="2"/>
    <s v="21/09/2026"/>
    <s v="Sáng"/>
    <n v="4"/>
    <s v="03E"/>
    <x v="10"/>
    <x v="22"/>
    <s v="GV Tiểu học"/>
    <s v="Trương Thị Mộng Thi"/>
    <m/>
    <x v="1"/>
  </r>
  <r>
    <n v="61"/>
    <x v="1"/>
    <n v="2"/>
    <s v="21/09/2026"/>
    <s v="Sáng"/>
    <n v="3"/>
    <s v="11B2"/>
    <x v="17"/>
    <x v="23"/>
    <s v="Giáo viên"/>
    <s v="Biện Thị Kim Thắm"/>
    <m/>
    <x v="1"/>
  </r>
  <r>
    <n v="62"/>
    <x v="1"/>
    <n v="2"/>
    <s v="21/09/2026"/>
    <s v="Sáng"/>
    <n v="3"/>
    <s v="12AV2"/>
    <x v="12"/>
    <x v="21"/>
    <s v="Giáo viên"/>
    <s v="Nguyễn Thị Thu Mai"/>
    <m/>
    <x v="1"/>
  </r>
  <r>
    <n v="63"/>
    <x v="2"/>
    <n v="2"/>
    <s v="21/09/2026"/>
    <s v="Sáng"/>
    <n v="3"/>
    <s v="06F"/>
    <x v="8"/>
    <x v="24"/>
    <s v="GV nước ngoài"/>
    <s v="Lopez Anne Julia Redor"/>
    <m/>
    <x v="1"/>
  </r>
  <r>
    <n v="64"/>
    <x v="0"/>
    <n v="2"/>
    <s v="21/09/2026"/>
    <s v="Sáng"/>
    <n v="3"/>
    <s v="03E"/>
    <x v="10"/>
    <x v="22"/>
    <s v="GV Tiểu học"/>
    <s v="Trương Thị Mộng Thi"/>
    <m/>
    <x v="1"/>
  </r>
  <r>
    <n v="65"/>
    <x v="2"/>
    <n v="2"/>
    <s v="21/09/2026"/>
    <s v="Sáng"/>
    <n v="2"/>
    <s v="08D"/>
    <x v="20"/>
    <x v="23"/>
    <s v="Giáo viên"/>
    <s v="Lê Thị Hạnh"/>
    <m/>
    <x v="1"/>
  </r>
  <r>
    <n v="66"/>
    <x v="2"/>
    <n v="2"/>
    <s v="21/09/2026"/>
    <s v="Sáng"/>
    <n v="2"/>
    <s v="09H"/>
    <x v="12"/>
    <x v="21"/>
    <s v="Giáo viên"/>
    <s v="Trần Thanh Tâm"/>
    <m/>
    <x v="1"/>
  </r>
  <r>
    <n v="67"/>
    <x v="0"/>
    <n v="2"/>
    <s v="21/09/2026"/>
    <s v="Sáng"/>
    <n v="1"/>
    <s v="03E"/>
    <x v="11"/>
    <x v="22"/>
    <s v="GV Tiểu học"/>
    <s v="Trương Thị Mộng Thi"/>
    <m/>
    <x v="1"/>
  </r>
  <r>
    <n v="68"/>
    <x v="2"/>
    <n v="2"/>
    <s v="21/09/2026"/>
    <s v="Sáng"/>
    <n v="1"/>
    <s v="08D"/>
    <x v="20"/>
    <x v="23"/>
    <s v="Giáo viên"/>
    <s v="Lê Thị Hạnh"/>
    <m/>
    <x v="1"/>
  </r>
  <r>
    <n v="69"/>
    <x v="2"/>
    <n v="2"/>
    <s v="21/09/2026"/>
    <s v="Sáng"/>
    <n v="1"/>
    <s v="09H"/>
    <x v="12"/>
    <x v="21"/>
    <s v="Giáo viên"/>
    <s v="Trần Thanh Tâm"/>
    <m/>
    <x v="1"/>
  </r>
  <r>
    <n v="70"/>
    <x v="2"/>
    <n v="5"/>
    <s v="17/09/2026"/>
    <s v="Sáng"/>
    <n v="2"/>
    <s v="06B"/>
    <x v="11"/>
    <x v="25"/>
    <s v="Giáo viên"/>
    <s v="Phạm Phi Cường"/>
    <m/>
    <x v="1"/>
  </r>
  <r>
    <n v="71"/>
    <x v="2"/>
    <n v="5"/>
    <s v="17/09/2026"/>
    <s v="Sáng"/>
    <n v="1"/>
    <s v="06B"/>
    <x v="11"/>
    <x v="25"/>
    <s v="Giáo viên"/>
    <s v="Phạm Phi Cường"/>
    <m/>
    <x v="1"/>
  </r>
  <r>
    <n v="72"/>
    <x v="3"/>
    <n v="4"/>
    <s v="16/09/2026"/>
    <s v="Chiều"/>
    <n v="2"/>
    <s v="26DOLPHIN4"/>
    <x v="5"/>
    <x v="26"/>
    <s v="Thỉnh giảng"/>
    <s v="Đinh Minh Đức"/>
    <m/>
    <x v="1"/>
  </r>
  <r>
    <n v="73"/>
    <x v="3"/>
    <n v="4"/>
    <s v="16/09/2026"/>
    <s v="Chiều"/>
    <n v="1"/>
    <s v="26DOLPHIN2"/>
    <x v="5"/>
    <x v="26"/>
    <s v="Thỉnh giảng"/>
    <s v="Đinh Minh Đức"/>
    <m/>
    <x v="1"/>
  </r>
  <r>
    <n v="74"/>
    <x v="2"/>
    <n v="4"/>
    <s v="16/09/2026"/>
    <s v="Sáng"/>
    <n v="4"/>
    <s v="06H"/>
    <x v="11"/>
    <x v="27"/>
    <s v="Giáo viên"/>
    <s v="Đỗ Thị Thanh Huyền"/>
    <m/>
    <x v="1"/>
  </r>
  <r>
    <n v="75"/>
    <x v="2"/>
    <n v="4"/>
    <s v="16/09/2026"/>
    <s v="Sáng"/>
    <n v="3"/>
    <s v="06H"/>
    <x v="11"/>
    <x v="27"/>
    <s v="Giáo viên"/>
    <s v="Đỗ Thị Thanh Huyền"/>
    <m/>
    <x v="1"/>
  </r>
  <r>
    <n v="76"/>
    <x v="2"/>
    <n v="3"/>
    <s v="15/09/2026"/>
    <s v="Chiều"/>
    <n v="3"/>
    <s v="06H"/>
    <x v="11"/>
    <x v="27"/>
    <s v="Giáo viên"/>
    <s v="Phạm Phi Cường"/>
    <m/>
    <x v="1"/>
  </r>
  <r>
    <n v="77"/>
    <x v="1"/>
    <n v="3"/>
    <s v="15/09/2026"/>
    <s v="Chiều"/>
    <n v="2"/>
    <s v="12B"/>
    <x v="11"/>
    <x v="27"/>
    <s v="Giáo viên"/>
    <s v="Phạm Phi Cường"/>
    <m/>
    <x v="1"/>
  </r>
  <r>
    <n v="78"/>
    <x v="1"/>
    <n v="3"/>
    <s v="15/09/2026"/>
    <s v="Chiều"/>
    <n v="1"/>
    <s v="12B"/>
    <x v="11"/>
    <x v="27"/>
    <s v="Giáo viên"/>
    <s v="Phạm Phi Cường"/>
    <m/>
    <x v="1"/>
  </r>
  <r>
    <n v="79"/>
    <x v="1"/>
    <n v="3"/>
    <s v="15/09/2026"/>
    <s v="Sáng"/>
    <n v="5"/>
    <s v="12C2"/>
    <x v="21"/>
    <x v="27"/>
    <s v="Giáo viên"/>
    <s v="Hà Thị Hằng"/>
    <m/>
    <x v="1"/>
  </r>
  <r>
    <n v="80"/>
    <x v="1"/>
    <n v="3"/>
    <s v="15/09/2026"/>
    <s v="Sáng"/>
    <n v="4"/>
    <s v="12C"/>
    <x v="11"/>
    <x v="27"/>
    <s v="Giáo viên"/>
    <s v="Phạm Phi Cường"/>
    <m/>
    <x v="1"/>
  </r>
  <r>
    <n v="81"/>
    <x v="2"/>
    <n v="3"/>
    <s v="15/09/2026"/>
    <s v="Sáng"/>
    <n v="2"/>
    <s v="06A"/>
    <x v="11"/>
    <x v="27"/>
    <s v="Giáo viên"/>
    <s v="Phạm Phi Cường"/>
    <m/>
    <x v="1"/>
  </r>
  <r>
    <n v="82"/>
    <x v="2"/>
    <n v="3"/>
    <s v="15/09/2026"/>
    <s v="Sáng"/>
    <n v="1"/>
    <s v="06A"/>
    <x v="11"/>
    <x v="27"/>
    <s v="Giáo viên"/>
    <s v="Hà Thị Hằng"/>
    <m/>
    <x v="1"/>
  </r>
  <r>
    <n v="83"/>
    <x v="2"/>
    <n v="2"/>
    <s v="14/09/2026"/>
    <s v="Sáng"/>
    <n v="4"/>
    <s v="08A"/>
    <x v="2"/>
    <x v="6"/>
    <m/>
    <s v="Nguyễn Thị Mai"/>
    <m/>
    <x v="1"/>
  </r>
  <r>
    <n v="84"/>
    <x v="2"/>
    <n v="6"/>
    <s v="11/09/2026"/>
    <s v="Chiều"/>
    <n v="4"/>
    <s v="09E"/>
    <x v="6"/>
    <x v="17"/>
    <s v="Giáo viên"/>
    <s v="Lê Thị Thúy Hằng"/>
    <m/>
    <x v="1"/>
  </r>
  <r>
    <n v="85"/>
    <x v="2"/>
    <n v="6"/>
    <s v="11/09/2026"/>
    <s v="Chiều"/>
    <n v="3"/>
    <s v="07D"/>
    <x v="11"/>
    <x v="17"/>
    <s v="Giáo viên"/>
    <s v="Lê Thị Thúy Hằng"/>
    <m/>
    <x v="1"/>
  </r>
  <r>
    <n v="86"/>
    <x v="2"/>
    <n v="6"/>
    <s v="11/09/2026"/>
    <s v="Chiều"/>
    <n v="3"/>
    <s v="09A"/>
    <x v="22"/>
    <x v="28"/>
    <s v="Giáo viên"/>
    <s v="Trần Quốc Dũng"/>
    <m/>
    <x v="1"/>
  </r>
  <r>
    <n v="87"/>
    <x v="2"/>
    <n v="6"/>
    <s v="11/09/2026"/>
    <s v="Chiều"/>
    <n v="2"/>
    <s v="09E"/>
    <x v="11"/>
    <x v="17"/>
    <s v="Giáo viên"/>
    <s v="Lê Thị Thúy Hằng"/>
    <m/>
    <x v="1"/>
  </r>
  <r>
    <n v="88"/>
    <x v="2"/>
    <n v="6"/>
    <s v="11/09/2026"/>
    <s v="Chiều"/>
    <n v="1"/>
    <s v="09E"/>
    <x v="22"/>
    <x v="28"/>
    <s v="Giáo viên"/>
    <s v="Nguyễn Xuân Hưng"/>
    <m/>
    <x v="1"/>
  </r>
  <r>
    <n v="89"/>
    <x v="2"/>
    <n v="6"/>
    <s v="11/09/2026"/>
    <s v="Sáng"/>
    <n v="4"/>
    <s v="06H"/>
    <x v="15"/>
    <x v="29"/>
    <s v="Giáo viên"/>
    <s v="Lê Thị Thanh Thủy"/>
    <m/>
    <x v="1"/>
  </r>
  <r>
    <n v="90"/>
    <x v="0"/>
    <n v="5"/>
    <s v="10/09/2026"/>
    <s v="Chiều"/>
    <n v="4"/>
    <s v="03A"/>
    <x v="19"/>
    <x v="15"/>
    <s v="GV Tiểu học"/>
    <s v="Ngô Thị Tuyết Hải"/>
    <m/>
    <x v="1"/>
  </r>
  <r>
    <n v="91"/>
    <x v="0"/>
    <n v="5"/>
    <s v="10/09/2026"/>
    <s v="Chiều"/>
    <n v="3"/>
    <s v="03A"/>
    <x v="10"/>
    <x v="15"/>
    <s v="GV Tiểu học"/>
    <s v="Nguyễn Thị Hạnh"/>
    <m/>
    <x v="1"/>
  </r>
  <r>
    <n v="92"/>
    <x v="0"/>
    <n v="5"/>
    <s v="10/09/2026"/>
    <s v="Chiều"/>
    <n v="2"/>
    <s v="03A"/>
    <x v="15"/>
    <x v="15"/>
    <s v="GV Tiểu học"/>
    <s v="Ngô Thị Tuyết Hải"/>
    <m/>
    <x v="1"/>
  </r>
  <r>
    <n v="93"/>
    <x v="0"/>
    <n v="5"/>
    <s v="10/09/2026"/>
    <s v="Sáng"/>
    <n v="1"/>
    <s v="03A"/>
    <x v="11"/>
    <x v="15"/>
    <s v="GV Tiểu học"/>
    <s v="Võ Hoàng Anh"/>
    <m/>
    <x v="1"/>
  </r>
  <r>
    <n v="94"/>
    <x v="0"/>
    <n v="4"/>
    <s v="09/09/2026"/>
    <s v="Chiều"/>
    <n v="4"/>
    <s v="05D"/>
    <x v="18"/>
    <x v="30"/>
    <s v="Giáo viên"/>
    <s v="Chiêm Thu Hương"/>
    <m/>
    <x v="1"/>
  </r>
  <r>
    <n v="95"/>
    <x v="2"/>
    <n v="4"/>
    <s v="09/09/2026"/>
    <s v="Chiều"/>
    <n v="4"/>
    <s v="08A"/>
    <x v="20"/>
    <x v="31"/>
    <s v="Giáo viên"/>
    <s v="Nguyễn Mai Khanh"/>
    <m/>
    <x v="1"/>
  </r>
  <r>
    <n v="96"/>
    <x v="0"/>
    <n v="4"/>
    <s v="09/09/2026"/>
    <s v="Chiều"/>
    <n v="3"/>
    <s v="05D"/>
    <x v="18"/>
    <x v="30"/>
    <s v="Giáo viên"/>
    <s v="Chiêm Thu Hương"/>
    <m/>
    <x v="1"/>
  </r>
  <r>
    <n v="97"/>
    <x v="2"/>
    <n v="4"/>
    <s v="09/09/2026"/>
    <s v="Chiều"/>
    <n v="3"/>
    <s v="08A"/>
    <x v="20"/>
    <x v="31"/>
    <s v="Giáo viên"/>
    <s v="Nguyễn Mai Khanh"/>
    <m/>
    <x v="1"/>
  </r>
  <r>
    <n v="98"/>
    <x v="1"/>
    <n v="4"/>
    <s v="09/09/2026"/>
    <s v="Chiều"/>
    <n v="2"/>
    <s v="12AV2"/>
    <x v="12"/>
    <x v="21"/>
    <s v="Giáo viên"/>
    <s v="Nguyễn Thị Thu Mai"/>
    <m/>
    <x v="1"/>
  </r>
  <r>
    <n v="99"/>
    <x v="1"/>
    <n v="4"/>
    <s v="09/09/2026"/>
    <s v="Chiều"/>
    <n v="2"/>
    <s v="10B"/>
    <x v="23"/>
    <x v="31"/>
    <s v="Giáo viên"/>
    <s v="Lê Văn Hải"/>
    <m/>
    <x v="1"/>
  </r>
  <r>
    <n v="100"/>
    <x v="0"/>
    <n v="4"/>
    <s v="09/09/2026"/>
    <s v="Chiều"/>
    <n v="2"/>
    <s v="05B"/>
    <x v="18"/>
    <x v="30"/>
    <s v="Giáo viên"/>
    <s v="Ngô Phạm Ngọc Điệp"/>
    <m/>
    <x v="1"/>
  </r>
  <r>
    <n v="101"/>
    <x v="1"/>
    <n v="4"/>
    <s v="09/09/2026"/>
    <s v="Chiều"/>
    <n v="1"/>
    <s v="12AV2"/>
    <x v="12"/>
    <x v="21"/>
    <s v="Giáo viên"/>
    <s v="Nguyễn Thị Thu Mai"/>
    <m/>
    <x v="1"/>
  </r>
  <r>
    <n v="102"/>
    <x v="0"/>
    <n v="4"/>
    <s v="09/09/2026"/>
    <s v="Chiều"/>
    <n v="1"/>
    <s v="05B"/>
    <x v="18"/>
    <x v="30"/>
    <s v="Giáo viên"/>
    <s v="Ngô Phạm Ngọc Điệp"/>
    <m/>
    <x v="1"/>
  </r>
  <r>
    <n v="103"/>
    <x v="0"/>
    <n v="4"/>
    <s v="09/09/2026"/>
    <s v="Sáng"/>
    <n v="4"/>
    <s v="05C"/>
    <x v="18"/>
    <x v="30"/>
    <s v="Giáo viên"/>
    <s v="Chiêm Thu Hương"/>
    <m/>
    <x v="1"/>
  </r>
  <r>
    <n v="104"/>
    <x v="0"/>
    <n v="4"/>
    <s v="09/09/2026"/>
    <s v="Sáng"/>
    <n v="3"/>
    <s v="05C"/>
    <x v="18"/>
    <x v="30"/>
    <s v="Giáo viên"/>
    <s v="Chiêm Thu Hương"/>
    <m/>
    <x v="1"/>
  </r>
  <r>
    <n v="105"/>
    <x v="0"/>
    <n v="3"/>
    <s v="08/09/2026"/>
    <s v="Chiều"/>
    <n v="2"/>
    <s v="05E"/>
    <x v="18"/>
    <x v="30"/>
    <s v="Giáo viên"/>
    <s v="Bùi Dương Thảo Vy"/>
    <m/>
    <x v="1"/>
  </r>
  <r>
    <n v="106"/>
    <x v="0"/>
    <n v="3"/>
    <s v="08/09/2026"/>
    <s v="Chiều"/>
    <n v="1"/>
    <s v="05E"/>
    <x v="18"/>
    <x v="30"/>
    <s v="Giáo viên"/>
    <s v="Bùi Dương Thảo Vy"/>
    <m/>
    <x v="1"/>
  </r>
  <r>
    <n v="107"/>
    <x v="0"/>
    <n v="3"/>
    <s v="08/09/2026"/>
    <s v="Sáng"/>
    <n v="4"/>
    <s v="05C"/>
    <x v="18"/>
    <x v="30"/>
    <s v="Giáo viên"/>
    <s v="Chiêm Thu Hương"/>
    <m/>
    <x v="1"/>
  </r>
  <r>
    <n v="108"/>
    <x v="0"/>
    <n v="3"/>
    <s v="08/09/2026"/>
    <s v="Sáng"/>
    <n v="3"/>
    <s v="05C"/>
    <x v="18"/>
    <x v="30"/>
    <s v="Giáo viên"/>
    <s v="Chiêm Thu Hương"/>
    <m/>
    <x v="1"/>
  </r>
  <r>
    <n v="109"/>
    <x v="2"/>
    <n v="2"/>
    <s v="07/09/2026"/>
    <s v="Chiều"/>
    <n v="4"/>
    <s v="07F"/>
    <x v="11"/>
    <x v="17"/>
    <s v="Giáo viên"/>
    <s v="Trần Văn Hạnh"/>
    <m/>
    <x v="1"/>
  </r>
  <r>
    <n v="110"/>
    <x v="2"/>
    <n v="2"/>
    <s v="07/09/2026"/>
    <s v="Chiều"/>
    <n v="3"/>
    <s v="07F"/>
    <x v="11"/>
    <x v="17"/>
    <s v="Giáo viên"/>
    <s v="Nguyễn Hoài Giang"/>
    <m/>
    <x v="1"/>
  </r>
  <r>
    <n v="111"/>
    <x v="2"/>
    <n v="2"/>
    <s v="07/09/2026"/>
    <s v="Sáng"/>
    <n v="2"/>
    <s v="06D"/>
    <x v="12"/>
    <x v="32"/>
    <s v="Giáo viên"/>
    <s v="Lưu Gia Tuệ"/>
    <m/>
    <x v="1"/>
  </r>
  <r>
    <n v="112"/>
    <x v="2"/>
    <n v="2"/>
    <s v="07/09/2026"/>
    <s v="Sáng"/>
    <n v="1"/>
    <s v="06D"/>
    <x v="12"/>
    <x v="32"/>
    <s v="Giáo viên"/>
    <s v="Lưu Gia Tuệ"/>
    <m/>
    <x v="1"/>
  </r>
  <r>
    <n v="113"/>
    <x v="2"/>
    <n v="7"/>
    <s v="05/09/2026"/>
    <s v="Chiều"/>
    <n v="3"/>
    <s v="09E"/>
    <x v="24"/>
    <x v="33"/>
    <s v="Giáo viên"/>
    <s v="Nguyễn Khánh Huyền"/>
    <m/>
    <x v="1"/>
  </r>
  <r>
    <n v="114"/>
    <x v="2"/>
    <n v="6"/>
    <s v="04/09/2026"/>
    <s v="Chiều"/>
    <n v="2"/>
    <s v="06H"/>
    <x v="25"/>
    <x v="8"/>
    <s v="Giáo viên"/>
    <s v="Đoàn Anh Hào"/>
    <m/>
    <x v="1"/>
  </r>
  <r>
    <n v="115"/>
    <x v="2"/>
    <n v="6"/>
    <s v="04/09/2026"/>
    <s v="Chiều"/>
    <n v="1"/>
    <s v="06C"/>
    <x v="25"/>
    <x v="9"/>
    <s v="Giáo viên"/>
    <s v="Phạm Thị Oanh"/>
    <m/>
    <x v="1"/>
  </r>
  <r>
    <n v="116"/>
    <x v="0"/>
    <n v="6"/>
    <s v="04/09/2026"/>
    <s v="Sáng"/>
    <n v="4"/>
    <s v="03C"/>
    <x v="10"/>
    <x v="34"/>
    <s v="GV Tiểu học"/>
    <s v="Trương Thị Mộng Thi"/>
    <m/>
    <x v="1"/>
  </r>
  <r>
    <n v="117"/>
    <x v="0"/>
    <n v="6"/>
    <s v="04/09/2026"/>
    <s v="Sáng"/>
    <n v="3"/>
    <s v="03C"/>
    <x v="10"/>
    <x v="34"/>
    <s v="GV Tiểu học"/>
    <s v="Nguyễn Thị Hạnh"/>
    <m/>
    <x v="1"/>
  </r>
  <r>
    <n v="118"/>
    <x v="2"/>
    <n v="6"/>
    <s v="04/09/2026"/>
    <s v="Sáng"/>
    <n v="2"/>
    <s v="06A"/>
    <x v="26"/>
    <x v="8"/>
    <s v="Giáo viên"/>
    <s v="Đoàn Anh Hào"/>
    <m/>
    <x v="1"/>
  </r>
  <r>
    <n v="119"/>
    <x v="0"/>
    <n v="6"/>
    <s v="04/09/2026"/>
    <s v="Sáng"/>
    <n v="2"/>
    <s v="03C"/>
    <x v="11"/>
    <x v="34"/>
    <s v="GV Tiểu học"/>
    <s v="Hoàng Thị Thùy Dung"/>
    <m/>
    <x v="1"/>
  </r>
  <r>
    <n v="120"/>
    <x v="2"/>
    <n v="6"/>
    <s v="04/09/2026"/>
    <s v="Sáng"/>
    <n v="1"/>
    <s v="06F"/>
    <x v="25"/>
    <x v="8"/>
    <s v="Giáo viên"/>
    <s v="Đoàn Anh Hào"/>
    <m/>
    <x v="1"/>
  </r>
  <r>
    <n v="121"/>
    <x v="0"/>
    <n v="5"/>
    <s v="03/09/2026"/>
    <s v="Chiều"/>
    <n v="4"/>
    <s v="03C"/>
    <x v="10"/>
    <x v="34"/>
    <s v="GV Tiểu học"/>
    <s v="Hoàng Thị Thùy Dung"/>
    <m/>
    <x v="1"/>
  </r>
  <r>
    <n v="122"/>
    <x v="0"/>
    <n v="5"/>
    <s v="03/09/2026"/>
    <s v="Chiều"/>
    <n v="3"/>
    <s v="03C"/>
    <x v="10"/>
    <x v="34"/>
    <s v="GV Tiểu học"/>
    <s v="Hoàng Thị Thùy Dung"/>
    <m/>
    <x v="1"/>
  </r>
  <r>
    <n v="123"/>
    <x v="0"/>
    <n v="5"/>
    <s v="03/09/2026"/>
    <s v="Chiều"/>
    <n v="1"/>
    <s v="03C"/>
    <x v="11"/>
    <x v="34"/>
    <s v="GV Tiểu học"/>
    <s v="Hoàng Thị Thùy Dung"/>
    <m/>
    <x v="1"/>
  </r>
  <r>
    <n v="124"/>
    <x v="0"/>
    <n v="5"/>
    <s v="03/09/2026"/>
    <s v="Sáng"/>
    <n v="2"/>
    <s v="03C"/>
    <x v="10"/>
    <x v="34"/>
    <s v="GV Tiểu học"/>
    <s v="Ngô Thị Tuyết Hải"/>
    <m/>
    <x v="1"/>
  </r>
  <r>
    <n v="125"/>
    <x v="0"/>
    <n v="5"/>
    <s v="03/09/2026"/>
    <s v="Sáng"/>
    <n v="1"/>
    <s v="03C"/>
    <x v="10"/>
    <x v="34"/>
    <s v="GV Tiểu học"/>
    <s v="Ngô Thị Tuyết Hải"/>
    <m/>
    <x v="1"/>
  </r>
  <r>
    <m/>
    <x v="4"/>
    <m/>
    <m/>
    <m/>
    <m/>
    <m/>
    <x v="27"/>
    <x v="35"/>
    <m/>
    <m/>
    <m/>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5">
  <r>
    <s v="NV0001104"/>
    <x v="0"/>
    <x v="0"/>
    <x v="0"/>
    <s v="Nhân sự giải quyết phép năm tồn "/>
    <n v="1"/>
    <s v="31/08/2026"/>
    <s v="31/08/2026"/>
    <x v="0"/>
    <s v=""/>
  </r>
  <r>
    <s v="NV0000080"/>
    <x v="1"/>
    <x v="1"/>
    <x v="0"/>
    <s v=""/>
    <n v="0.5"/>
    <s v="29/08/2026"/>
    <s v="29/08/2026"/>
    <x v="0"/>
    <s v="Sáng"/>
  </r>
  <r>
    <s v="NV0000108"/>
    <x v="2"/>
    <x v="2"/>
    <x v="1"/>
    <s v=""/>
    <n v="0.5"/>
    <s v="29/08/2026"/>
    <s v="29/08/2026"/>
    <x v="0"/>
    <s v="Sáng"/>
  </r>
  <r>
    <s v="NV0000242"/>
    <x v="3"/>
    <x v="1"/>
    <x v="0"/>
    <s v=""/>
    <n v="0.5"/>
    <s v="29/08/2026"/>
    <s v="29/08/2026"/>
    <x v="0"/>
    <s v="Chiều"/>
  </r>
  <r>
    <s v="NV0001199"/>
    <x v="4"/>
    <x v="3"/>
    <x v="1"/>
    <s v=""/>
    <n v="1"/>
    <s v="28/08/2026"/>
    <s v="28/08/2026"/>
    <x v="0"/>
    <s v=""/>
  </r>
  <r>
    <s v="NV0000145"/>
    <x v="5"/>
    <x v="4"/>
    <x v="0"/>
    <s v="Ứng phép của nảm 26-27"/>
    <n v="0.5"/>
    <s v="28/08/2026"/>
    <s v="28/08/2026"/>
    <x v="0"/>
    <s v="Sáng"/>
  </r>
  <r>
    <s v="NV0000197"/>
    <x v="6"/>
    <x v="5"/>
    <x v="0"/>
    <s v="Chăm má sau phẫu thuật "/>
    <n v="1"/>
    <s v="28/08/2026"/>
    <s v="28/08/2026"/>
    <x v="0"/>
    <s v=""/>
  </r>
  <r>
    <s v="NV0000368"/>
    <x v="7"/>
    <x v="6"/>
    <x v="0"/>
    <s v=""/>
    <n v="0.5"/>
    <s v="28/08/2026"/>
    <s v="28/08/2026"/>
    <x v="0"/>
    <s v="Chiều"/>
  </r>
  <r>
    <s v="NV0000379"/>
    <x v="8"/>
    <x v="2"/>
    <x v="2"/>
    <s v="NS"/>
    <n v="1"/>
    <s v="28/08/2026"/>
    <s v="28/08/2026"/>
    <x v="0"/>
    <s v=""/>
  </r>
  <r>
    <s v="NV0000928"/>
    <x v="9"/>
    <x v="7"/>
    <x v="1"/>
    <s v="NS"/>
    <n v="1"/>
    <s v="28/08/2026"/>
    <s v="28/08/2026"/>
    <x v="0"/>
    <s v=""/>
  </r>
  <r>
    <s v="NV0000902"/>
    <x v="10"/>
    <x v="8"/>
    <x v="2"/>
    <s v=""/>
    <n v="1"/>
    <s v="28/08/2026"/>
    <s v="28/08/2026"/>
    <x v="0"/>
    <s v=""/>
  </r>
  <r>
    <s v="NV0001272"/>
    <x v="11"/>
    <x v="9"/>
    <x v="0"/>
    <s v=""/>
    <n v="1"/>
    <s v="28/08/2026"/>
    <s v="28/08/2026"/>
    <x v="0"/>
    <s v=""/>
  </r>
  <r>
    <s v="NV0000902"/>
    <x v="10"/>
    <x v="8"/>
    <x v="1"/>
    <s v=""/>
    <n v="1"/>
    <s v="27/08/2026"/>
    <s v="27/08/2026"/>
    <x v="0"/>
    <s v=""/>
  </r>
  <r>
    <s v="NV0001089"/>
    <x v="12"/>
    <x v="3"/>
    <x v="1"/>
    <s v="Đi khám răng "/>
    <n v="0.5"/>
    <s v="27/08/2026"/>
    <s v="27/08/2026"/>
    <x v="0"/>
    <s v="Chiều"/>
  </r>
  <r>
    <s v="NV0000122"/>
    <x v="13"/>
    <x v="10"/>
    <x v="0"/>
    <s v=""/>
    <n v="0.5"/>
    <s v="27/08/2026"/>
    <s v="27/08/2026"/>
    <x v="0"/>
    <s v="Chiều"/>
  </r>
  <r>
    <s v="NV0001374"/>
    <x v="14"/>
    <x v="4"/>
    <x v="1"/>
    <s v=""/>
    <n v="1"/>
    <s v="27/08/2026"/>
    <s v="27/08/2026"/>
    <x v="0"/>
    <s v=""/>
  </r>
  <r>
    <s v="NV0001073"/>
    <x v="15"/>
    <x v="11"/>
    <x v="0"/>
    <s v="Đăng kí nghỉ phép cả ngày 27/8/2026"/>
    <n v="1"/>
    <s v="27/08/2026"/>
    <s v="27/08/2026"/>
    <x v="0"/>
    <s v=""/>
  </r>
  <r>
    <s v="NV0001287"/>
    <x v="16"/>
    <x v="11"/>
    <x v="0"/>
    <s v=""/>
    <n v="1"/>
    <s v="27/08/2026"/>
    <s v="27/08/2026"/>
    <x v="0"/>
    <s v=""/>
  </r>
  <r>
    <s v="NV0000012"/>
    <x v="17"/>
    <x v="0"/>
    <x v="0"/>
    <s v="Nhân sự giải quyết phép nghỉ việc T7&amp;T8/2026"/>
    <n v="2"/>
    <s v="27/08/2026"/>
    <s v="28/08/2026"/>
    <x v="0"/>
    <s v=""/>
  </r>
  <r>
    <s v="NV0000924"/>
    <x v="18"/>
    <x v="10"/>
    <x v="0"/>
    <s v=""/>
    <n v="0.5"/>
    <s v="27/08/2026"/>
    <s v="27/08/2026"/>
    <x v="0"/>
    <s v="Sáng"/>
  </r>
  <r>
    <s v="NV0000792"/>
    <x v="19"/>
    <x v="12"/>
    <x v="0"/>
    <s v="Làm việc tại nhà"/>
    <n v="1"/>
    <s v="27/08/2026"/>
    <s v="27/08/2026"/>
    <x v="0"/>
    <s v=""/>
  </r>
  <r>
    <s v="NV0000226"/>
    <x v="20"/>
    <x v="4"/>
    <x v="0"/>
    <s v=""/>
    <n v="0.5"/>
    <s v="27/08/2026"/>
    <s v="27/08/2026"/>
    <x v="0"/>
    <s v="Chiều"/>
  </r>
  <r>
    <s v="NV0001306"/>
    <x v="21"/>
    <x v="13"/>
    <x v="3"/>
    <s v="Làm việc tại nhà."/>
    <n v="1"/>
    <s v="27/08/2026"/>
    <s v="27/08/2026"/>
    <x v="0"/>
    <s v=""/>
  </r>
  <r>
    <s v="NV0000904"/>
    <x v="22"/>
    <x v="3"/>
    <x v="4"/>
    <s v=""/>
    <n v="0.5"/>
    <s v="27/08/2026"/>
    <s v="27/08/2026"/>
    <x v="0"/>
    <s v="Chiều"/>
  </r>
  <r>
    <s v="NV0001396"/>
    <x v="23"/>
    <x v="0"/>
    <x v="2"/>
    <s v=""/>
    <n v="2"/>
    <s v="27/08/2026"/>
    <s v="28/08/2026"/>
    <x v="0"/>
    <s v=""/>
  </r>
  <r>
    <s v="NV0001292"/>
    <x v="24"/>
    <x v="4"/>
    <x v="5"/>
    <s v=""/>
    <n v="1"/>
    <s v="27/08/2026"/>
    <s v="27/08/2026"/>
    <x v="0"/>
    <s v=""/>
  </r>
  <r>
    <s v="NV0000337"/>
    <x v="25"/>
    <x v="14"/>
    <x v="0"/>
    <s v=""/>
    <n v="0.5"/>
    <s v="27/08/2026"/>
    <s v="27/08/2026"/>
    <x v="0"/>
    <s v="Sáng"/>
  </r>
  <r>
    <s v="NV0000197"/>
    <x v="6"/>
    <x v="5"/>
    <x v="0"/>
    <s v="Bận việc gđ"/>
    <n v="1"/>
    <s v="27/08/2026"/>
    <s v="27/08/2026"/>
    <x v="0"/>
    <s v=""/>
  </r>
  <r>
    <s v="NV0000037"/>
    <x v="26"/>
    <x v="15"/>
    <x v="3"/>
    <s v="Tập huấn lý luận chính trị hè năm 2026"/>
    <n v="2"/>
    <s v="27/08/2026"/>
    <s v="28/08/2026"/>
    <x v="0"/>
    <s v=""/>
  </r>
  <r>
    <s v="NV0000069"/>
    <x v="27"/>
    <x v="16"/>
    <x v="0"/>
    <s v=""/>
    <n v="1"/>
    <s v="27/08/2026"/>
    <s v="27/08/2026"/>
    <x v="0"/>
    <s v=""/>
  </r>
  <r>
    <s v="NV0001390"/>
    <x v="28"/>
    <x v="9"/>
    <x v="0"/>
    <s v=""/>
    <n v="0.5"/>
    <s v="27/08/2026"/>
    <s v="27/08/2026"/>
    <x v="0"/>
    <s v="Sáng"/>
  </r>
  <r>
    <s v="NV0000009"/>
    <x v="29"/>
    <x v="13"/>
    <x v="0"/>
    <s v="Chăm con nằm viện"/>
    <n v="2"/>
    <s v="26/08/2026"/>
    <s v="27/08/2026"/>
    <x v="0"/>
    <s v=""/>
  </r>
  <r>
    <s v="NV0000976"/>
    <x v="30"/>
    <x v="4"/>
    <x v="1"/>
    <s v=""/>
    <n v="0.5"/>
    <s v="26/08/2026"/>
    <s v="26/08/2026"/>
    <x v="0"/>
    <s v="Sáng"/>
  </r>
  <r>
    <s v="NV0000659"/>
    <x v="31"/>
    <x v="9"/>
    <x v="0"/>
    <s v=""/>
    <n v="0.5"/>
    <s v="26/08/2026"/>
    <s v="26/08/2026"/>
    <x v="0"/>
    <s v="Chiều"/>
  </r>
  <r>
    <s v="NV0000155"/>
    <x v="32"/>
    <x v="16"/>
    <x v="6"/>
    <s v="Nhà có tang"/>
    <n v="3"/>
    <s v="26/08/2026"/>
    <s v="28/08/2026"/>
    <x v="0"/>
    <s v=""/>
  </r>
  <r>
    <s v="NV0000382"/>
    <x v="33"/>
    <x v="7"/>
    <x v="0"/>
    <s v=""/>
    <n v="1"/>
    <s v="26/08/2026"/>
    <s v="26/08/2026"/>
    <x v="0"/>
    <s v=""/>
  </r>
  <r>
    <s v="NV0001287"/>
    <x v="16"/>
    <x v="11"/>
    <x v="0"/>
    <s v=""/>
    <n v="0.5"/>
    <s v="26/08/2026"/>
    <s v="26/08/2026"/>
    <x v="0"/>
    <s v="Chiều"/>
  </r>
  <r>
    <s v="NV0001150"/>
    <x v="34"/>
    <x v="16"/>
    <x v="0"/>
    <s v=""/>
    <n v="0.5"/>
    <s v="26/08/2026"/>
    <s v="26/08/2026"/>
    <x v="0"/>
    <s v="Chiều"/>
  </r>
  <r>
    <s v="NV0000712"/>
    <x v="35"/>
    <x v="8"/>
    <x v="5"/>
    <s v=""/>
    <n v="3"/>
    <s v="26/08/2026"/>
    <s v="28/08/2026"/>
    <x v="0"/>
    <s v=""/>
  </r>
  <r>
    <s v="NV0000978"/>
    <x v="36"/>
    <x v="11"/>
    <x v="1"/>
    <s v=""/>
    <n v="1"/>
    <s v="26/08/2026"/>
    <s v="26/08/2026"/>
    <x v="0"/>
    <s v=""/>
  </r>
  <r>
    <s v="NV0000810"/>
    <x v="37"/>
    <x v="17"/>
    <x v="5"/>
    <s v="Nghỉ dưỡng sức sau sinh "/>
    <n v="5"/>
    <s v="25/08/2026"/>
    <s v="29/08/2026"/>
    <x v="0"/>
    <s v=""/>
  </r>
  <r>
    <s v="NV0000712"/>
    <x v="35"/>
    <x v="8"/>
    <x v="0"/>
    <s v=""/>
    <n v="1"/>
    <s v="25/08/2026"/>
    <s v="25/08/2026"/>
    <x v="0"/>
    <s v=""/>
  </r>
  <r>
    <s v="NV0001260"/>
    <x v="38"/>
    <x v="4"/>
    <x v="5"/>
    <s v=""/>
    <n v="1"/>
    <s v="25/08/2026"/>
    <s v="25/08/2026"/>
    <x v="0"/>
    <s v=""/>
  </r>
  <r>
    <s v="NV0000165"/>
    <x v="39"/>
    <x v="10"/>
    <x v="0"/>
    <s v="Phép năm (phép cũ)"/>
    <n v="0.5"/>
    <s v="25/08/2026"/>
    <s v="25/08/2026"/>
    <x v="0"/>
    <s v="Chiều"/>
  </r>
  <r>
    <s v="NV0001230"/>
    <x v="40"/>
    <x v="14"/>
    <x v="1"/>
    <s v=""/>
    <n v="1"/>
    <s v="25/08/2026"/>
    <s v="25/08/2026"/>
    <x v="0"/>
    <s v=""/>
  </r>
  <r>
    <s v="NV0001060"/>
    <x v="41"/>
    <x v="9"/>
    <x v="0"/>
    <s v=""/>
    <n v="0.5"/>
    <s v="25/08/2026"/>
    <s v="25/08/2026"/>
    <x v="0"/>
    <s v="Sáng"/>
  </r>
  <r>
    <s v="NV0001375"/>
    <x v="42"/>
    <x v="9"/>
    <x v="0"/>
    <s v="Kính gửi chị Hoa, em xin nghỉ phép vì bị bệnh"/>
    <n v="1"/>
    <s v="25/08/2026"/>
    <s v="25/08/2026"/>
    <x v="0"/>
    <s v=""/>
  </r>
  <r>
    <s v="NV0000155"/>
    <x v="32"/>
    <x v="16"/>
    <x v="0"/>
    <s v=""/>
    <n v="0.5"/>
    <s v="25/08/2026"/>
    <s v="25/08/2026"/>
    <x v="0"/>
    <s v="Sáng"/>
  </r>
  <r>
    <s v="NV0000197"/>
    <x v="6"/>
    <x v="5"/>
    <x v="0"/>
    <s v="Bận việc riêng"/>
    <n v="1"/>
    <s v="25/08/2026"/>
    <s v="25/08/2026"/>
    <x v="0"/>
    <s v=""/>
  </r>
  <r>
    <s v="NV0001104"/>
    <x v="0"/>
    <x v="0"/>
    <x v="0"/>
    <s v="Nhân sự giải quyết phép năm tồn "/>
    <n v="5"/>
    <s v="25/08/2026"/>
    <s v="29/08/2026"/>
    <x v="0"/>
    <s v=""/>
  </r>
  <r>
    <s v="NV0001058"/>
    <x v="43"/>
    <x v="14"/>
    <x v="2"/>
    <s v="Nghỉ khám thai ở phòng khám tư nên không có giấy nghỉ."/>
    <s v="-"/>
    <s v="24/08/2026"/>
    <s v="24/08/2026"/>
    <x v="0"/>
    <s v=""/>
  </r>
  <r>
    <s v="NV0000342"/>
    <x v="44"/>
    <x v="4"/>
    <x v="1"/>
    <s v=""/>
    <n v="1"/>
    <s v="24/08/2026"/>
    <s v="24/08/2026"/>
    <x v="0"/>
    <s v=""/>
  </r>
  <r>
    <s v="NV0000025"/>
    <x v="45"/>
    <x v="13"/>
    <x v="3"/>
    <s v="Cổ vũ đội Robocon LHU thi đấu"/>
    <n v="3"/>
    <s v="24/08/2026"/>
    <s v="26/08/2026"/>
    <x v="0"/>
    <s v=""/>
  </r>
  <r>
    <s v="NV0000197"/>
    <x v="6"/>
    <x v="5"/>
    <x v="0"/>
    <s v="Bận việc gia đình"/>
    <n v="1"/>
    <s v="24/08/2026"/>
    <s v="24/08/2026"/>
    <x v="0"/>
    <s v=""/>
  </r>
  <r>
    <s v="NV0001321"/>
    <x v="46"/>
    <x v="4"/>
    <x v="1"/>
    <s v=""/>
    <n v="0.5"/>
    <s v="24/08/2026"/>
    <s v="24/08/2026"/>
    <x v="0"/>
    <s v="Sáng"/>
  </r>
  <r>
    <s v="NV0000084"/>
    <x v="47"/>
    <x v="16"/>
    <x v="0"/>
    <s v=""/>
    <n v="2"/>
    <s v="24/08/2026"/>
    <s v="25/08/2026"/>
    <x v="0"/>
    <s v=""/>
  </r>
  <r>
    <s v="NV0000855"/>
    <x v="48"/>
    <x v="9"/>
    <x v="5"/>
    <s v=""/>
    <n v="1"/>
    <s v="24/08/2026"/>
    <s v="24/08/2026"/>
    <x v="0"/>
    <s v=""/>
  </r>
  <r>
    <s v="NV0000415"/>
    <x v="49"/>
    <x v="18"/>
    <x v="3"/>
    <s v="Công tác Hồng Kong - Trung Quốc học tập - trải nghiệm"/>
    <n v="3"/>
    <s v="24/08/2026"/>
    <s v="26/08/2026"/>
    <x v="0"/>
    <s v=""/>
  </r>
  <r>
    <s v="NV0000140"/>
    <x v="50"/>
    <x v="13"/>
    <x v="3"/>
    <s v="Đi công tác tại Hongkong - Trung Quốc"/>
    <n v="3"/>
    <s v="24/08/2026"/>
    <s v="26/08/2026"/>
    <x v="0"/>
    <s v=""/>
  </r>
  <r>
    <s v="NV0001225"/>
    <x v="51"/>
    <x v="18"/>
    <x v="3"/>
    <s v="Đi công tác tại Hồng Kông - Trung Quốc"/>
    <n v="3"/>
    <s v="24/08/2026"/>
    <s v="26/08/2026"/>
    <x v="0"/>
    <s v=""/>
  </r>
  <r>
    <s v="NV0000009"/>
    <x v="29"/>
    <x v="13"/>
    <x v="0"/>
    <s v="Nghỉ để chăm con nằm viện"/>
    <n v="2"/>
    <s v="24/08/2026"/>
    <s v="25/08/2026"/>
    <x v="0"/>
    <s v=""/>
  </r>
  <r>
    <s v="NV0000712"/>
    <x v="35"/>
    <x v="8"/>
    <x v="0"/>
    <s v=""/>
    <n v="1"/>
    <s v="24/08/2026"/>
    <s v="24/08/2026"/>
    <x v="0"/>
    <s v=""/>
  </r>
  <r>
    <s v="NV0000155"/>
    <x v="32"/>
    <x v="16"/>
    <x v="0"/>
    <s v=""/>
    <n v="1"/>
    <s v="24/08/2026"/>
    <s v="24/08/2026"/>
    <x v="0"/>
    <s v=""/>
  </r>
  <r>
    <s v="NV0001386"/>
    <x v="52"/>
    <x v="4"/>
    <x v="5"/>
    <s v=""/>
    <n v="1"/>
    <s v="24/08/2026"/>
    <s v="24/08/2026"/>
    <x v="0"/>
    <s v=""/>
  </r>
  <r>
    <s v="NV0000620"/>
    <x v="53"/>
    <x v="10"/>
    <x v="0"/>
    <s v=""/>
    <n v="0.5"/>
    <s v="24/08/2026"/>
    <s v="24/08/2026"/>
    <x v="0"/>
    <s v="Chiều"/>
  </r>
  <r>
    <s v="NV0000870"/>
    <x v="54"/>
    <x v="4"/>
    <x v="0"/>
    <s v="Đưa con nhập học lớp 1 nhưng vẫn hoàn thành công việc trong ngày. "/>
    <n v="0.5"/>
    <s v="24/08/2026"/>
    <s v="24/08/2026"/>
    <x v="0"/>
    <s v="Sáng"/>
  </r>
  <r>
    <s v="NV0000410"/>
    <x v="55"/>
    <x v="19"/>
    <x v="1"/>
    <s v=""/>
    <n v="1"/>
    <s v="24/08/2026"/>
    <s v="24/08/2026"/>
    <x v="0"/>
    <s v=""/>
  </r>
  <r>
    <s v="NV0000810"/>
    <x v="37"/>
    <x v="17"/>
    <x v="0"/>
    <s v="Nghỉ phép bù sau thai sản "/>
    <n v="1"/>
    <s v="24/08/2026"/>
    <s v="24/08/2026"/>
    <x v="0"/>
    <s v=""/>
  </r>
  <r>
    <s v="NV0000788"/>
    <x v="56"/>
    <x v="15"/>
    <x v="1"/>
    <s v="Khám bệnh "/>
    <n v="1"/>
    <s v="24/08/2026"/>
    <s v="24/08/2026"/>
    <x v="0"/>
    <s v=""/>
  </r>
  <r>
    <s v="NV0000242"/>
    <x v="3"/>
    <x v="1"/>
    <x v="0"/>
    <s v=""/>
    <n v="0.5"/>
    <s v="22/08/2026"/>
    <s v="22/08/2026"/>
    <x v="0"/>
    <s v="Sáng"/>
  </r>
  <r>
    <s v="NV0001336"/>
    <x v="57"/>
    <x v="11"/>
    <x v="0"/>
    <s v=""/>
    <n v="1"/>
    <s v="21/08/2026"/>
    <s v="21/08/2026"/>
    <x v="0"/>
    <s v=""/>
  </r>
  <r>
    <s v="NV0000012"/>
    <x v="17"/>
    <x v="0"/>
    <x v="2"/>
    <s v=""/>
    <n v="1"/>
    <s v="21/08/2026"/>
    <s v="21/08/2026"/>
    <x v="0"/>
    <s v=""/>
  </r>
  <r>
    <s v="NV0000009"/>
    <x v="29"/>
    <x v="13"/>
    <x v="0"/>
    <s v="Đưa con đi khám bệnh"/>
    <n v="0.5"/>
    <s v="21/08/2026"/>
    <s v="21/08/2026"/>
    <x v="0"/>
    <s v="Sáng"/>
  </r>
  <r>
    <s v="NV0000712"/>
    <x v="35"/>
    <x v="8"/>
    <x v="0"/>
    <s v=""/>
    <n v="1"/>
    <s v="21/08/2026"/>
    <s v="21/08/2026"/>
    <x v="0"/>
    <s v=""/>
  </r>
  <r>
    <s v="NV0001150"/>
    <x v="34"/>
    <x v="16"/>
    <x v="0"/>
    <s v=""/>
    <n v="1"/>
    <s v="21/08/2026"/>
    <s v="21/08/2026"/>
    <x v="0"/>
    <s v=""/>
  </r>
  <r>
    <s v="NV0000062"/>
    <x v="58"/>
    <x v="19"/>
    <x v="0"/>
    <s v=""/>
    <n v="0.5"/>
    <s v="21/08/2026"/>
    <s v="21/08/2026"/>
    <x v="0"/>
    <s v="Chiều"/>
  </r>
  <r>
    <s v="NV0001078"/>
    <x v="59"/>
    <x v="2"/>
    <x v="1"/>
    <s v=""/>
    <n v="0.5"/>
    <s v="21/08/2026"/>
    <s v="21/08/2026"/>
    <x v="0"/>
    <s v="Chiều"/>
  </r>
  <r>
    <s v="NV0000739"/>
    <x v="60"/>
    <x v="7"/>
    <x v="1"/>
    <s v=""/>
    <n v="1"/>
    <s v="21/08/2026"/>
    <s v="21/08/2026"/>
    <x v="0"/>
    <s v=""/>
  </r>
  <r>
    <s v="NV0000659"/>
    <x v="31"/>
    <x v="9"/>
    <x v="3"/>
    <s v="Tập huấn, công tác"/>
    <n v="1"/>
    <s v="21/08/2026"/>
    <s v="21/08/2026"/>
    <x v="0"/>
    <s v=""/>
  </r>
  <r>
    <s v="NV0001375"/>
    <x v="42"/>
    <x v="9"/>
    <x v="1"/>
    <s v="Kính gửi chị Hoa, em xin phép nghỉ ngày 21/6"/>
    <n v="1"/>
    <s v="21/08/2026"/>
    <s v="21/08/2026"/>
    <x v="0"/>
    <s v=""/>
  </r>
  <r>
    <s v="NV0000659"/>
    <x v="31"/>
    <x v="9"/>
    <x v="3"/>
    <s v="Tập huấn công tác"/>
    <n v="1"/>
    <s v="20/08/2026"/>
    <s v="20/08/2026"/>
    <x v="0"/>
    <s v=""/>
  </r>
  <r>
    <s v="NV0000256"/>
    <x v="61"/>
    <x v="7"/>
    <x v="1"/>
    <s v=""/>
    <n v="1"/>
    <s v="20/08/2026"/>
    <s v="20/08/2026"/>
    <x v="0"/>
    <s v=""/>
  </r>
  <r>
    <s v="NV0000935"/>
    <x v="62"/>
    <x v="19"/>
    <x v="0"/>
    <s v="Chở con đi tái khám"/>
    <n v="1"/>
    <s v="20/08/2026"/>
    <s v="20/08/2026"/>
    <x v="0"/>
    <s v=""/>
  </r>
  <r>
    <s v="NV0001094"/>
    <x v="63"/>
    <x v="9"/>
    <x v="3"/>
    <s v=""/>
    <n v="2"/>
    <s v="20/08/2026"/>
    <s v="21/08/2026"/>
    <x v="0"/>
    <s v=""/>
  </r>
  <r>
    <s v="NV0000792"/>
    <x v="19"/>
    <x v="12"/>
    <x v="0"/>
    <s v="Làm việc tại nhà, chiều họp NCC Tính Trước tại TP. HCM"/>
    <n v="1"/>
    <s v="20/08/2026"/>
    <s v="20/08/2026"/>
    <x v="0"/>
    <s v=""/>
  </r>
  <r>
    <s v="NV0001353"/>
    <x v="64"/>
    <x v="9"/>
    <x v="3"/>
    <s v=""/>
    <n v="2"/>
    <s v="20/08/2026"/>
    <s v="21/08/2026"/>
    <x v="0"/>
    <s v=""/>
  </r>
  <r>
    <s v="NV0000197"/>
    <x v="6"/>
    <x v="5"/>
    <x v="3"/>
    <s v="Công tác"/>
    <n v="0.5"/>
    <s v="20/08/2026"/>
    <s v="20/08/2026"/>
    <x v="0"/>
    <s v="Sáng"/>
  </r>
  <r>
    <s v="NV0001141"/>
    <x v="65"/>
    <x v="19"/>
    <x v="1"/>
    <s v=""/>
    <n v="0.5"/>
    <s v="20/08/2026"/>
    <s v="20/08/2026"/>
    <x v="0"/>
    <s v="Sáng"/>
  </r>
  <r>
    <s v="NV0001138"/>
    <x v="66"/>
    <x v="4"/>
    <x v="1"/>
    <s v=""/>
    <n v="0.5"/>
    <s v="20/08/2026"/>
    <s v="20/08/2026"/>
    <x v="0"/>
    <s v="Chiều"/>
  </r>
  <r>
    <s v="NV0000984"/>
    <x v="67"/>
    <x v="4"/>
    <x v="7"/>
    <s v=""/>
    <n v="6"/>
    <s v="20/08/2026"/>
    <s v="19/02/2027"/>
    <x v="0"/>
    <s v=""/>
  </r>
  <r>
    <s v="NV0000069"/>
    <x v="27"/>
    <x v="16"/>
    <x v="0"/>
    <s v=""/>
    <n v="1"/>
    <s v="20/08/2026"/>
    <s v="20/08/2026"/>
    <x v="0"/>
    <s v=""/>
  </r>
  <r>
    <s v="NV0001292"/>
    <x v="24"/>
    <x v="4"/>
    <x v="5"/>
    <s v=""/>
    <n v="0.5"/>
    <s v="20/08/2026"/>
    <s v="20/08/2026"/>
    <x v="0"/>
    <s v="Chiều"/>
  </r>
  <r>
    <s v="NV0000227"/>
    <x v="68"/>
    <x v="7"/>
    <x v="5"/>
    <s v=""/>
    <n v="10"/>
    <s v="20/08/2026"/>
    <s v="29/08/2026"/>
    <x v="0"/>
    <s v=""/>
  </r>
  <r>
    <s v="NV0000227"/>
    <x v="68"/>
    <x v="7"/>
    <x v="1"/>
    <s v=""/>
    <n v="1"/>
    <s v="19/08/2026"/>
    <s v="19/08/2026"/>
    <x v="0"/>
    <s v=""/>
  </r>
  <r>
    <s v="NV0000638"/>
    <x v="69"/>
    <x v="9"/>
    <x v="5"/>
    <s v=""/>
    <n v="1"/>
    <s v="19/08/2026"/>
    <s v="19/08/2026"/>
    <x v="0"/>
    <s v=""/>
  </r>
  <r>
    <s v="NV0001287"/>
    <x v="16"/>
    <x v="11"/>
    <x v="0"/>
    <s v=""/>
    <n v="0.5"/>
    <s v="19/08/2026"/>
    <s v="19/08/2026"/>
    <x v="0"/>
    <s v="Chiều"/>
  </r>
  <r>
    <s v="NV0001154"/>
    <x v="70"/>
    <x v="4"/>
    <x v="0"/>
    <s v=""/>
    <n v="0.5"/>
    <s v="19/08/2026"/>
    <s v="19/08/2026"/>
    <x v="0"/>
    <s v="Sáng"/>
  </r>
  <r>
    <s v="NV0000792"/>
    <x v="19"/>
    <x v="12"/>
    <x v="0"/>
    <s v="Làm việc tại nhà "/>
    <n v="1"/>
    <s v="19/08/2026"/>
    <s v="19/08/2026"/>
    <x v="0"/>
    <s v=""/>
  </r>
  <r>
    <s v="NV0000083"/>
    <x v="71"/>
    <x v="1"/>
    <x v="0"/>
    <s v=""/>
    <n v="1"/>
    <s v="19/08/2026"/>
    <s v="19/08/2026"/>
    <x v="0"/>
    <s v=""/>
  </r>
  <r>
    <s v="NV0000924"/>
    <x v="18"/>
    <x v="10"/>
    <x v="0"/>
    <s v=""/>
    <n v="0.5"/>
    <s v="19/08/2026"/>
    <s v="19/08/2026"/>
    <x v="0"/>
    <s v="Sáng"/>
  </r>
  <r>
    <s v="NV0000018"/>
    <x v="72"/>
    <x v="13"/>
    <x v="0"/>
    <s v=""/>
    <n v="1"/>
    <s v="19/08/2026"/>
    <s v="19/08/2026"/>
    <x v="0"/>
    <s v=""/>
  </r>
  <r>
    <s v="NV0000741"/>
    <x v="73"/>
    <x v="4"/>
    <x v="1"/>
    <s v=""/>
    <n v="1"/>
    <s v="19/08/2026"/>
    <s v="19/08/2026"/>
    <x v="0"/>
    <s v=""/>
  </r>
  <r>
    <s v="NV0000080"/>
    <x v="1"/>
    <x v="1"/>
    <x v="0"/>
    <s v=""/>
    <n v="1"/>
    <s v="18/08/2026"/>
    <s v="18/08/2026"/>
    <x v="0"/>
    <s v="Chiều"/>
  </r>
  <r>
    <s v="NV0000807"/>
    <x v="74"/>
    <x v="3"/>
    <x v="1"/>
    <s v="Sốt cao"/>
    <n v="0.5"/>
    <s v="18/08/2026"/>
    <s v="18/08/2026"/>
    <x v="0"/>
    <s v="Chiều"/>
  </r>
  <r>
    <s v="NV0000448"/>
    <x v="75"/>
    <x v="14"/>
    <x v="1"/>
    <s v=""/>
    <n v="1"/>
    <s v="18/08/2026"/>
    <s v="18/08/2026"/>
    <x v="0"/>
    <s v=""/>
  </r>
  <r>
    <s v="NV0001257"/>
    <x v="76"/>
    <x v="4"/>
    <x v="1"/>
    <s v=""/>
    <n v="0.5"/>
    <s v="18/08/2026"/>
    <s v="18/08/2026"/>
    <x v="0"/>
    <s v="Chiều"/>
  </r>
  <r>
    <s v="NV0000080"/>
    <x v="1"/>
    <x v="1"/>
    <x v="0"/>
    <s v=""/>
    <n v="1"/>
    <s v="18/08/2026"/>
    <s v="18/08/2026"/>
    <x v="0"/>
    <s v="Sáng"/>
  </r>
  <r>
    <s v="NV0000025"/>
    <x v="45"/>
    <x v="13"/>
    <x v="4"/>
    <s v="Bản thân bị ốm"/>
    <n v="1"/>
    <s v="18/08/2026"/>
    <s v="18/08/2026"/>
    <x v="0"/>
    <s v=""/>
  </r>
  <r>
    <s v="NV0001195"/>
    <x v="77"/>
    <x v="2"/>
    <x v="1"/>
    <s v=""/>
    <n v="1"/>
    <s v="18/08/2026"/>
    <s v="18/08/2026"/>
    <x v="0"/>
    <s v=""/>
  </r>
  <r>
    <s v="NV0001287"/>
    <x v="16"/>
    <x v="11"/>
    <x v="0"/>
    <s v="Đi khám mắt"/>
    <n v="1"/>
    <s v="18/08/2026"/>
    <s v="18/08/2026"/>
    <x v="0"/>
    <s v=""/>
  </r>
  <r>
    <s v="NV0001353"/>
    <x v="64"/>
    <x v="9"/>
    <x v="0"/>
    <s v=""/>
    <n v="0.5"/>
    <s v="18/08/2026"/>
    <s v="18/08/2026"/>
    <x v="0"/>
    <s v="Sáng"/>
  </r>
  <r>
    <s v="NV0000659"/>
    <x v="31"/>
    <x v="9"/>
    <x v="1"/>
    <s v="NS"/>
    <n v="0.5"/>
    <s v="18/08/2026"/>
    <s v="18/08/2026"/>
    <x v="0"/>
    <s v="Chiều"/>
  </r>
  <r>
    <s v="NV0001386"/>
    <x v="52"/>
    <x v="4"/>
    <x v="0"/>
    <s v=""/>
    <n v="1"/>
    <s v="17/08/2026"/>
    <s v="17/08/2026"/>
    <x v="0"/>
    <s v=""/>
  </r>
  <r>
    <s v="NV0001114"/>
    <x v="78"/>
    <x v="2"/>
    <x v="1"/>
    <s v=""/>
    <n v="1"/>
    <s v="17/08/2026"/>
    <s v="17/08/2026"/>
    <x v="0"/>
    <s v=""/>
  </r>
  <r>
    <s v="NV0000638"/>
    <x v="69"/>
    <x v="9"/>
    <x v="0"/>
    <s v=""/>
    <n v="0.5"/>
    <s v="17/08/2026"/>
    <s v="17/08/2026"/>
    <x v="0"/>
    <s v="Chiều"/>
  </r>
  <r>
    <s v="NV0000062"/>
    <x v="58"/>
    <x v="19"/>
    <x v="0"/>
    <s v=""/>
    <n v="0.5"/>
    <s v="17/08/2026"/>
    <s v="17/08/2026"/>
    <x v="0"/>
    <s v="Sáng"/>
  </r>
  <r>
    <s v="NV0000810"/>
    <x v="37"/>
    <x v="17"/>
    <x v="0"/>
    <s v="Nghỉ phép bù sau thai sản "/>
    <n v="6"/>
    <s v="17/08/2026"/>
    <s v="22/08/2026"/>
    <x v="0"/>
    <s v=""/>
  </r>
  <r>
    <s v="NV0000080"/>
    <x v="1"/>
    <x v="1"/>
    <x v="0"/>
    <s v=""/>
    <n v="0.5"/>
    <s v="15/08/2026"/>
    <s v="15/08/2026"/>
    <x v="0"/>
    <s v="Sáng"/>
  </r>
  <r>
    <s v="NV0000242"/>
    <x v="3"/>
    <x v="1"/>
    <x v="0"/>
    <s v=""/>
    <n v="0.5"/>
    <s v="15/08/2026"/>
    <s v="15/08/2026"/>
    <x v="0"/>
    <s v="Sáng"/>
  </r>
  <r>
    <s v="NV0000975"/>
    <x v="79"/>
    <x v="3"/>
    <x v="2"/>
    <s v="Đi bệnh viện khám bệnh cho con (nhiễm trùng hô hấp)"/>
    <n v="0.5"/>
    <s v="14/08/2026"/>
    <s v="14/08/2026"/>
    <x v="0"/>
    <s v="Chiều"/>
  </r>
  <r>
    <s v="NV0001287"/>
    <x v="16"/>
    <x v="11"/>
    <x v="3"/>
    <s v="Đến Mầm non Long Khánh quay phim."/>
    <n v="1"/>
    <s v="14/08/2026"/>
    <s v="14/08/2026"/>
    <x v="0"/>
    <s v=""/>
  </r>
  <r>
    <s v="NV0000080"/>
    <x v="1"/>
    <x v="1"/>
    <x v="0"/>
    <s v=""/>
    <n v="0.5"/>
    <s v="14/08/2026"/>
    <s v="14/08/2026"/>
    <x v="0"/>
    <s v="Chiều"/>
  </r>
  <r>
    <s v="NV0000367"/>
    <x v="80"/>
    <x v="14"/>
    <x v="5"/>
    <s v="Chăm con nhỏ bị ốm."/>
    <n v="1"/>
    <s v="14/08/2026"/>
    <s v="14/08/2026"/>
    <x v="0"/>
    <s v=""/>
  </r>
  <r>
    <s v="NV0000056"/>
    <x v="81"/>
    <x v="4"/>
    <x v="0"/>
    <s v=""/>
    <n v="1"/>
    <s v="14/08/2026"/>
    <s v="14/08/2026"/>
    <x v="0"/>
    <s v=""/>
  </r>
  <r>
    <s v="NV0001353"/>
    <x v="64"/>
    <x v="9"/>
    <x v="0"/>
    <s v=""/>
    <n v="1"/>
    <s v="14/08/2026"/>
    <s v="14/08/2026"/>
    <x v="0"/>
    <s v=""/>
  </r>
  <r>
    <s v="NV0001377"/>
    <x v="82"/>
    <x v="4"/>
    <x v="5"/>
    <s v=""/>
    <n v="1"/>
    <s v="14/08/2026"/>
    <s v="14/08/2026"/>
    <x v="0"/>
    <s v=""/>
  </r>
  <r>
    <s v="NV0000533"/>
    <x v="83"/>
    <x v="4"/>
    <x v="1"/>
    <s v="Nghỉ nửa ngày buổi chiều ngày 14/08 phép học kỳ"/>
    <n v="0.5"/>
    <s v="14/08/2026"/>
    <s v="14/08/2026"/>
    <x v="0"/>
    <s v="Chiều"/>
  </r>
  <r>
    <s v="NV0001353"/>
    <x v="64"/>
    <x v="9"/>
    <x v="0"/>
    <s v=""/>
    <n v="0.5"/>
    <s v="13/08/2026"/>
    <s v="13/08/2026"/>
    <x v="0"/>
    <s v="Sáng"/>
  </r>
  <r>
    <s v="NV0001306"/>
    <x v="21"/>
    <x v="13"/>
    <x v="3"/>
    <s v="Làm việc trực tuyến tại nhà."/>
    <n v="1"/>
    <s v="13/08/2026"/>
    <s v="13/08/2026"/>
    <x v="0"/>
    <s v=""/>
  </r>
  <r>
    <s v="NV0001258"/>
    <x v="84"/>
    <x v="4"/>
    <x v="0"/>
    <s v=""/>
    <n v="0.5"/>
    <s v="13/08/2026"/>
    <s v="13/08/2026"/>
    <x v="0"/>
    <s v="Chiều"/>
  </r>
  <r>
    <s v="NV0001263"/>
    <x v="85"/>
    <x v="9"/>
    <x v="0"/>
    <s v=""/>
    <n v="1"/>
    <s v="13/08/2026"/>
    <s v="13/08/2026"/>
    <x v="0"/>
    <s v=""/>
  </r>
  <r>
    <s v="NV0000278"/>
    <x v="86"/>
    <x v="20"/>
    <x v="3"/>
    <s v="Tập huấn sáo recorder tại ĐH Đồng Nai theo cv của Sở."/>
    <n v="2"/>
    <s v="13/08/2026"/>
    <s v="14/08/2026"/>
    <x v="0"/>
    <s v=""/>
  </r>
  <r>
    <s v="NV0001222"/>
    <x v="87"/>
    <x v="9"/>
    <x v="0"/>
    <s v=""/>
    <n v="1"/>
    <s v="12/08/2026"/>
    <s v="12/08/2026"/>
    <x v="0"/>
    <s v=""/>
  </r>
  <r>
    <s v="NV0001207"/>
    <x v="88"/>
    <x v="4"/>
    <x v="1"/>
    <s v=""/>
    <n v="1"/>
    <s v="12/08/2026"/>
    <s v="12/08/2026"/>
    <x v="0"/>
    <s v=""/>
  </r>
  <r>
    <s v="NV0000792"/>
    <x v="19"/>
    <x v="12"/>
    <x v="0"/>
    <s v="Làm việc tại nhà"/>
    <n v="1"/>
    <s v="12/08/2026"/>
    <s v="12/08/2026"/>
    <x v="0"/>
    <s v=""/>
  </r>
  <r>
    <s v="NV0001221"/>
    <x v="89"/>
    <x v="4"/>
    <x v="0"/>
    <s v="Nghỉ phép năm 2025-2026 "/>
    <n v="1"/>
    <s v="12/08/2026"/>
    <s v="12/08/2026"/>
    <x v="0"/>
    <s v=""/>
  </r>
  <r>
    <s v="NV0000935"/>
    <x v="62"/>
    <x v="19"/>
    <x v="0"/>
    <s v=""/>
    <n v="0.5"/>
    <s v="12/08/2026"/>
    <s v="12/08/2026"/>
    <x v="0"/>
    <s v="Chiều"/>
  </r>
  <r>
    <s v="NV0001103"/>
    <x v="90"/>
    <x v="4"/>
    <x v="1"/>
    <s v=""/>
    <n v="1"/>
    <s v="12/08/2026"/>
    <s v="12/08/2026"/>
    <x v="0"/>
    <s v=""/>
  </r>
  <r>
    <s v="NV0000677"/>
    <x v="91"/>
    <x v="3"/>
    <x v="5"/>
    <s v="Có lịch hẹn nhổ răng khôn của bác sĩ. _x000a_Không có tiết dạy trong ngày. "/>
    <n v="1"/>
    <s v="12/08/2026"/>
    <s v="12/08/2026"/>
    <x v="0"/>
    <s v=""/>
  </r>
  <r>
    <s v="NV0000807"/>
    <x v="74"/>
    <x v="3"/>
    <x v="5"/>
    <s v=""/>
    <n v="0.5"/>
    <s v="11/08/2026"/>
    <s v="11/08/2026"/>
    <x v="0"/>
    <s v="Sáng"/>
  </r>
  <r>
    <s v="NV0001147"/>
    <x v="92"/>
    <x v="1"/>
    <x v="3"/>
    <s v="Đi Viện Pasteur lấy mẫu xét nghiệm nước."/>
    <n v="0.5"/>
    <s v="11/08/2026"/>
    <s v="11/08/2026"/>
    <x v="0"/>
    <s v="Chiều"/>
  </r>
  <r>
    <s v="NV0001377"/>
    <x v="82"/>
    <x v="4"/>
    <x v="1"/>
    <s v=""/>
    <n v="1"/>
    <s v="11/08/2026"/>
    <s v="11/08/2026"/>
    <x v="0"/>
    <s v=""/>
  </r>
  <r>
    <s v="NV0000197"/>
    <x v="6"/>
    <x v="5"/>
    <x v="1"/>
    <s v="Khám măt"/>
    <n v="0.5"/>
    <s v="11/08/2026"/>
    <s v="11/08/2026"/>
    <x v="0"/>
    <s v="Sáng"/>
  </r>
  <r>
    <s v="NV0000659"/>
    <x v="31"/>
    <x v="9"/>
    <x v="0"/>
    <s v=""/>
    <n v="1"/>
    <s v="11/08/2026"/>
    <s v="11/08/2026"/>
    <x v="0"/>
    <s v=""/>
  </r>
  <r>
    <s v="NV0001058"/>
    <x v="43"/>
    <x v="14"/>
    <x v="8"/>
    <s v=""/>
    <n v="1"/>
    <s v="11/08/2026"/>
    <s v="11/08/2026"/>
    <x v="0"/>
    <s v=""/>
  </r>
  <r>
    <s v="NV0000837"/>
    <x v="93"/>
    <x v="21"/>
    <x v="3"/>
    <s v="SEAMEO Retrac Training Seminar with the Kindergarten team in Ho Chi Minh"/>
    <n v="0.5"/>
    <s v="11/08/2026"/>
    <s v="11/08/2026"/>
    <x v="0"/>
    <s v="Sáng"/>
  </r>
  <r>
    <s v="NV0000556"/>
    <x v="94"/>
    <x v="21"/>
    <x v="3"/>
    <s v=""/>
    <n v="0.5"/>
    <s v="11/08/2026"/>
    <s v="11/08/2026"/>
    <x v="0"/>
    <s v="Sáng"/>
  </r>
  <r>
    <s v="NV0000837"/>
    <x v="93"/>
    <x v="21"/>
    <x v="3"/>
    <s v="SEAMEO Retrac Training Seminar with the Kindergarten Team in Ho Chi Minh"/>
    <n v="1"/>
    <s v="10/08/2026"/>
    <s v="10/08/2026"/>
    <x v="0"/>
    <s v=""/>
  </r>
  <r>
    <s v="NV0001060"/>
    <x v="41"/>
    <x v="9"/>
    <x v="3"/>
    <s v=""/>
    <n v="2"/>
    <s v="10/08/2026"/>
    <s v="11/08/2026"/>
    <x v="0"/>
    <s v=""/>
  </r>
  <r>
    <s v="NV0000556"/>
    <x v="94"/>
    <x v="21"/>
    <x v="3"/>
    <s v=""/>
    <n v="1"/>
    <s v="10/08/2026"/>
    <s v="10/08/2026"/>
    <x v="0"/>
    <s v=""/>
  </r>
  <r>
    <s v="NV0001272"/>
    <x v="11"/>
    <x v="9"/>
    <x v="1"/>
    <s v=""/>
    <n v="1"/>
    <s v="10/08/2026"/>
    <s v="10/08/2026"/>
    <x v="0"/>
    <s v=""/>
  </r>
  <r>
    <s v="NV0001271"/>
    <x v="95"/>
    <x v="4"/>
    <x v="5"/>
    <s v=""/>
    <n v="1"/>
    <s v="10/08/2026"/>
    <s v="10/08/2026"/>
    <x v="0"/>
    <s v=""/>
  </r>
  <r>
    <s v="NV0001262"/>
    <x v="96"/>
    <x v="4"/>
    <x v="8"/>
    <s v=""/>
    <n v="1"/>
    <s v="10/08/2026"/>
    <s v="10/08/2026"/>
    <x v="0"/>
    <s v=""/>
  </r>
  <r>
    <s v="NV0001106"/>
    <x v="97"/>
    <x v="9"/>
    <x v="5"/>
    <s v=""/>
    <n v="1"/>
    <s v="10/08/2026"/>
    <s v="10/08/2026"/>
    <x v="0"/>
    <s v=""/>
  </r>
  <r>
    <s v="NV0001334"/>
    <x v="98"/>
    <x v="9"/>
    <x v="3"/>
    <s v=""/>
    <n v="2"/>
    <s v="10/08/2026"/>
    <s v="11/08/2026"/>
    <x v="0"/>
    <s v=""/>
  </r>
  <r>
    <s v="NV0001073"/>
    <x v="15"/>
    <x v="11"/>
    <x v="0"/>
    <s v="Đăng kí nghỉ phép năm - nửa ngày 10/8"/>
    <n v="0.5"/>
    <s v="10/08/2026"/>
    <s v="10/08/2026"/>
    <x v="0"/>
    <s v="Chiều"/>
  </r>
  <r>
    <s v="NV0001398"/>
    <x v="99"/>
    <x v="1"/>
    <x v="0"/>
    <s v=""/>
    <n v="0.5"/>
    <s v="10/08/2026"/>
    <s v="10/08/2026"/>
    <x v="0"/>
    <s v="Chiều"/>
  </r>
  <r>
    <s v="NV0001375"/>
    <x v="42"/>
    <x v="9"/>
    <x v="0"/>
    <s v="Kính gửi chị Hoa, em xin phép nghỉ ngày 10/8 vì có việc gia đình."/>
    <n v="1"/>
    <s v="10/08/2026"/>
    <s v="10/08/2026"/>
    <x v="0"/>
    <s v=""/>
  </r>
  <r>
    <s v="NV0000810"/>
    <x v="37"/>
    <x v="17"/>
    <x v="0"/>
    <s v="Nghỉ phép bù sau thai sản "/>
    <n v="6"/>
    <s v="10/08/2026"/>
    <s v="15/08/2026"/>
    <x v="0"/>
    <s v=""/>
  </r>
  <r>
    <s v="NV0001222"/>
    <x v="87"/>
    <x v="9"/>
    <x v="0"/>
    <s v=""/>
    <n v="2"/>
    <s v="10/08/2026"/>
    <s v="11/08/2026"/>
    <x v="0"/>
    <s v=""/>
  </r>
  <r>
    <s v="NV0000546"/>
    <x v="100"/>
    <x v="2"/>
    <x v="5"/>
    <s v=""/>
    <n v="2"/>
    <s v="10/08/2026"/>
    <s v="11/08/2026"/>
    <x v="0"/>
    <s v=""/>
  </r>
  <r>
    <s v="NV0001402"/>
    <x v="101"/>
    <x v="4"/>
    <x v="5"/>
    <s v="Con bị bệnh"/>
    <n v="0.5"/>
    <s v="10/08/2026"/>
    <s v="10/08/2026"/>
    <x v="0"/>
    <s v="Sáng"/>
  </r>
  <r>
    <s v="NV0000957"/>
    <x v="102"/>
    <x v="4"/>
    <x v="5"/>
    <s v="Nghỉ bệnh"/>
    <n v="2"/>
    <s v="10/08/2026"/>
    <s v="11/08/2026"/>
    <x v="0"/>
    <s v=""/>
  </r>
  <r>
    <s v="NV0001417"/>
    <x v="103"/>
    <x v="2"/>
    <x v="1"/>
    <s v="NS"/>
    <n v="1"/>
    <s v="10/08/2026"/>
    <s v="10/08/2026"/>
    <x v="0"/>
    <s v=""/>
  </r>
  <r>
    <s v="NV0001262"/>
    <x v="96"/>
    <x v="4"/>
    <x v="0"/>
    <s v="Mượn phép năm 2026-2027"/>
    <n v="0.5"/>
    <s v="08/08/2026"/>
    <s v="08/08/2026"/>
    <x v="0"/>
    <s v="Sáng"/>
  </r>
  <r>
    <s v="NV0001154"/>
    <x v="70"/>
    <x v="4"/>
    <x v="0"/>
    <s v="Đi làm căn cước công dân"/>
    <n v="0.5"/>
    <s v="08/08/2026"/>
    <s v="08/08/2026"/>
    <x v="0"/>
    <s v=""/>
  </r>
  <r>
    <s v="NV0001154"/>
    <x v="70"/>
    <x v="4"/>
    <x v="0"/>
    <s v="Làm căn cước công dân"/>
    <n v="0.5"/>
    <s v="08/08/2026"/>
    <s v="08/08/2026"/>
    <x v="0"/>
    <s v="Sáng"/>
  </r>
  <r>
    <s v="NV0000242"/>
    <x v="3"/>
    <x v="1"/>
    <x v="0"/>
    <s v=""/>
    <n v="0.5"/>
    <s v="08/08/2026"/>
    <s v="08/08/2026"/>
    <x v="0"/>
    <s v="Sáng"/>
  </r>
  <r>
    <s v="NV0000083"/>
    <x v="71"/>
    <x v="1"/>
    <x v="0"/>
    <s v=""/>
    <n v="0.5"/>
    <s v="08/08/2026"/>
    <s v="08/08/2026"/>
    <x v="0"/>
    <s v="Sáng"/>
  </r>
  <r>
    <s v="NV0000957"/>
    <x v="102"/>
    <x v="4"/>
    <x v="1"/>
    <s v="Đi thi"/>
    <n v="0.5"/>
    <s v="08/08/2026"/>
    <s v="08/08/2026"/>
    <x v="0"/>
    <s v="Sáng"/>
  </r>
  <r>
    <s v="NV0001204"/>
    <x v="104"/>
    <x v="4"/>
    <x v="1"/>
    <s v=""/>
    <n v="0.5"/>
    <s v="08/08/2026"/>
    <s v="08/08/2026"/>
    <x v="0"/>
    <s v="Sáng"/>
  </r>
  <r>
    <s v="NV0001064"/>
    <x v="105"/>
    <x v="14"/>
    <x v="5"/>
    <s v=""/>
    <n v="1"/>
    <s v="07/08/2026"/>
    <s v="07/08/2026"/>
    <x v="0"/>
    <s v=""/>
  </r>
  <r>
    <s v="NV0001222"/>
    <x v="87"/>
    <x v="9"/>
    <x v="0"/>
    <s v=""/>
    <n v="1"/>
    <s v="07/08/2026"/>
    <s v="07/08/2026"/>
    <x v="0"/>
    <s v=""/>
  </r>
  <r>
    <s v="NV0001204"/>
    <x v="104"/>
    <x v="4"/>
    <x v="0"/>
    <s v="Mượn phép 2026-2027"/>
    <n v="1"/>
    <s v="07/08/2026"/>
    <s v="07/08/2026"/>
    <x v="0"/>
    <s v=""/>
  </r>
  <r>
    <s v="NV0000736"/>
    <x v="106"/>
    <x v="4"/>
    <x v="1"/>
    <s v=""/>
    <n v="1"/>
    <s v="07/08/2026"/>
    <s v="07/08/2026"/>
    <x v="0"/>
    <s v=""/>
  </r>
  <r>
    <s v="NV0001046"/>
    <x v="107"/>
    <x v="9"/>
    <x v="0"/>
    <s v=""/>
    <n v="1"/>
    <s v="07/08/2026"/>
    <s v="07/08/2026"/>
    <x v="0"/>
    <s v=""/>
  </r>
  <r>
    <s v="NV0000009"/>
    <x v="29"/>
    <x v="13"/>
    <x v="3"/>
    <s v="Đi tiền trạm"/>
    <n v="1"/>
    <s v="07/08/2026"/>
    <s v="07/08/2026"/>
    <x v="0"/>
    <s v=""/>
  </r>
  <r>
    <s v="NV0000659"/>
    <x v="31"/>
    <x v="9"/>
    <x v="1"/>
    <s v=""/>
    <n v="0.5"/>
    <s v="07/08/2026"/>
    <s v="07/08/2026"/>
    <x v="0"/>
    <s v="Sáng"/>
  </r>
  <r>
    <s v="NV0000018"/>
    <x v="72"/>
    <x v="13"/>
    <x v="3"/>
    <s v="Đi tiền trạm cho HĐTN của HS."/>
    <n v="1"/>
    <s v="07/08/2026"/>
    <s v="07/08/2026"/>
    <x v="0"/>
    <s v=""/>
  </r>
  <r>
    <s v="NV0000025"/>
    <x v="45"/>
    <x v="13"/>
    <x v="3"/>
    <s v="Đi tiền trạm cho các HĐTN "/>
    <n v="1"/>
    <s v="07/08/2026"/>
    <s v="07/08/2026"/>
    <x v="0"/>
    <s v=""/>
  </r>
  <r>
    <s v="NV0000140"/>
    <x v="50"/>
    <x v="13"/>
    <x v="0"/>
    <s v=""/>
    <n v="0.5"/>
    <s v="07/08/2026"/>
    <s v="07/08/2026"/>
    <x v="0"/>
    <s v="Sáng"/>
  </r>
  <r>
    <s v="NV0000071"/>
    <x v="108"/>
    <x v="22"/>
    <x v="0"/>
    <s v=""/>
    <n v="1"/>
    <s v="07/08/2026"/>
    <s v="07/08/2026"/>
    <x v="0"/>
    <s v=""/>
  </r>
  <r>
    <s v="NV0000631"/>
    <x v="109"/>
    <x v="14"/>
    <x v="2"/>
    <s v="Đi đưa tang ông ngoại"/>
    <n v="1"/>
    <s v="07/08/2026"/>
    <s v="07/08/2026"/>
    <x v="0"/>
    <s v=""/>
  </r>
  <r>
    <s v="NV0000031"/>
    <x v="110"/>
    <x v="23"/>
    <x v="1"/>
    <s v="Xin phép nghỉ khám bệnh.s"/>
    <n v="1"/>
    <s v="07/08/2026"/>
    <s v="07/08/2026"/>
    <x v="0"/>
    <s v=""/>
  </r>
  <r>
    <s v="NV0001306"/>
    <x v="21"/>
    <x v="13"/>
    <x v="3"/>
    <s v="Đi tiền trạm học tập, dã ngoại cấp THCS."/>
    <n v="1"/>
    <s v="07/08/2026"/>
    <s v="07/08/2026"/>
    <x v="0"/>
    <s v=""/>
  </r>
  <r>
    <s v="NV0000096"/>
    <x v="111"/>
    <x v="2"/>
    <x v="3"/>
    <s v="Đi công tác  Long Khánh"/>
    <n v="1"/>
    <s v="07/08/2026"/>
    <s v="07/08/2026"/>
    <x v="0"/>
    <s v=""/>
  </r>
  <r>
    <s v="NV0001375"/>
    <x v="42"/>
    <x v="9"/>
    <x v="3"/>
    <s v="Kính gửi chị Hoa, em book phép công tác theo quyết định triệu tập V/v triệu tập đại biểu tham dự Hội thảo triển khai thí điểm GDMN mới năm học 2026-2027 của SGD. _x000a_Địa điểm: Trường ĐH Đồng Nai "/>
    <n v="1"/>
    <s v="06/08/2026"/>
    <s v="06/08/2026"/>
    <x v="0"/>
    <s v=""/>
  </r>
  <r>
    <s v="NV0001306"/>
    <x v="21"/>
    <x v="13"/>
    <x v="3"/>
    <s v="Làm việc trực tuyến tại nhà.q"/>
    <n v="1"/>
    <s v="06/08/2026"/>
    <s v="06/08/2026"/>
    <x v="0"/>
    <s v=""/>
  </r>
  <r>
    <s v="NV0001064"/>
    <x v="105"/>
    <x v="14"/>
    <x v="5"/>
    <s v=""/>
    <n v="1"/>
    <s v="06/08/2026"/>
    <s v="06/08/2026"/>
    <x v="0"/>
    <s v=""/>
  </r>
  <r>
    <s v="NV0000410"/>
    <x v="55"/>
    <x v="19"/>
    <x v="0"/>
    <s v=""/>
    <n v="0.5"/>
    <s v="06/08/2026"/>
    <s v="06/08/2026"/>
    <x v="0"/>
    <s v="Chiều"/>
  </r>
  <r>
    <s v="NV0001353"/>
    <x v="64"/>
    <x v="9"/>
    <x v="3"/>
    <s v="Tập huấn tham dự Hội thảo triển khai thí điểm GDMN mới năm học 2026-2027 của SGD tại Trường ĐH Đồng Nai."/>
    <n v="1"/>
    <s v="06/08/2026"/>
    <s v="06/08/2026"/>
    <x v="0"/>
    <s v=""/>
  </r>
  <r>
    <s v="NV0000792"/>
    <x v="19"/>
    <x v="12"/>
    <x v="0"/>
    <s v="Làm việc ở nhà"/>
    <n v="1"/>
    <s v="06/08/2026"/>
    <s v="06/08/2026"/>
    <x v="0"/>
    <s v=""/>
  </r>
  <r>
    <s v="NV0000083"/>
    <x v="71"/>
    <x v="1"/>
    <x v="0"/>
    <s v=""/>
    <n v="0.5"/>
    <s v="06/08/2026"/>
    <s v="06/08/2026"/>
    <x v="0"/>
    <s v="Sáng"/>
  </r>
  <r>
    <s v="NV0000722"/>
    <x v="112"/>
    <x v="21"/>
    <x v="3"/>
    <s v="Going to longkhanh campus for meeting and training "/>
    <n v="0.5"/>
    <s v="06/08/2026"/>
    <s v="06/08/2026"/>
    <x v="0"/>
    <s v="Sáng"/>
  </r>
  <r>
    <s v="NV0000133"/>
    <x v="113"/>
    <x v="4"/>
    <x v="3"/>
    <s v="Tham gia lễ bàn giao công trình giếng khoan tại ubnd xã Phú Vinh"/>
    <n v="1"/>
    <s v="06/08/2026"/>
    <s v="06/08/2026"/>
    <x v="0"/>
    <s v=""/>
  </r>
  <r>
    <s v="NV0001094"/>
    <x v="63"/>
    <x v="9"/>
    <x v="3"/>
    <s v=""/>
    <n v="1"/>
    <s v="06/08/2026"/>
    <s v="06/08/2026"/>
    <x v="0"/>
    <s v=""/>
  </r>
  <r>
    <s v="NV0001066"/>
    <x v="114"/>
    <x v="11"/>
    <x v="3"/>
    <s v="Đi từ thiện Mầm non Xã Phú Vinh - Tân Phú"/>
    <n v="1"/>
    <s v="06/08/2026"/>
    <s v="06/08/2026"/>
    <x v="0"/>
    <s v=""/>
  </r>
  <r>
    <s v="NV0000097"/>
    <x v="115"/>
    <x v="2"/>
    <x v="0"/>
    <s v=""/>
    <n v="1"/>
    <s v="06/08/2026"/>
    <s v="06/08/2026"/>
    <x v="0"/>
    <s v=""/>
  </r>
  <r>
    <s v="NV0000227"/>
    <x v="68"/>
    <x v="7"/>
    <x v="5"/>
    <s v=""/>
    <n v="1"/>
    <s v="06/08/2026"/>
    <s v="06/08/2026"/>
    <x v="0"/>
    <s v=""/>
  </r>
  <r>
    <s v="NV0000236"/>
    <x v="116"/>
    <x v="4"/>
    <x v="1"/>
    <s v=""/>
    <n v="1"/>
    <s v="06/08/2026"/>
    <s v="06/08/2026"/>
    <x v="0"/>
    <s v=""/>
  </r>
  <r>
    <s v="NV0000379"/>
    <x v="8"/>
    <x v="2"/>
    <x v="2"/>
    <s v=""/>
    <n v="2"/>
    <s v="06/08/2026"/>
    <s v="07/08/2026"/>
    <x v="0"/>
    <s v=""/>
  </r>
  <r>
    <s v="NV0000582"/>
    <x v="117"/>
    <x v="8"/>
    <x v="1"/>
    <s v=""/>
    <n v="1"/>
    <s v="06/08/2026"/>
    <s v="06/08/2026"/>
    <x v="0"/>
    <s v=""/>
  </r>
  <r>
    <s v="NV0000379"/>
    <x v="8"/>
    <x v="2"/>
    <x v="1"/>
    <s v=""/>
    <n v="1"/>
    <s v="05/08/2026"/>
    <s v="05/08/2026"/>
    <x v="0"/>
    <s v=""/>
  </r>
  <r>
    <s v="NV0000870"/>
    <x v="54"/>
    <x v="4"/>
    <x v="0"/>
    <s v="Đau mắt "/>
    <n v="1"/>
    <s v="05/08/2026"/>
    <s v="05/08/2026"/>
    <x v="0"/>
    <s v=""/>
  </r>
  <r>
    <s v="NV0000620"/>
    <x v="53"/>
    <x v="10"/>
    <x v="0"/>
    <s v=""/>
    <n v="0.5"/>
    <s v="05/08/2026"/>
    <s v="05/08/2026"/>
    <x v="0"/>
    <s v="Sáng"/>
  </r>
  <r>
    <s v="NV0000650"/>
    <x v="118"/>
    <x v="9"/>
    <x v="0"/>
    <s v=""/>
    <n v="1"/>
    <s v="05/08/2026"/>
    <s v="05/08/2026"/>
    <x v="0"/>
    <s v=""/>
  </r>
  <r>
    <s v="NV0001292"/>
    <x v="24"/>
    <x v="4"/>
    <x v="5"/>
    <s v=""/>
    <n v="4"/>
    <s v="04/08/2026"/>
    <s v="07/08/2026"/>
    <x v="0"/>
    <s v=""/>
  </r>
  <r>
    <s v="NV0001393"/>
    <x v="119"/>
    <x v="9"/>
    <x v="0"/>
    <s v=""/>
    <n v="5"/>
    <s v="03/08/2026"/>
    <s v="07/08/2026"/>
    <x v="0"/>
    <s v=""/>
  </r>
  <r>
    <s v="NV0001402"/>
    <x v="101"/>
    <x v="4"/>
    <x v="0"/>
    <s v="Mượn phép năm 26-27"/>
    <n v="0.5"/>
    <s v="03/08/2026"/>
    <s v="03/08/2026"/>
    <x v="0"/>
    <s v="Sáng"/>
  </r>
  <r>
    <s v="NV0000379"/>
    <x v="8"/>
    <x v="2"/>
    <x v="0"/>
    <s v=""/>
    <n v="2"/>
    <s v="03/08/2026"/>
    <s v="04/08/2026"/>
    <x v="0"/>
    <s v=""/>
  </r>
  <r>
    <s v="NV0000712"/>
    <x v="35"/>
    <x v="8"/>
    <x v="5"/>
    <s v=""/>
    <n v="10"/>
    <s v="03/08/2026"/>
    <s v="12/08/2026"/>
    <x v="0"/>
    <s v=""/>
  </r>
  <r>
    <s v="NV0001380"/>
    <x v="120"/>
    <x v="9"/>
    <x v="0"/>
    <s v=""/>
    <n v="0.5"/>
    <s v="01/08/2026"/>
    <s v="01/08/2026"/>
    <x v="0"/>
    <s v="Sáng"/>
  </r>
  <r>
    <s v="NV0000659"/>
    <x v="31"/>
    <x v="9"/>
    <x v="3"/>
    <s v=""/>
    <n v="1"/>
    <s v="01/08/2026"/>
    <s v="01/08/2026"/>
    <x v="0"/>
    <s v=""/>
  </r>
  <r>
    <s v="NV0001354"/>
    <x v="121"/>
    <x v="9"/>
    <x v="0"/>
    <s v=""/>
    <n v="0.5"/>
    <s v="01/08/2026"/>
    <s v="01/08/2026"/>
    <x v="0"/>
    <s v="Sáng"/>
  </r>
  <r>
    <s v="NV0000040"/>
    <x v="122"/>
    <x v="14"/>
    <x v="3"/>
    <s v="Tập huấn - công tác"/>
    <n v="3"/>
    <s v="01/08/2026"/>
    <s v="03/08/2026"/>
    <x v="0"/>
    <s v=""/>
  </r>
  <r>
    <s v="NV0001094"/>
    <x v="63"/>
    <x v="9"/>
    <x v="3"/>
    <s v=""/>
    <n v="1"/>
    <s v="01/08/2026"/>
    <s v="01/08/2026"/>
    <x v="0"/>
    <s v=""/>
  </r>
  <r>
    <s v="NV0001396"/>
    <x v="23"/>
    <x v="0"/>
    <x v="0"/>
    <s v=""/>
    <n v="0.5"/>
    <s v="01/08/2026"/>
    <s v="01/08/2026"/>
    <x v="0"/>
    <s v="Sáng"/>
  </r>
  <r>
    <s v="NV0001130"/>
    <x v="123"/>
    <x v="9"/>
    <x v="0"/>
    <s v=""/>
    <n v="0.5"/>
    <s v="01/08/2026"/>
    <s v="01/08/2026"/>
    <x v="0"/>
    <s v="Sáng"/>
  </r>
  <r>
    <s v="NV0001064"/>
    <x v="105"/>
    <x v="14"/>
    <x v="5"/>
    <s v="Nhập viện."/>
    <n v="1"/>
    <s v="01/08/2026"/>
    <s v="01/08/2026"/>
    <x v="0"/>
    <s v=""/>
  </r>
  <r>
    <s v="NV0000976"/>
    <x v="30"/>
    <x v="4"/>
    <x v="1"/>
    <s v="Đi thi học kỳ"/>
    <s v="-"/>
    <s v="01/08/2026"/>
    <s v="01/08/2026"/>
    <x v="0"/>
    <s v="Sáng"/>
  </r>
  <r>
    <s v="NV0001417"/>
    <x v="103"/>
    <x v="2"/>
    <x v="3"/>
    <s v=""/>
    <s v="-"/>
    <s v="01/08/2026"/>
    <s v="01/08/2026"/>
    <x v="0"/>
    <s v=""/>
  </r>
  <r>
    <s v="NV0000009"/>
    <x v="29"/>
    <x v="13"/>
    <x v="0"/>
    <s v="Bản thân nằm viện"/>
    <n v="1"/>
    <s v="30/09/2026"/>
    <s v="30/09/2026"/>
    <x v="1"/>
    <s v=""/>
  </r>
  <r>
    <s v="NV0000195"/>
    <x v="124"/>
    <x v="14"/>
    <x v="3"/>
    <s v="Tập huấn  lồng ghép nội dung giáo dục quốc phòng và an ninh trong trường tiểu học, trường trung học cơ sở năm 2026"/>
    <n v="1"/>
    <s v="30/09/2026"/>
    <s v="30/09/2026"/>
    <x v="1"/>
    <s v="Sáng"/>
  </r>
  <r>
    <s v="NV0001258"/>
    <x v="84"/>
    <x v="4"/>
    <x v="0"/>
    <s v=""/>
    <n v="1"/>
    <s v="30/09/2026"/>
    <s v="30/09/2026"/>
    <x v="1"/>
    <s v=""/>
  </r>
  <r>
    <s v="NV0000083"/>
    <x v="71"/>
    <x v="1"/>
    <x v="0"/>
    <s v=""/>
    <n v="0.5"/>
    <s v="30/09/2026"/>
    <s v="30/09/2026"/>
    <x v="1"/>
    <s v="Sáng"/>
  </r>
  <r>
    <s v="NV0000056"/>
    <x v="81"/>
    <x v="4"/>
    <x v="0"/>
    <s v="Nghỉ phép năm 2026-2027"/>
    <n v="1"/>
    <s v="30/09/2026"/>
    <s v="30/09/2026"/>
    <x v="1"/>
    <s v=""/>
  </r>
  <r>
    <s v="NV0000182"/>
    <x v="125"/>
    <x v="14"/>
    <x v="3"/>
    <s v="Tập huấn lồng ghép nội dung giáo dục quốc phòng và an ninh trong trường tiểu học, trường trung học cơ sở năm 2026"/>
    <n v="1"/>
    <s v="30/09/2026"/>
    <s v="30/09/2026"/>
    <x v="1"/>
    <s v="Sáng"/>
  </r>
  <r>
    <s v="NV0001353"/>
    <x v="64"/>
    <x v="9"/>
    <x v="0"/>
    <s v=""/>
    <n v="1"/>
    <s v="30/09/2026"/>
    <s v="30/09/2026"/>
    <x v="1"/>
    <s v=""/>
  </r>
  <r>
    <s v="NV0001306"/>
    <x v="21"/>
    <x v="13"/>
    <x v="3"/>
    <s v="Làm việc tại nhà"/>
    <n v="1"/>
    <s v="30/09/2026"/>
    <s v="30/09/2026"/>
    <x v="1"/>
    <s v=""/>
  </r>
  <r>
    <s v="NV0000924"/>
    <x v="18"/>
    <x v="10"/>
    <x v="0"/>
    <s v=""/>
    <n v="0.5"/>
    <s v="30/09/2026"/>
    <s v="30/09/2026"/>
    <x v="1"/>
    <s v="Sáng"/>
  </r>
  <r>
    <s v="NV0000182"/>
    <x v="125"/>
    <x v="14"/>
    <x v="3"/>
    <s v="Tập huấn lồng ghép nội dung giáo dục quốc phòng và an ninh trong trường tiểu học, trường trung học cơ sở năm 2026"/>
    <n v="1"/>
    <s v="30/09/2026"/>
    <s v="30/09/2026"/>
    <x v="1"/>
    <s v="Chiều"/>
  </r>
  <r>
    <s v="NV0000195"/>
    <x v="124"/>
    <x v="14"/>
    <x v="3"/>
    <s v="Tập huấn lồng ghép nội dung giáo dục quốc phòng và an ninh trong trường tiểu học, trường trung học cơ sở năm 2026"/>
    <n v="1"/>
    <s v="30/09/2026"/>
    <s v="30/09/2026"/>
    <x v="1"/>
    <s v="Chiều"/>
  </r>
  <r>
    <s v="NV0000904"/>
    <x v="22"/>
    <x v="3"/>
    <x v="4"/>
    <s v="diarrhea, severe menstrual cramps, and unusually heavy menstrual bleeding."/>
    <n v="0.5"/>
    <s v="30/09/2026"/>
    <s v="30/09/2026"/>
    <x v="1"/>
    <s v="Chiều"/>
  </r>
  <r>
    <s v="NV0001262"/>
    <x v="96"/>
    <x v="4"/>
    <x v="0"/>
    <s v="Con bệnh"/>
    <n v="0.5"/>
    <s v="30/09/2026"/>
    <s v="30/09/2026"/>
    <x v="1"/>
    <s v="Sáng"/>
  </r>
  <r>
    <s v="NV0001371"/>
    <x v="126"/>
    <x v="9"/>
    <x v="0"/>
    <s v=""/>
    <n v="1"/>
    <s v="29/09/2026"/>
    <s v="29/09/2026"/>
    <x v="1"/>
    <s v=""/>
  </r>
  <r>
    <s v="NV0000593"/>
    <x v="127"/>
    <x v="14"/>
    <x v="1"/>
    <s v="NS"/>
    <n v="0.5"/>
    <s v="29/09/2026"/>
    <s v="29/09/2026"/>
    <x v="1"/>
    <s v="Sáng"/>
  </r>
  <r>
    <s v="NV0001195"/>
    <x v="77"/>
    <x v="2"/>
    <x v="5"/>
    <s v=""/>
    <n v="1"/>
    <s v="29/09/2026"/>
    <s v="29/09/2026"/>
    <x v="1"/>
    <s v=""/>
  </r>
  <r>
    <s v="NV0000650"/>
    <x v="118"/>
    <x v="9"/>
    <x v="0"/>
    <s v=""/>
    <n v="1"/>
    <s v="29/09/2026"/>
    <s v="29/09/2026"/>
    <x v="1"/>
    <s v=""/>
  </r>
  <r>
    <s v="NV0000247"/>
    <x v="128"/>
    <x v="14"/>
    <x v="2"/>
    <s v="Đưa con đi khám bệnh"/>
    <n v="1"/>
    <s v="29/09/2026"/>
    <s v="29/09/2026"/>
    <x v="1"/>
    <s v=""/>
  </r>
  <r>
    <s v="NV0000870"/>
    <x v="54"/>
    <x v="4"/>
    <x v="0"/>
    <s v="Chở con đi khám bệnh"/>
    <n v="0.5"/>
    <s v="29/09/2026"/>
    <s v="29/09/2026"/>
    <x v="1"/>
    <s v="Sáng"/>
  </r>
  <r>
    <s v="NV0001122"/>
    <x v="129"/>
    <x v="2"/>
    <x v="0"/>
    <s v=""/>
    <n v="1"/>
    <s v="29/09/2026"/>
    <s v="29/09/2026"/>
    <x v="1"/>
    <s v=""/>
  </r>
  <r>
    <s v="NV0000155"/>
    <x v="32"/>
    <x v="16"/>
    <x v="0"/>
    <s v=""/>
    <n v="1"/>
    <s v="29/09/2026"/>
    <s v="29/09/2026"/>
    <x v="1"/>
    <s v=""/>
  </r>
  <r>
    <s v="NV0000860"/>
    <x v="130"/>
    <x v="9"/>
    <x v="0"/>
    <s v=""/>
    <n v="1"/>
    <s v="29/09/2026"/>
    <s v="29/09/2026"/>
    <x v="1"/>
    <s v=""/>
  </r>
  <r>
    <s v="NV0000410"/>
    <x v="55"/>
    <x v="19"/>
    <x v="0"/>
    <s v=""/>
    <n v="0.5"/>
    <s v="29/09/2026"/>
    <s v="29/09/2026"/>
    <x v="1"/>
    <s v="Sáng"/>
  </r>
  <r>
    <s v="NV0001023"/>
    <x v="131"/>
    <x v="14"/>
    <x v="8"/>
    <s v="Kham thai dinh ki"/>
    <n v="1"/>
    <s v="29/09/2026"/>
    <s v="29/09/2026"/>
    <x v="1"/>
    <s v=""/>
  </r>
  <r>
    <s v="NV0001046"/>
    <x v="107"/>
    <x v="9"/>
    <x v="0"/>
    <s v=""/>
    <n v="2"/>
    <s v="29/09/2026"/>
    <s v="30/09/2026"/>
    <x v="1"/>
    <s v=""/>
  </r>
  <r>
    <s v="NV0000062"/>
    <x v="58"/>
    <x v="19"/>
    <x v="1"/>
    <s v=""/>
    <n v="1"/>
    <s v="29/09/2026"/>
    <s v="29/09/2026"/>
    <x v="1"/>
    <s v=""/>
  </r>
  <r>
    <s v="NV0000667"/>
    <x v="132"/>
    <x v="4"/>
    <x v="1"/>
    <s v=""/>
    <n v="1"/>
    <s v="29/09/2026"/>
    <s v="29/09/2026"/>
    <x v="1"/>
    <s v=""/>
  </r>
  <r>
    <s v="NV0000486"/>
    <x v="133"/>
    <x v="4"/>
    <x v="1"/>
    <s v=""/>
    <n v="1"/>
    <s v="28/09/2026"/>
    <s v="28/09/2026"/>
    <x v="1"/>
    <s v=""/>
  </r>
  <r>
    <s v="NV0001292"/>
    <x v="24"/>
    <x v="4"/>
    <x v="1"/>
    <s v=""/>
    <n v="0.5"/>
    <s v="28/09/2026"/>
    <s v="28/09/2026"/>
    <x v="1"/>
    <s v="Chiều"/>
  </r>
  <r>
    <s v="NV0000989"/>
    <x v="134"/>
    <x v="3"/>
    <x v="5"/>
    <s v="Điều trị sốt xuất huyết"/>
    <n v="3"/>
    <s v="28/09/2026"/>
    <s v="30/09/2026"/>
    <x v="1"/>
    <s v=""/>
  </r>
  <r>
    <s v="NV0001122"/>
    <x v="129"/>
    <x v="2"/>
    <x v="0"/>
    <s v=""/>
    <n v="1"/>
    <s v="28/09/2026"/>
    <s v="28/09/2026"/>
    <x v="1"/>
    <s v=""/>
  </r>
  <r>
    <s v="NV0000638"/>
    <x v="69"/>
    <x v="9"/>
    <x v="1"/>
    <s v=""/>
    <n v="1"/>
    <s v="28/09/2026"/>
    <s v="28/09/2026"/>
    <x v="1"/>
    <s v=""/>
  </r>
  <r>
    <s v="NV0000076"/>
    <x v="135"/>
    <x v="10"/>
    <x v="3"/>
    <s v="Số hóa văn bằng, chứng chỉ tại Sở Giáo Dục TP. Đồng Nai"/>
    <n v="3"/>
    <s v="28/09/2026"/>
    <s v="30/09/2026"/>
    <x v="1"/>
    <s v=""/>
  </r>
  <r>
    <s v="NV0001182"/>
    <x v="136"/>
    <x v="3"/>
    <x v="4"/>
    <s v=""/>
    <n v="1"/>
    <s v="28/09/2026"/>
    <s v="28/09/2026"/>
    <x v="1"/>
    <s v=""/>
  </r>
  <r>
    <s v="NV0000009"/>
    <x v="29"/>
    <x v="13"/>
    <x v="0"/>
    <s v="Bản thân nằm viện"/>
    <n v="2"/>
    <s v="28/09/2026"/>
    <s v="29/09/2026"/>
    <x v="1"/>
    <s v=""/>
  </r>
  <r>
    <s v="NV0000533"/>
    <x v="83"/>
    <x v="4"/>
    <x v="5"/>
    <s v="Nghỉ có BHXH ( bị té xe nứt xương cổ tay) "/>
    <n v="5"/>
    <s v="28/09/2026"/>
    <s v="02/10/2026"/>
    <x v="1"/>
    <s v=""/>
  </r>
  <r>
    <s v="NV0001393"/>
    <x v="119"/>
    <x v="9"/>
    <x v="6"/>
    <s v=""/>
    <n v="4"/>
    <s v="28/09/2026"/>
    <s v="01/10/2026"/>
    <x v="1"/>
    <s v=""/>
  </r>
  <r>
    <s v="NV0001023"/>
    <x v="131"/>
    <x v="14"/>
    <x v="8"/>
    <s v="Kham thai dinh ki"/>
    <n v="1"/>
    <s v="28/09/2026"/>
    <s v="28/09/2026"/>
    <x v="1"/>
    <s v=""/>
  </r>
  <r>
    <s v="NV0001046"/>
    <x v="107"/>
    <x v="9"/>
    <x v="5"/>
    <s v=""/>
    <n v="1"/>
    <s v="28/09/2026"/>
    <s v="28/09/2026"/>
    <x v="1"/>
    <s v=""/>
  </r>
  <r>
    <s v="NV0000091"/>
    <x v="137"/>
    <x v="2"/>
    <x v="0"/>
    <s v=""/>
    <n v="2"/>
    <s v="28/09/2026"/>
    <s v="29/09/2026"/>
    <x v="1"/>
    <s v=""/>
  </r>
  <r>
    <s v="NV0001154"/>
    <x v="70"/>
    <x v="0"/>
    <x v="0"/>
    <s v=""/>
    <n v="3"/>
    <s v="28/09/2026"/>
    <s v="30/09/2026"/>
    <x v="1"/>
    <s v=""/>
  </r>
  <r>
    <s v="NV0001106"/>
    <x v="97"/>
    <x v="9"/>
    <x v="0"/>
    <s v=""/>
    <n v="0.5"/>
    <s v="26/09/2026"/>
    <s v="26/09/2026"/>
    <x v="1"/>
    <s v="Sáng"/>
  </r>
  <r>
    <s v="NV0000076"/>
    <x v="135"/>
    <x v="10"/>
    <x v="3"/>
    <s v="Số hóa văn bằng, chứng chỉ tại Sở giáo dục Đồng Nai."/>
    <n v="0.5"/>
    <s v="26/09/2026"/>
    <s v="26/09/2026"/>
    <x v="1"/>
    <s v="Sáng"/>
  </r>
  <r>
    <s v="NV0000059"/>
    <x v="138"/>
    <x v="5"/>
    <x v="0"/>
    <s v="Đám cưới người thân ở xa"/>
    <n v="0.5"/>
    <s v="26/09/2026"/>
    <s v="26/09/2026"/>
    <x v="1"/>
    <s v="Sáng"/>
  </r>
  <r>
    <s v="NV0001412"/>
    <x v="139"/>
    <x v="24"/>
    <x v="5"/>
    <s v="Công việc gia đình"/>
    <n v="0.5"/>
    <s v="25/09/2026"/>
    <s v="25/09/2026"/>
    <x v="1"/>
    <s v="Chiều"/>
  </r>
  <r>
    <s v="NV0000825"/>
    <x v="140"/>
    <x v="25"/>
    <x v="2"/>
    <s v=""/>
    <n v="0.5"/>
    <s v="25/09/2026"/>
    <s v="25/09/2026"/>
    <x v="1"/>
    <s v="Chiều"/>
  </r>
  <r>
    <s v="NV0001272"/>
    <x v="11"/>
    <x v="9"/>
    <x v="5"/>
    <s v=""/>
    <n v="1"/>
    <s v="25/09/2026"/>
    <s v="25/09/2026"/>
    <x v="1"/>
    <s v=""/>
  </r>
  <r>
    <s v="NV0000197"/>
    <x v="6"/>
    <x v="5"/>
    <x v="3"/>
    <s v="Xin làm tại nhà do đau thắt lưng không di chuyển được nhiều. "/>
    <n v="2"/>
    <s v="25/09/2026"/>
    <s v="26/09/2026"/>
    <x v="1"/>
    <s v=""/>
  </r>
  <r>
    <s v="NV0001357"/>
    <x v="141"/>
    <x v="9"/>
    <x v="0"/>
    <s v=""/>
    <n v="1"/>
    <s v="25/09/2026"/>
    <s v="25/09/2026"/>
    <x v="1"/>
    <s v=""/>
  </r>
  <r>
    <s v="NV0001393"/>
    <x v="119"/>
    <x v="9"/>
    <x v="6"/>
    <s v=""/>
    <n v="1"/>
    <s v="25/09/2026"/>
    <s v="25/09/2026"/>
    <x v="1"/>
    <s v=""/>
  </r>
  <r>
    <s v="NV0001106"/>
    <x v="97"/>
    <x v="9"/>
    <x v="1"/>
    <s v=""/>
    <n v="1"/>
    <s v="25/09/2026"/>
    <s v="25/09/2026"/>
    <x v="1"/>
    <s v=""/>
  </r>
  <r>
    <s v="NV0000009"/>
    <x v="29"/>
    <x v="13"/>
    <x v="0"/>
    <s v="Bản thân nằm viện"/>
    <n v="2"/>
    <s v="24/09/2026"/>
    <s v="25/09/2026"/>
    <x v="1"/>
    <s v=""/>
  </r>
  <r>
    <s v="NV0000096"/>
    <x v="111"/>
    <x v="2"/>
    <x v="3"/>
    <s v="Đi công tác Long Khánh"/>
    <n v="1"/>
    <s v="24/09/2026"/>
    <s v="24/09/2026"/>
    <x v="1"/>
    <s v=""/>
  </r>
  <r>
    <s v="NV0000825"/>
    <x v="140"/>
    <x v="25"/>
    <x v="2"/>
    <s v=""/>
    <n v="1"/>
    <s v="24/09/2026"/>
    <s v="24/09/2026"/>
    <x v="1"/>
    <s v=""/>
  </r>
  <r>
    <s v="NV0000025"/>
    <x v="45"/>
    <x v="13"/>
    <x v="1"/>
    <s v="Nghỉ đi khám bệnh"/>
    <n v="0.5"/>
    <s v="24/09/2026"/>
    <s v="24/09/2026"/>
    <x v="1"/>
    <s v="Sáng"/>
  </r>
  <r>
    <s v="NV0000924"/>
    <x v="18"/>
    <x v="10"/>
    <x v="0"/>
    <s v=""/>
    <n v="0.5"/>
    <s v="24/09/2026"/>
    <s v="24/09/2026"/>
    <x v="1"/>
    <s v="Sáng"/>
  </r>
  <r>
    <s v="NV0000165"/>
    <x v="39"/>
    <x v="10"/>
    <x v="1"/>
    <s v=""/>
    <n v="0.5"/>
    <s v="24/09/2026"/>
    <s v="24/09/2026"/>
    <x v="1"/>
    <s v="Sáng"/>
  </r>
  <r>
    <s v="NV0001107"/>
    <x v="142"/>
    <x v="4"/>
    <x v="1"/>
    <s v=""/>
    <n v="1"/>
    <s v="24/09/2026"/>
    <s v="24/09/2026"/>
    <x v="1"/>
    <s v=""/>
  </r>
  <r>
    <s v="NV0000134"/>
    <x v="143"/>
    <x v="13"/>
    <x v="0"/>
    <s v="Xin nghỉ 1 buổi lý do bị bệnh."/>
    <n v="0.5"/>
    <s v="24/09/2026"/>
    <s v="24/09/2026"/>
    <x v="1"/>
    <s v="Chiều"/>
  </r>
  <r>
    <s v="NV0001154"/>
    <x v="70"/>
    <x v="0"/>
    <x v="0"/>
    <s v=""/>
    <n v="1"/>
    <s v="24/09/2026"/>
    <s v="24/09/2026"/>
    <x v="1"/>
    <s v=""/>
  </r>
  <r>
    <s v="NV0001203"/>
    <x v="144"/>
    <x v="0"/>
    <x v="5"/>
    <s v=""/>
    <n v="7"/>
    <s v="24/09/2026"/>
    <s v="30/09/2026"/>
    <x v="1"/>
    <s v=""/>
  </r>
  <r>
    <s v="NV0001306"/>
    <x v="21"/>
    <x v="13"/>
    <x v="3"/>
    <s v="Làm việc từ xa tại nhà"/>
    <n v="1"/>
    <s v="23/09/2026"/>
    <s v="23/09/2026"/>
    <x v="1"/>
    <s v="Sáng"/>
  </r>
  <r>
    <s v="NV0001306"/>
    <x v="21"/>
    <x v="13"/>
    <x v="3"/>
    <s v="Tham dự buổi giới thiệu giáo dục Hoa Kì do Tổng Lãnh sự tổ chức (HS LHBS tham dự 41 em + 2 GV)"/>
    <n v="1"/>
    <s v="23/09/2026"/>
    <s v="23/09/2026"/>
    <x v="1"/>
    <s v="Chiều"/>
  </r>
  <r>
    <s v="NV0000677"/>
    <x v="91"/>
    <x v="3"/>
    <x v="3"/>
    <s v="Tham gia Ngày hội du học Mỹ tại TP.HCM cùng HS THPT."/>
    <n v="0.5"/>
    <s v="23/09/2026"/>
    <s v="23/09/2026"/>
    <x v="1"/>
    <s v="Chiều"/>
  </r>
  <r>
    <s v="NV0000025"/>
    <x v="45"/>
    <x v="13"/>
    <x v="3"/>
    <s v="Dự HN tập huấn về công tác bảo đảm CLGD "/>
    <n v="1"/>
    <s v="23/09/2026"/>
    <s v="23/09/2026"/>
    <x v="1"/>
    <s v=""/>
  </r>
  <r>
    <s v="NV0000134"/>
    <x v="143"/>
    <x v="13"/>
    <x v="3"/>
    <s v="Tập huấn về công tác bảo đảm chất lượng giáo dục."/>
    <n v="1"/>
    <s v="23/09/2026"/>
    <s v="23/09/2026"/>
    <x v="1"/>
    <s v=""/>
  </r>
  <r>
    <s v="NV0000133"/>
    <x v="113"/>
    <x v="4"/>
    <x v="3"/>
    <s v="Tập huấn công tác đảm bảo chất lượng do sở giáo dục tổ chức."/>
    <n v="1"/>
    <s v="23/09/2026"/>
    <s v="23/09/2026"/>
    <x v="1"/>
    <s v=""/>
  </r>
  <r>
    <s v="NV0001187"/>
    <x v="145"/>
    <x v="25"/>
    <x v="1"/>
    <s v=""/>
    <n v="0.5"/>
    <s v="23/09/2026"/>
    <s v="23/09/2026"/>
    <x v="1"/>
    <s v="Sáng"/>
  </r>
  <r>
    <s v="NV0001121"/>
    <x v="146"/>
    <x v="25"/>
    <x v="5"/>
    <s v=""/>
    <n v="0.5"/>
    <s v="23/09/2026"/>
    <s v="23/09/2026"/>
    <x v="1"/>
    <s v="Sáng"/>
  </r>
  <r>
    <s v="NV0001221"/>
    <x v="89"/>
    <x v="4"/>
    <x v="3"/>
    <s v="Tập huấn công tác bảo đảm chất lượng giáo dục - ĐHĐN"/>
    <n v="1"/>
    <s v="23/09/2026"/>
    <s v="23/09/2026"/>
    <x v="1"/>
    <s v=""/>
  </r>
  <r>
    <s v="NV0000638"/>
    <x v="69"/>
    <x v="9"/>
    <x v="0"/>
    <s v=""/>
    <n v="0.5"/>
    <s v="23/09/2026"/>
    <s v="23/09/2026"/>
    <x v="1"/>
    <s v="Sáng"/>
  </r>
  <r>
    <s v="NV0001375"/>
    <x v="42"/>
    <x v="9"/>
    <x v="3"/>
    <s v="Kính gửi chị Hoa, ngày 23/9 em book phép công tác đi tập huấn tại trường ĐH Đồng Nai theo thư mời triệu tập từ ủy ban Phường và Sở giáo dục. Kính mong chị phê duyệt. Trân trọng./."/>
    <n v="1"/>
    <s v="23/09/2026"/>
    <s v="23/09/2026"/>
    <x v="1"/>
    <s v=""/>
  </r>
  <r>
    <s v="NV0001186"/>
    <x v="147"/>
    <x v="8"/>
    <x v="4"/>
    <s v="Sick leave – I need to visit the hospital for a medical check-up."/>
    <n v="1"/>
    <s v="23/09/2026"/>
    <s v="23/09/2026"/>
    <x v="1"/>
    <s v=""/>
  </r>
  <r>
    <s v="NV0000978"/>
    <x v="36"/>
    <x v="11"/>
    <x v="0"/>
    <s v=""/>
    <n v="1"/>
    <s v="23/09/2026"/>
    <s v="23/09/2026"/>
    <x v="1"/>
    <s v=""/>
  </r>
  <r>
    <s v="NV0001179"/>
    <x v="148"/>
    <x v="20"/>
    <x v="0"/>
    <s v="Sức khoẻ"/>
    <n v="0.5"/>
    <s v="23/09/2026"/>
    <s v="23/09/2026"/>
    <x v="1"/>
    <s v="Chiều"/>
  </r>
  <r>
    <s v="NV0001287"/>
    <x v="16"/>
    <x v="11"/>
    <x v="0"/>
    <s v=""/>
    <n v="1"/>
    <s v="22/09/2026"/>
    <s v="22/09/2026"/>
    <x v="1"/>
    <s v=""/>
  </r>
  <r>
    <s v="NV0000477"/>
    <x v="149"/>
    <x v="2"/>
    <x v="0"/>
    <s v=""/>
    <n v="1"/>
    <s v="22/09/2026"/>
    <s v="22/09/2026"/>
    <x v="1"/>
    <s v=""/>
  </r>
  <r>
    <s v="NV0000677"/>
    <x v="91"/>
    <x v="3"/>
    <x v="3"/>
    <s v="Tham gia buổi họp mặt do Tổng lãnh sự Hoa Kì tổ chức kết nối các trường tại TP.HCM và Hoa Kì"/>
    <n v="1"/>
    <s v="22/09/2026"/>
    <s v="22/09/2026"/>
    <x v="1"/>
    <s v=""/>
  </r>
  <r>
    <s v="NV0001296"/>
    <x v="150"/>
    <x v="14"/>
    <x v="1"/>
    <s v=""/>
    <n v="1"/>
    <s v="22/09/2026"/>
    <s v="22/09/2026"/>
    <x v="1"/>
    <s v=""/>
  </r>
  <r>
    <s v="NV0000935"/>
    <x v="62"/>
    <x v="19"/>
    <x v="0"/>
    <s v="E xin phép nghỉ chăm con bệnh "/>
    <n v="1"/>
    <s v="22/09/2026"/>
    <s v="22/09/2026"/>
    <x v="1"/>
    <s v=""/>
  </r>
  <r>
    <s v="NV0000197"/>
    <x v="6"/>
    <x v="5"/>
    <x v="0"/>
    <s v="Bận việc gia đình"/>
    <n v="0.5"/>
    <s v="22/09/2026"/>
    <s v="22/09/2026"/>
    <x v="1"/>
    <s v="Sáng"/>
  </r>
  <r>
    <s v="NV0000975"/>
    <x v="79"/>
    <x v="3"/>
    <x v="2"/>
    <s v="Bệnh viêm hô hấp trào ngược"/>
    <n v="0.5"/>
    <s v="22/09/2026"/>
    <s v="22/09/2026"/>
    <x v="1"/>
    <s v="Sáng"/>
  </r>
  <r>
    <s v="NV0000134"/>
    <x v="143"/>
    <x v="13"/>
    <x v="0"/>
    <s v="Cho con đi khám"/>
    <n v="0.5"/>
    <s v="22/09/2026"/>
    <s v="22/09/2026"/>
    <x v="1"/>
    <s v="Chiều"/>
  </r>
  <r>
    <s v="NV0000799"/>
    <x v="151"/>
    <x v="8"/>
    <x v="2"/>
    <s v="Chăm người thân ốm, đã bàn giao công việc cho GV dạy thế"/>
    <n v="0.5"/>
    <s v="22/09/2026"/>
    <s v="22/09/2026"/>
    <x v="1"/>
    <s v="Chiều"/>
  </r>
  <r>
    <s v="NV0001402"/>
    <x v="101"/>
    <x v="4"/>
    <x v="0"/>
    <s v="Mượn phép năm 2026-2027"/>
    <n v="1"/>
    <s v="22/09/2026"/>
    <s v="22/09/2026"/>
    <x v="1"/>
    <s v=""/>
  </r>
  <r>
    <s v="NV0001114"/>
    <x v="78"/>
    <x v="2"/>
    <x v="0"/>
    <s v=""/>
    <n v="1"/>
    <s v="22/09/2026"/>
    <s v="22/09/2026"/>
    <x v="1"/>
    <s v=""/>
  </r>
  <r>
    <s v="NV0000155"/>
    <x v="32"/>
    <x v="16"/>
    <x v="0"/>
    <s v=""/>
    <n v="1"/>
    <s v="22/09/2026"/>
    <s v="22/09/2026"/>
    <x v="1"/>
    <s v=""/>
  </r>
  <r>
    <s v="NV0001306"/>
    <x v="21"/>
    <x v="13"/>
    <x v="3"/>
    <s v="Làm việc từ xa tại nhà"/>
    <n v="1"/>
    <s v="22/09/2026"/>
    <s v="22/09/2026"/>
    <x v="1"/>
    <s v="Sáng"/>
  </r>
  <r>
    <s v="NV0001306"/>
    <x v="21"/>
    <x v="13"/>
    <x v="3"/>
    <s v="Tham dự chương trình gặp mặt các trường ĐH, CĐ Hoa Kì do Tổng lãnh sự Hoa Kì tổ chức"/>
    <n v="1"/>
    <s v="22/09/2026"/>
    <s v="22/09/2026"/>
    <x v="1"/>
    <s v="Chiều"/>
  </r>
  <r>
    <s v="NV0000890"/>
    <x v="152"/>
    <x v="4"/>
    <x v="2"/>
    <s v="Đám tang Bà ngoại."/>
    <n v="1"/>
    <s v="22/09/2026"/>
    <s v="22/09/2026"/>
    <x v="1"/>
    <s v=""/>
  </r>
  <r>
    <s v="NV0000009"/>
    <x v="29"/>
    <x v="13"/>
    <x v="0"/>
    <s v="Bản thân nằm viện"/>
    <n v="3"/>
    <s v="21/09/2026"/>
    <s v="23/09/2026"/>
    <x v="1"/>
    <s v=""/>
  </r>
  <r>
    <s v="NV0000080"/>
    <x v="1"/>
    <x v="1"/>
    <x v="0"/>
    <s v=""/>
    <n v="0.5"/>
    <s v="21/09/2026"/>
    <s v="21/09/2026"/>
    <x v="1"/>
    <s v="Chiều"/>
  </r>
  <r>
    <s v="NV0000605"/>
    <x v="153"/>
    <x v="4"/>
    <x v="5"/>
    <s v=""/>
    <n v="1"/>
    <s v="21/09/2026"/>
    <s v="21/09/2026"/>
    <x v="1"/>
    <s v=""/>
  </r>
  <r>
    <s v="NV0001054"/>
    <x v="60"/>
    <x v="14"/>
    <x v="9"/>
    <s v=""/>
    <n v="1"/>
    <s v="21/09/2026"/>
    <s v="21/09/2026"/>
    <x v="1"/>
    <s v=""/>
  </r>
  <r>
    <s v="NV0000133"/>
    <x v="113"/>
    <x v="4"/>
    <x v="0"/>
    <s v="Chăm con ốm"/>
    <n v="1"/>
    <s v="21/09/2026"/>
    <s v="21/09/2026"/>
    <x v="1"/>
    <s v=""/>
  </r>
  <r>
    <s v="NV0001314"/>
    <x v="154"/>
    <x v="10"/>
    <x v="2"/>
    <s v=""/>
    <n v="0.5"/>
    <s v="21/09/2026"/>
    <s v="21/09/2026"/>
    <x v="1"/>
    <s v="Sáng"/>
  </r>
  <r>
    <s v="NV0001199"/>
    <x v="4"/>
    <x v="3"/>
    <x v="2"/>
    <s v="Due to fever and flu; home medication"/>
    <n v="0.5"/>
    <s v="21/09/2026"/>
    <s v="21/09/2026"/>
    <x v="1"/>
    <s v="Sáng"/>
  </r>
  <r>
    <s v="NV0000712"/>
    <x v="35"/>
    <x v="0"/>
    <x v="0"/>
    <s v="NS"/>
    <n v="3"/>
    <s v="21/09/2026"/>
    <s v="23/09/2026"/>
    <x v="1"/>
    <s v=""/>
  </r>
  <r>
    <s v="NV0000736"/>
    <x v="106"/>
    <x v="4"/>
    <x v="5"/>
    <s v="Nghỉ khám thai"/>
    <n v="1"/>
    <s v="21/09/2026"/>
    <s v="21/09/2026"/>
    <x v="1"/>
    <s v=""/>
  </r>
  <r>
    <s v="NV0001296"/>
    <x v="150"/>
    <x v="14"/>
    <x v="2"/>
    <s v=""/>
    <n v="1"/>
    <s v="21/09/2026"/>
    <s v="21/09/2026"/>
    <x v="1"/>
    <s v=""/>
  </r>
  <r>
    <s v="NV0000076"/>
    <x v="135"/>
    <x v="10"/>
    <x v="3"/>
    <s v="Số hóa văn bằng, chứng chỉ tại Sở giáo dục Đồng Nai."/>
    <n v="5"/>
    <s v="21/09/2026"/>
    <s v="25/09/2026"/>
    <x v="1"/>
    <s v=""/>
  </r>
  <r>
    <s v="NV0000450"/>
    <x v="155"/>
    <x v="8"/>
    <x v="4"/>
    <s v=""/>
    <n v="1"/>
    <s v="21/09/2026"/>
    <s v="21/09/2026"/>
    <x v="1"/>
    <s v=""/>
  </r>
  <r>
    <s v="NV0001203"/>
    <x v="144"/>
    <x v="0"/>
    <x v="0"/>
    <s v=""/>
    <n v="3"/>
    <s v="21/09/2026"/>
    <s v="23/09/2026"/>
    <x v="1"/>
    <s v=""/>
  </r>
  <r>
    <s v="NV0001374"/>
    <x v="14"/>
    <x v="4"/>
    <x v="5"/>
    <s v=""/>
    <n v="1"/>
    <s v="21/09/2026"/>
    <s v="21/09/2026"/>
    <x v="1"/>
    <s v=""/>
  </r>
  <r>
    <s v="NV0000975"/>
    <x v="79"/>
    <x v="3"/>
    <x v="2"/>
    <s v="Bệnh viêm hô hấp trào ngược"/>
    <n v="1"/>
    <s v="21/09/2026"/>
    <s v="21/09/2026"/>
    <x v="1"/>
    <s v=""/>
  </r>
  <r>
    <s v="NV0000875"/>
    <x v="156"/>
    <x v="2"/>
    <x v="1"/>
    <s v=""/>
    <n v="1"/>
    <s v="21/09/2026"/>
    <s v="21/09/2026"/>
    <x v="1"/>
    <s v=""/>
  </r>
  <r>
    <s v="NV0000979"/>
    <x v="157"/>
    <x v="26"/>
    <x v="2"/>
    <s v="GV bị sốt"/>
    <n v="0.5"/>
    <s v="21/09/2026"/>
    <s v="21/09/2026"/>
    <x v="1"/>
    <s v="Sáng"/>
  </r>
  <r>
    <s v="NV0001090"/>
    <x v="158"/>
    <x v="26"/>
    <x v="3"/>
    <s v="Lễ khánh thành thư viện công nghệ STEMHUB"/>
    <n v="0.5"/>
    <s v="19/09/2026"/>
    <s v="19/09/2026"/>
    <x v="1"/>
    <s v="Sáng"/>
  </r>
  <r>
    <s v="NV0000524"/>
    <x v="159"/>
    <x v="27"/>
    <x v="3"/>
    <s v="Tham gia lễ khánh thành thư viện STEMHub của LHU"/>
    <n v="0.5"/>
    <s v="19/09/2026"/>
    <s v="19/09/2026"/>
    <x v="1"/>
    <s v="Sáng"/>
  </r>
  <r>
    <s v="NV0000242"/>
    <x v="3"/>
    <x v="1"/>
    <x v="0"/>
    <s v=""/>
    <n v="0.5"/>
    <s v="19/09/2026"/>
    <s v="19/09/2026"/>
    <x v="1"/>
    <s v="Sáng"/>
  </r>
  <r>
    <s v="NV0001258"/>
    <x v="84"/>
    <x v="4"/>
    <x v="0"/>
    <s v="Ốm, bệnh"/>
    <n v="0.5"/>
    <s v="18/09/2026"/>
    <s v="18/09/2026"/>
    <x v="1"/>
    <s v="Chiều"/>
  </r>
  <r>
    <s v="NV0000025"/>
    <x v="45"/>
    <x v="13"/>
    <x v="3"/>
    <s v="Dự hội nghị triển khai nhiệm vụ năm học 26-27 của SGD"/>
    <n v="0.5"/>
    <s v="18/09/2026"/>
    <s v="18/09/2026"/>
    <x v="1"/>
    <s v="Chiều"/>
  </r>
  <r>
    <s v="NV0001221"/>
    <x v="89"/>
    <x v="4"/>
    <x v="1"/>
    <s v=""/>
    <n v="1"/>
    <s v="18/09/2026"/>
    <s v="18/09/2026"/>
    <x v="1"/>
    <s v=""/>
  </r>
  <r>
    <s v="NV0001147"/>
    <x v="92"/>
    <x v="1"/>
    <x v="0"/>
    <s v="Bận công việc gia đình"/>
    <n v="1"/>
    <s v="18/09/2026"/>
    <s v="18/09/2026"/>
    <x v="1"/>
    <s v=""/>
  </r>
  <r>
    <s v="NV0000722"/>
    <x v="112"/>
    <x v="21"/>
    <x v="3"/>
    <s v="Going to longkhanh for observation and training for IEYC"/>
    <n v="0.5"/>
    <s v="18/09/2026"/>
    <s v="18/09/2026"/>
    <x v="1"/>
    <s v="Sáng"/>
  </r>
  <r>
    <s v="NV0001306"/>
    <x v="21"/>
    <x v="13"/>
    <x v="3"/>
    <s v="Làm việc từ xa tại nhà."/>
    <n v="1"/>
    <s v="18/09/2026"/>
    <s v="18/09/2026"/>
    <x v="1"/>
    <s v=""/>
  </r>
  <r>
    <s v="NV0000060"/>
    <x v="160"/>
    <x v="10"/>
    <x v="0"/>
    <s v=""/>
    <n v="0.5"/>
    <s v="18/09/2026"/>
    <s v="18/09/2026"/>
    <x v="1"/>
    <s v="Chiều"/>
  </r>
  <r>
    <s v="NV0000935"/>
    <x v="62"/>
    <x v="19"/>
    <x v="1"/>
    <s v="Em xin phép nghỉ đưa con khám bệnh"/>
    <n v="1"/>
    <s v="18/09/2026"/>
    <s v="18/09/2026"/>
    <x v="1"/>
    <s v=""/>
  </r>
  <r>
    <s v="NV0000890"/>
    <x v="152"/>
    <x v="4"/>
    <x v="0"/>
    <s v=""/>
    <n v="0.5"/>
    <s v="18/09/2026"/>
    <s v="18/09/2026"/>
    <x v="1"/>
    <s v="Chiều"/>
  </r>
  <r>
    <s v="NV0000971"/>
    <x v="161"/>
    <x v="9"/>
    <x v="0"/>
    <s v=""/>
    <n v="1"/>
    <s v="18/09/2026"/>
    <s v="18/09/2026"/>
    <x v="1"/>
    <s v=""/>
  </r>
  <r>
    <s v="NV0001296"/>
    <x v="150"/>
    <x v="14"/>
    <x v="5"/>
    <s v="NS"/>
    <n v="1"/>
    <s v="18/09/2026"/>
    <s v="18/09/2026"/>
    <x v="1"/>
    <s v=""/>
  </r>
  <r>
    <s v="NV0000062"/>
    <x v="58"/>
    <x v="19"/>
    <x v="0"/>
    <s v=""/>
    <n v="0.5"/>
    <s v="17/09/2026"/>
    <s v="17/09/2026"/>
    <x v="1"/>
    <s v="Chiều"/>
  </r>
  <r>
    <s v="NV0000133"/>
    <x v="113"/>
    <x v="4"/>
    <x v="3"/>
    <s v="Tham gia tập huấn tại phường bình phước. "/>
    <n v="1"/>
    <s v="17/09/2026"/>
    <s v="17/09/2026"/>
    <x v="1"/>
    <s v=""/>
  </r>
  <r>
    <s v="NV0000084"/>
    <x v="47"/>
    <x v="16"/>
    <x v="0"/>
    <s v=""/>
    <n v="1"/>
    <s v="17/09/2026"/>
    <s v="17/09/2026"/>
    <x v="1"/>
    <s v=""/>
  </r>
  <r>
    <s v="NV0000197"/>
    <x v="6"/>
    <x v="5"/>
    <x v="1"/>
    <s v="Bệnh"/>
    <n v="0.5"/>
    <s v="17/09/2026"/>
    <s v="17/09/2026"/>
    <x v="1"/>
    <s v="Sáng"/>
  </r>
  <r>
    <s v="NV0000594"/>
    <x v="162"/>
    <x v="14"/>
    <x v="1"/>
    <s v=""/>
    <n v="1"/>
    <s v="17/09/2026"/>
    <s v="17/09/2026"/>
    <x v="1"/>
    <s v="Sáng"/>
  </r>
  <r>
    <s v="NV0000907"/>
    <x v="163"/>
    <x v="3"/>
    <x v="4"/>
    <s v="I have an online appointment in the U.S. regarding family paperwork. It was originally scheduled for the evening Vietnam time but was rescheduled to 7:15 a.m. Thank you to Ms. Thuy for kindly approvin"/>
    <n v="0.5"/>
    <s v="17/09/2026"/>
    <s v="17/09/2026"/>
    <x v="1"/>
    <s v="Sáng"/>
  </r>
  <r>
    <s v="NV0000594"/>
    <x v="162"/>
    <x v="14"/>
    <x v="1"/>
    <s v=""/>
    <n v="1"/>
    <s v="17/09/2026"/>
    <s v="17/09/2026"/>
    <x v="1"/>
    <s v="Chiều"/>
  </r>
  <r>
    <s v="NV0000750"/>
    <x v="164"/>
    <x v="3"/>
    <x v="1"/>
    <s v="Đi tái khám"/>
    <n v="0.5"/>
    <s v="17/09/2026"/>
    <s v="17/09/2026"/>
    <x v="1"/>
    <s v="Chiều"/>
  </r>
  <r>
    <s v="NV0001221"/>
    <x v="89"/>
    <x v="4"/>
    <x v="3"/>
    <s v="Tham dự Hội nghị tập huấn công tác Phổ cập giáo dục – Xóa mù chữ (PCGD – XMC) trên địa bàn TP. Đồng Nai năm 2026"/>
    <n v="0.5"/>
    <s v="17/09/2026"/>
    <s v="17/09/2026"/>
    <x v="1"/>
    <s v="Chiều"/>
  </r>
  <r>
    <s v="NV0001375"/>
    <x v="42"/>
    <x v="9"/>
    <x v="3"/>
    <s v="Kính gửi chị Hoa, em book phép công tác ngày 17/9/2026 tham gia tập huấn tại trường ĐH Đồng Nai cơ sở 2 (P. Bình Phước cũ) theo yêu cầu từ Sở. Kính mong chị phê duyệt. "/>
    <n v="1"/>
    <s v="17/09/2026"/>
    <s v="17/09/2026"/>
    <x v="1"/>
    <s v=""/>
  </r>
  <r>
    <s v="NV0000410"/>
    <x v="55"/>
    <x v="19"/>
    <x v="0"/>
    <s v="Nghỉ phép năm"/>
    <n v="1"/>
    <s v="17/09/2026"/>
    <s v="17/09/2026"/>
    <x v="1"/>
    <s v=""/>
  </r>
  <r>
    <s v="NV0000227"/>
    <x v="68"/>
    <x v="7"/>
    <x v="5"/>
    <s v="NS"/>
    <n v="1"/>
    <s v="17/09/2026"/>
    <s v="17/09/2026"/>
    <x v="1"/>
    <s v=""/>
  </r>
  <r>
    <s v="NV0000096"/>
    <x v="111"/>
    <x v="2"/>
    <x v="3"/>
    <s v="Mua đồ dùng bếp"/>
    <n v="0.5"/>
    <s v="16/09/2026"/>
    <s v="16/09/2026"/>
    <x v="1"/>
    <s v="Sáng"/>
  </r>
  <r>
    <s v="NV0000062"/>
    <x v="58"/>
    <x v="19"/>
    <x v="0"/>
    <s v=""/>
    <n v="0.5"/>
    <s v="16/09/2026"/>
    <s v="16/09/2026"/>
    <x v="1"/>
    <s v="Sáng"/>
  </r>
  <r>
    <s v="NV0001353"/>
    <x v="64"/>
    <x v="9"/>
    <x v="3"/>
    <s v=""/>
    <n v="1"/>
    <s v="16/09/2026"/>
    <s v="16/09/2026"/>
    <x v="1"/>
    <s v=""/>
  </r>
  <r>
    <s v="NV0001425"/>
    <x v="165"/>
    <x v="4"/>
    <x v="3"/>
    <s v="Tâph huấn chuyên môn theo công văn của sở GD&amp;ĐT Đồng Nai số 4976/SGĐT- GDMN"/>
    <n v="1"/>
    <s v="16/09/2026"/>
    <s v="16/09/2026"/>
    <x v="1"/>
    <s v=""/>
  </r>
  <r>
    <s v="NV0000679"/>
    <x v="166"/>
    <x v="4"/>
    <x v="3"/>
    <s v=""/>
    <n v="1"/>
    <s v="16/09/2026"/>
    <s v="16/09/2026"/>
    <x v="1"/>
    <s v=""/>
  </r>
  <r>
    <s v="NV0000924"/>
    <x v="18"/>
    <x v="10"/>
    <x v="0"/>
    <s v=""/>
    <n v="0.5"/>
    <s v="16/09/2026"/>
    <s v="16/09/2026"/>
    <x v="1"/>
    <s v="Sáng"/>
  </r>
  <r>
    <s v="NV0000792"/>
    <x v="19"/>
    <x v="12"/>
    <x v="0"/>
    <s v="Làm tại nhà"/>
    <n v="1"/>
    <s v="16/09/2026"/>
    <s v="16/09/2026"/>
    <x v="1"/>
    <s v=""/>
  </r>
  <r>
    <s v="NV0001431"/>
    <x v="167"/>
    <x v="0"/>
    <x v="1"/>
    <s v="Xin nghỉ đi khám bệnh"/>
    <n v="1"/>
    <s v="16/09/2026"/>
    <s v="16/09/2026"/>
    <x v="1"/>
    <s v=""/>
  </r>
  <r>
    <s v="NV0000871"/>
    <x v="168"/>
    <x v="2"/>
    <x v="1"/>
    <s v=""/>
    <n v="1"/>
    <s v="16/09/2026"/>
    <s v="16/09/2026"/>
    <x v="1"/>
    <s v=""/>
  </r>
  <r>
    <s v="NV0001287"/>
    <x v="16"/>
    <x v="11"/>
    <x v="5"/>
    <s v=""/>
    <n v="0.5"/>
    <s v="16/09/2026"/>
    <s v="16/09/2026"/>
    <x v="1"/>
    <s v="Sáng"/>
  </r>
  <r>
    <s v="NV0001116"/>
    <x v="169"/>
    <x v="2"/>
    <x v="0"/>
    <s v="NS"/>
    <n v="3"/>
    <s v="16/09/2026"/>
    <s v="18/09/2026"/>
    <x v="1"/>
    <s v=""/>
  </r>
  <r>
    <s v="NV0000325"/>
    <x v="170"/>
    <x v="2"/>
    <x v="2"/>
    <s v="NS"/>
    <n v="1"/>
    <s v="15/09/2026"/>
    <s v="15/09/2026"/>
    <x v="1"/>
    <s v=""/>
  </r>
  <r>
    <s v="NV0000533"/>
    <x v="83"/>
    <x v="4"/>
    <x v="0"/>
    <s v="Nghỉ phép năm 2026-2027 nửa buổi chiều  "/>
    <n v="0.5"/>
    <s v="15/09/2026"/>
    <s v="15/09/2026"/>
    <x v="1"/>
    <s v="Chiều"/>
  </r>
  <r>
    <s v="NV0000155"/>
    <x v="32"/>
    <x v="16"/>
    <x v="6"/>
    <s v=""/>
    <n v="1"/>
    <s v="15/09/2026"/>
    <s v="15/09/2026"/>
    <x v="1"/>
    <s v=""/>
  </r>
  <r>
    <s v="NV0001349"/>
    <x v="171"/>
    <x v="9"/>
    <x v="0"/>
    <s v=""/>
    <n v="0.5"/>
    <s v="15/09/2026"/>
    <s v="15/09/2026"/>
    <x v="1"/>
    <s v="Chiều"/>
  </r>
  <r>
    <s v="NV0001023"/>
    <x v="131"/>
    <x v="14"/>
    <x v="8"/>
    <s v="Kham thai dinh ki"/>
    <n v="1"/>
    <s v="15/09/2026"/>
    <s v="15/09/2026"/>
    <x v="1"/>
    <s v=""/>
  </r>
  <r>
    <s v="NV0001257"/>
    <x v="76"/>
    <x v="4"/>
    <x v="5"/>
    <s v=""/>
    <n v="2"/>
    <s v="15/09/2026"/>
    <s v="16/09/2026"/>
    <x v="1"/>
    <s v=""/>
  </r>
  <r>
    <s v="NV0000741"/>
    <x v="73"/>
    <x v="4"/>
    <x v="1"/>
    <s v=""/>
    <n v="0.5"/>
    <s v="15/09/2026"/>
    <s v="15/09/2026"/>
    <x v="1"/>
    <s v="Sáng"/>
  </r>
  <r>
    <s v="NV0000062"/>
    <x v="58"/>
    <x v="19"/>
    <x v="0"/>
    <s v=""/>
    <n v="1"/>
    <s v="15/09/2026"/>
    <s v="15/09/2026"/>
    <x v="1"/>
    <s v=""/>
  </r>
  <r>
    <s v="NV0001306"/>
    <x v="21"/>
    <x v="13"/>
    <x v="3"/>
    <s v="Làm việc từ xa tại nhà"/>
    <n v="1"/>
    <s v="15/09/2026"/>
    <s v="15/09/2026"/>
    <x v="1"/>
    <s v=""/>
  </r>
  <r>
    <s v="NV0001374"/>
    <x v="14"/>
    <x v="4"/>
    <x v="5"/>
    <s v=""/>
    <n v="1"/>
    <s v="15/09/2026"/>
    <s v="15/09/2026"/>
    <x v="1"/>
    <s v=""/>
  </r>
  <r>
    <s v="NV0000787"/>
    <x v="172"/>
    <x v="15"/>
    <x v="5"/>
    <s v=""/>
    <n v="1"/>
    <s v="15/09/2026"/>
    <s v="15/09/2026"/>
    <x v="1"/>
    <s v=""/>
  </r>
  <r>
    <s v="NV0000787"/>
    <x v="172"/>
    <x v="15"/>
    <x v="1"/>
    <s v="GV đi khám định kì "/>
    <n v="1"/>
    <s v="14/09/2026"/>
    <s v="14/09/2026"/>
    <x v="1"/>
    <s v=""/>
  </r>
  <r>
    <s v="NV0001287"/>
    <x v="16"/>
    <x v="11"/>
    <x v="0"/>
    <s v="Tập huấn DQTV tại Nhơn Trạch"/>
    <n v="1"/>
    <s v="14/09/2026"/>
    <s v="14/09/2026"/>
    <x v="1"/>
    <s v=""/>
  </r>
  <r>
    <s v="NV0001203"/>
    <x v="144"/>
    <x v="0"/>
    <x v="0"/>
    <s v=""/>
    <n v="6"/>
    <s v="14/09/2026"/>
    <s v="19/09/2026"/>
    <x v="1"/>
    <s v=""/>
  </r>
  <r>
    <s v="NV0000712"/>
    <x v="35"/>
    <x v="0"/>
    <x v="5"/>
    <s v=""/>
    <n v="5"/>
    <s v="14/09/2026"/>
    <s v="18/09/2026"/>
    <x v="1"/>
    <s v=""/>
  </r>
  <r>
    <s v="NV0001417"/>
    <x v="103"/>
    <x v="7"/>
    <x v="6"/>
    <s v=""/>
    <n v="3"/>
    <s v="14/09/2026"/>
    <s v="16/09/2026"/>
    <x v="1"/>
    <s v=""/>
  </r>
  <r>
    <s v="NV0000155"/>
    <x v="32"/>
    <x v="16"/>
    <x v="0"/>
    <s v=""/>
    <n v="0.5"/>
    <s v="14/09/2026"/>
    <s v="14/09/2026"/>
    <x v="1"/>
    <s v="Chiều"/>
  </r>
  <r>
    <s v="NV0001257"/>
    <x v="76"/>
    <x v="4"/>
    <x v="1"/>
    <s v="Đau bụng, chóng mặt."/>
    <n v="0.5"/>
    <s v="14/09/2026"/>
    <s v="14/09/2026"/>
    <x v="1"/>
    <s v="Chiều"/>
  </r>
  <r>
    <s v="NV0000123"/>
    <x v="173"/>
    <x v="2"/>
    <x v="0"/>
    <s v=""/>
    <n v="0.5"/>
    <s v="14/09/2026"/>
    <s v="14/09/2026"/>
    <x v="1"/>
    <s v="Sáng"/>
  </r>
  <r>
    <s v="NV0001141"/>
    <x v="65"/>
    <x v="19"/>
    <x v="0"/>
    <s v=""/>
    <n v="0.5"/>
    <s v="14/09/2026"/>
    <s v="14/09/2026"/>
    <x v="1"/>
    <s v="Chiều"/>
  </r>
  <r>
    <s v="NV0001023"/>
    <x v="131"/>
    <x v="14"/>
    <x v="8"/>
    <s v="Kham thai dinh ki"/>
    <n v="1"/>
    <s v="14/09/2026"/>
    <s v="14/09/2026"/>
    <x v="1"/>
    <s v=""/>
  </r>
  <r>
    <s v="NV0001089"/>
    <x v="12"/>
    <x v="3"/>
    <x v="1"/>
    <s v="Bị bệnh sốt cảm, nhức mỏi, đau họng. "/>
    <n v="0.5"/>
    <s v="14/09/2026"/>
    <s v="14/09/2026"/>
    <x v="1"/>
    <s v="Sáng"/>
  </r>
  <r>
    <s v="NV0001058"/>
    <x v="43"/>
    <x v="14"/>
    <x v="7"/>
    <s v="NS"/>
    <n v="6"/>
    <s v="14/09/2026"/>
    <s v="13/03/2027"/>
    <x v="1"/>
    <s v=""/>
  </r>
  <r>
    <s v="NV0001422"/>
    <x v="174"/>
    <x v="0"/>
    <x v="2"/>
    <s v=""/>
    <n v="1"/>
    <s v="14/09/2026"/>
    <s v="14/09/2026"/>
    <x v="1"/>
    <s v=""/>
  </r>
  <r>
    <s v="NV0000840"/>
    <x v="80"/>
    <x v="2"/>
    <x v="6"/>
    <s v="NS"/>
    <n v="5"/>
    <s v="14/09/2026"/>
    <s v="18/09/2026"/>
    <x v="1"/>
    <s v=""/>
  </r>
  <r>
    <s v="NV0001116"/>
    <x v="169"/>
    <x v="2"/>
    <x v="0"/>
    <s v="NS"/>
    <n v="1"/>
    <s v="14/09/2026"/>
    <s v="14/09/2026"/>
    <x v="1"/>
    <s v=""/>
  </r>
  <r>
    <s v="NV0000325"/>
    <x v="170"/>
    <x v="2"/>
    <x v="0"/>
    <s v="NS"/>
    <n v="1"/>
    <s v="14/09/2026"/>
    <s v="14/09/2026"/>
    <x v="1"/>
    <s v=""/>
  </r>
  <r>
    <s v="NV0000677"/>
    <x v="91"/>
    <x v="3"/>
    <x v="3"/>
    <s v="Đưa 2 đội HS THPT đi thi Hùng biện tại Đại học Đồng Nai"/>
    <n v="1"/>
    <s v="13/09/2026"/>
    <s v="13/09/2026"/>
    <x v="1"/>
    <s v=""/>
  </r>
  <r>
    <s v="NV0000876"/>
    <x v="175"/>
    <x v="2"/>
    <x v="1"/>
    <s v=""/>
    <n v="0.5"/>
    <s v="12/09/2026"/>
    <s v="12/09/2026"/>
    <x v="1"/>
    <s v="Sáng"/>
  </r>
  <r>
    <s v="NV0001196"/>
    <x v="176"/>
    <x v="2"/>
    <x v="1"/>
    <s v=""/>
    <n v="0.5"/>
    <s v="12/09/2026"/>
    <s v="12/09/2026"/>
    <x v="1"/>
    <s v="Sáng"/>
  </r>
  <r>
    <s v="NV0000197"/>
    <x v="6"/>
    <x v="5"/>
    <x v="3"/>
    <s v="Làm việc tại nhà"/>
    <n v="1"/>
    <s v="11/09/2026"/>
    <s v="11/09/2026"/>
    <x v="1"/>
    <s v=""/>
  </r>
  <r>
    <s v="NV0000712"/>
    <x v="35"/>
    <x v="0"/>
    <x v="5"/>
    <s v=""/>
    <n v="1"/>
    <s v="11/09/2026"/>
    <s v="11/09/2026"/>
    <x v="1"/>
    <s v=""/>
  </r>
  <r>
    <s v="NV0001411"/>
    <x v="177"/>
    <x v="28"/>
    <x v="2"/>
    <s v="Công việc riêng"/>
    <n v="0.5"/>
    <s v="11/09/2026"/>
    <s v="11/09/2026"/>
    <x v="1"/>
    <s v="Chiều"/>
  </r>
  <r>
    <s v="NV0001258"/>
    <x v="84"/>
    <x v="4"/>
    <x v="0"/>
    <s v=""/>
    <n v="0.5"/>
    <s v="11/09/2026"/>
    <s v="11/09/2026"/>
    <x v="1"/>
    <s v="Chiều"/>
  </r>
  <r>
    <s v="NV0000888"/>
    <x v="178"/>
    <x v="0"/>
    <x v="0"/>
    <s v=""/>
    <n v="0.5"/>
    <s v="11/09/2026"/>
    <s v="11/09/2026"/>
    <x v="1"/>
    <s v="Sáng"/>
  </r>
  <r>
    <s v="NV0000133"/>
    <x v="113"/>
    <x v="4"/>
    <x v="3"/>
    <s v="Tham gia tập huấn chuyên môn do sở giáo dục tổ chức. "/>
    <n v="0.5"/>
    <s v="11/09/2026"/>
    <s v="11/09/2026"/>
    <x v="1"/>
    <s v="Sáng"/>
  </r>
  <r>
    <s v="NV0000924"/>
    <x v="18"/>
    <x v="10"/>
    <x v="0"/>
    <s v=""/>
    <n v="0.5"/>
    <s v="11/09/2026"/>
    <s v="11/09/2026"/>
    <x v="1"/>
    <s v="Sáng"/>
  </r>
  <r>
    <s v="NV0000060"/>
    <x v="160"/>
    <x v="10"/>
    <x v="0"/>
    <s v=""/>
    <n v="0.5"/>
    <s v="11/09/2026"/>
    <s v="11/09/2026"/>
    <x v="1"/>
    <s v="Chiều"/>
  </r>
  <r>
    <s v="NV0001353"/>
    <x v="64"/>
    <x v="9"/>
    <x v="3"/>
    <s v=""/>
    <n v="0.5"/>
    <s v="11/09/2026"/>
    <s v="11/09/2026"/>
    <x v="1"/>
    <s v="Sáng"/>
  </r>
  <r>
    <s v="NV0001398"/>
    <x v="99"/>
    <x v="1"/>
    <x v="0"/>
    <s v="Nha co việt "/>
    <n v="0.5"/>
    <s v="11/09/2026"/>
    <s v="11/09/2026"/>
    <x v="1"/>
    <s v="Chiều"/>
  </r>
  <r>
    <s v="NV0000810"/>
    <x v="37"/>
    <x v="17"/>
    <x v="1"/>
    <s v="Con ốm"/>
    <n v="0.5"/>
    <s v="11/09/2026"/>
    <s v="11/09/2026"/>
    <x v="1"/>
    <s v="Sáng"/>
  </r>
  <r>
    <s v="NV0001227"/>
    <x v="179"/>
    <x v="7"/>
    <x v="1"/>
    <s v=""/>
    <n v="1"/>
    <s v="11/09/2026"/>
    <s v="11/09/2026"/>
    <x v="1"/>
    <s v=""/>
  </r>
  <r>
    <s v="NV0000155"/>
    <x v="32"/>
    <x v="16"/>
    <x v="0"/>
    <s v=""/>
    <n v="0.5"/>
    <s v="10/09/2026"/>
    <s v="10/09/2026"/>
    <x v="1"/>
    <s v="Sáng"/>
  </r>
  <r>
    <s v="NV0001150"/>
    <x v="34"/>
    <x v="16"/>
    <x v="0"/>
    <s v="Nghỉ phép năm"/>
    <n v="0.5"/>
    <s v="10/09/2026"/>
    <s v="10/09/2026"/>
    <x v="1"/>
    <s v="Chiều"/>
  </r>
  <r>
    <s v="NV0000888"/>
    <x v="178"/>
    <x v="0"/>
    <x v="0"/>
    <s v=""/>
    <n v="1"/>
    <s v="10/09/2026"/>
    <s v="10/09/2026"/>
    <x v="1"/>
    <s v=""/>
  </r>
  <r>
    <s v="NV0001058"/>
    <x v="43"/>
    <x v="14"/>
    <x v="8"/>
    <s v="Khám thai định kì"/>
    <n v="2"/>
    <s v="10/09/2026"/>
    <s v="11/09/2026"/>
    <x v="1"/>
    <s v=""/>
  </r>
  <r>
    <s v="NV0000165"/>
    <x v="39"/>
    <x v="10"/>
    <x v="1"/>
    <s v=""/>
    <n v="0.5"/>
    <s v="10/09/2026"/>
    <s v="10/09/2026"/>
    <x v="1"/>
    <s v="Sáng"/>
  </r>
  <r>
    <s v="NV0000661"/>
    <x v="180"/>
    <x v="9"/>
    <x v="0"/>
    <s v=""/>
    <n v="1"/>
    <s v="10/09/2026"/>
    <s v="10/09/2026"/>
    <x v="1"/>
    <s v=""/>
  </r>
  <r>
    <s v="NV0001377"/>
    <x v="82"/>
    <x v="4"/>
    <x v="5"/>
    <s v=""/>
    <n v="1"/>
    <s v="10/09/2026"/>
    <s v="10/09/2026"/>
    <x v="1"/>
    <s v=""/>
  </r>
  <r>
    <s v="NV0001386"/>
    <x v="52"/>
    <x v="0"/>
    <x v="0"/>
    <s v=""/>
    <n v="2"/>
    <s v="10/09/2026"/>
    <s v="11/09/2026"/>
    <x v="1"/>
    <s v=""/>
  </r>
  <r>
    <s v="NV0001417"/>
    <x v="103"/>
    <x v="7"/>
    <x v="6"/>
    <s v=""/>
    <n v="2"/>
    <s v="10/09/2026"/>
    <s v="11/09/2026"/>
    <x v="1"/>
    <s v=""/>
  </r>
  <r>
    <s v="NV0000593"/>
    <x v="127"/>
    <x v="14"/>
    <x v="0"/>
    <s v="NS"/>
    <n v="1"/>
    <s v="10/09/2026"/>
    <s v="10/09/2026"/>
    <x v="1"/>
    <s v=""/>
  </r>
  <r>
    <s v="NV0000677"/>
    <x v="91"/>
    <x v="3"/>
    <x v="3"/>
    <s v="Tham dự Cambridge Orientation Day tại Royal School TPHCM"/>
    <n v="0.5"/>
    <s v="09/09/2026"/>
    <s v="09/09/2026"/>
    <x v="1"/>
    <s v="Sáng"/>
  </r>
  <r>
    <s v="NV0001178"/>
    <x v="181"/>
    <x v="14"/>
    <x v="5"/>
    <s v="NS"/>
    <n v="1"/>
    <s v="09/09/2026"/>
    <s v="09/09/2026"/>
    <x v="1"/>
    <s v=""/>
  </r>
  <r>
    <s v="NV0000792"/>
    <x v="19"/>
    <x v="12"/>
    <x v="0"/>
    <s v="Làm tại nhà"/>
    <n v="1"/>
    <s v="09/09/2026"/>
    <s v="09/09/2026"/>
    <x v="1"/>
    <s v=""/>
  </r>
  <r>
    <s v="NV0001294"/>
    <x v="182"/>
    <x v="14"/>
    <x v="1"/>
    <s v="Lí do: Em đi khám sức khoẻ và kiểm tra xương chân, do bị té xe ạ. "/>
    <n v="1"/>
    <s v="09/09/2026"/>
    <s v="09/09/2026"/>
    <x v="1"/>
    <s v=""/>
  </r>
  <r>
    <s v="NV0000873"/>
    <x v="183"/>
    <x v="3"/>
    <x v="3"/>
    <s v="Dự hội thảo Cambridge"/>
    <n v="0.5"/>
    <s v="09/09/2026"/>
    <s v="09/09/2026"/>
    <x v="1"/>
    <s v="Sáng"/>
  </r>
  <r>
    <s v="NV0001094"/>
    <x v="63"/>
    <x v="9"/>
    <x v="1"/>
    <s v=""/>
    <n v="0.5"/>
    <s v="09/09/2026"/>
    <s v="09/09/2026"/>
    <x v="1"/>
    <s v="Chiều"/>
  </r>
  <r>
    <s v="NV0000582"/>
    <x v="117"/>
    <x v="8"/>
    <x v="5"/>
    <s v="Cảm sốt (Có giấy khám bệnh)"/>
    <n v="1"/>
    <s v="09/09/2026"/>
    <s v="09/09/2026"/>
    <x v="1"/>
    <s v=""/>
  </r>
  <r>
    <s v="NV0000807"/>
    <x v="74"/>
    <x v="3"/>
    <x v="3"/>
    <s v=""/>
    <n v="0.5"/>
    <s v="09/09/2026"/>
    <s v="09/09/2026"/>
    <x v="1"/>
    <s v="Sáng"/>
  </r>
  <r>
    <s v="NV0000084"/>
    <x v="47"/>
    <x v="16"/>
    <x v="0"/>
    <s v=""/>
    <n v="1"/>
    <s v="09/09/2026"/>
    <s v="09/09/2026"/>
    <x v="1"/>
    <s v=""/>
  </r>
  <r>
    <s v="NV0000888"/>
    <x v="178"/>
    <x v="0"/>
    <x v="0"/>
    <s v=""/>
    <n v="0.5"/>
    <s v="09/09/2026"/>
    <s v="09/09/2026"/>
    <x v="1"/>
    <s v="Sáng"/>
  </r>
  <r>
    <s v="NV0000975"/>
    <x v="79"/>
    <x v="3"/>
    <x v="3"/>
    <s v="dự Cambridge resource orientation day"/>
    <n v="0.5"/>
    <s v="09/09/2026"/>
    <s v="09/09/2026"/>
    <x v="1"/>
    <s v="Chiều"/>
  </r>
  <r>
    <s v="NV0001262"/>
    <x v="96"/>
    <x v="4"/>
    <x v="0"/>
    <s v="Khám bệnh"/>
    <n v="0.5"/>
    <s v="08/09/2026"/>
    <s v="08/09/2026"/>
    <x v="1"/>
    <s v="Chiều"/>
  </r>
  <r>
    <s v="NV0000155"/>
    <x v="32"/>
    <x v="16"/>
    <x v="6"/>
    <s v=""/>
    <n v="1"/>
    <s v="08/09/2026"/>
    <s v="08/09/2026"/>
    <x v="1"/>
    <s v=""/>
  </r>
  <r>
    <s v="NV0000888"/>
    <x v="178"/>
    <x v="0"/>
    <x v="0"/>
    <s v=""/>
    <n v="0.5"/>
    <s v="08/09/2026"/>
    <s v="08/09/2026"/>
    <x v="1"/>
    <s v="Sáng"/>
  </r>
  <r>
    <s v="NV0001336"/>
    <x v="57"/>
    <x v="11"/>
    <x v="0"/>
    <s v=""/>
    <n v="1"/>
    <s v="08/09/2026"/>
    <s v="08/09/2026"/>
    <x v="1"/>
    <s v=""/>
  </r>
  <r>
    <s v="NV0000080"/>
    <x v="1"/>
    <x v="1"/>
    <x v="0"/>
    <s v=""/>
    <n v="0.5"/>
    <s v="08/09/2026"/>
    <s v="08/09/2026"/>
    <x v="1"/>
    <s v="Sáng"/>
  </r>
  <r>
    <s v="NV0000140"/>
    <x v="50"/>
    <x v="13"/>
    <x v="0"/>
    <s v=""/>
    <n v="1"/>
    <s v="08/09/2026"/>
    <s v="08/09/2026"/>
    <x v="1"/>
    <s v=""/>
  </r>
  <r>
    <s v="NV0001306"/>
    <x v="21"/>
    <x v="13"/>
    <x v="3"/>
    <s v="Làm việc từ xa tại nhà."/>
    <n v="1"/>
    <s v="08/09/2026"/>
    <s v="08/09/2026"/>
    <x v="1"/>
    <s v=""/>
  </r>
  <r>
    <s v="NV0000025"/>
    <x v="45"/>
    <x v="13"/>
    <x v="3"/>
    <s v="Bồi dưỡng, tập huấn lý luận chính trị hè năm 2026"/>
    <n v="2"/>
    <s v="08/09/2026"/>
    <s v="09/09/2026"/>
    <x v="1"/>
    <s v=""/>
  </r>
  <r>
    <s v="NV0000018"/>
    <x v="72"/>
    <x v="13"/>
    <x v="3"/>
    <s v="Tham gia lớp Bồi dưỡng, tập huấn lí luận chính trị hè năm 2026 của Sở GDĐT"/>
    <n v="2"/>
    <s v="08/09/2026"/>
    <s v="09/09/2026"/>
    <x v="1"/>
    <s v=""/>
  </r>
  <r>
    <s v="NV0000122"/>
    <x v="13"/>
    <x v="10"/>
    <x v="0"/>
    <s v=""/>
    <n v="0.5"/>
    <s v="08/09/2026"/>
    <s v="08/09/2026"/>
    <x v="1"/>
    <s v="Chiều"/>
  </r>
  <r>
    <s v="NV0000898"/>
    <x v="184"/>
    <x v="14"/>
    <x v="1"/>
    <s v=""/>
    <n v="0.5"/>
    <s v="08/09/2026"/>
    <s v="08/09/2026"/>
    <x v="1"/>
    <s v="Chiều"/>
  </r>
  <r>
    <s v="NV0000582"/>
    <x v="117"/>
    <x v="8"/>
    <x v="5"/>
    <s v="Bệnh, ốm (Có giấy bệnh)"/>
    <n v="1"/>
    <s v="08/09/2026"/>
    <s v="08/09/2026"/>
    <x v="1"/>
    <s v=""/>
  </r>
  <r>
    <s v="NV0000037"/>
    <x v="26"/>
    <x v="15"/>
    <x v="3"/>
    <s v="Tập huấn lý luận chính trị"/>
    <n v="2"/>
    <s v="08/09/2026"/>
    <s v="09/09/2026"/>
    <x v="1"/>
    <s v=""/>
  </r>
  <r>
    <s v="NV0001180"/>
    <x v="185"/>
    <x v="15"/>
    <x v="1"/>
    <s v=""/>
    <n v="1"/>
    <s v="08/09/2026"/>
    <s v="08/09/2026"/>
    <x v="1"/>
    <s v=""/>
  </r>
  <r>
    <s v="NV0001287"/>
    <x v="16"/>
    <x v="11"/>
    <x v="0"/>
    <s v="Tập huấn DQTV tại Nhơn Trạch"/>
    <n v="5"/>
    <s v="07/09/2026"/>
    <s v="11/09/2026"/>
    <x v="1"/>
    <s v=""/>
  </r>
  <r>
    <s v="NV0000659"/>
    <x v="31"/>
    <x v="9"/>
    <x v="0"/>
    <s v=""/>
    <n v="0.5"/>
    <s v="07/09/2026"/>
    <s v="07/09/2026"/>
    <x v="1"/>
    <s v="Sáng"/>
  </r>
  <r>
    <s v="NV0000786"/>
    <x v="186"/>
    <x v="3"/>
    <x v="1"/>
    <s v=""/>
    <n v="0.5"/>
    <s v="07/09/2026"/>
    <s v="07/09/2026"/>
    <x v="1"/>
    <s v="Sáng"/>
  </r>
  <r>
    <s v="NV0000631"/>
    <x v="109"/>
    <x v="14"/>
    <x v="1"/>
    <s v=""/>
    <n v="0.5"/>
    <s v="07/09/2026"/>
    <s v="07/09/2026"/>
    <x v="1"/>
    <s v="Sáng"/>
  </r>
  <r>
    <s v="NV0001145"/>
    <x v="187"/>
    <x v="7"/>
    <x v="0"/>
    <s v=""/>
    <n v="1"/>
    <s v="07/09/2026"/>
    <s v="07/09/2026"/>
    <x v="1"/>
    <s v=""/>
  </r>
  <r>
    <s v="NV0001349"/>
    <x v="171"/>
    <x v="9"/>
    <x v="0"/>
    <s v=""/>
    <n v="0.5"/>
    <s v="07/09/2026"/>
    <s v="07/09/2026"/>
    <x v="1"/>
    <s v="Chiều"/>
  </r>
  <r>
    <s v="NV0000379"/>
    <x v="8"/>
    <x v="2"/>
    <x v="2"/>
    <s v=""/>
    <n v="1"/>
    <s v="07/09/2026"/>
    <s v="07/09/2026"/>
    <x v="1"/>
    <s v=""/>
  </r>
  <r>
    <s v="NV0000625"/>
    <x v="188"/>
    <x v="7"/>
    <x v="1"/>
    <s v=""/>
    <n v="1"/>
    <s v="07/09/2026"/>
    <s v="07/09/2026"/>
    <x v="1"/>
    <s v=""/>
  </r>
  <r>
    <s v="NV0000712"/>
    <x v="35"/>
    <x v="0"/>
    <x v="5"/>
    <s v=""/>
    <n v="4"/>
    <s v="07/09/2026"/>
    <s v="10/09/2026"/>
    <x v="1"/>
    <s v=""/>
  </r>
  <r>
    <s v="NV0001026"/>
    <x v="189"/>
    <x v="2"/>
    <x v="5"/>
    <s v=""/>
    <n v="9"/>
    <s v="05/09/2026"/>
    <s v="13/09/2026"/>
    <x v="1"/>
    <s v=""/>
  </r>
  <r>
    <s v="NV0000533"/>
    <x v="83"/>
    <x v="4"/>
    <x v="1"/>
    <s v="Nghỉ nửa ngày phép học kỳ I "/>
    <n v="0.5"/>
    <s v="05/09/2026"/>
    <s v="05/09/2026"/>
    <x v="1"/>
    <s v="Sáng"/>
  </r>
  <r>
    <s v="NV0000712"/>
    <x v="35"/>
    <x v="0"/>
    <x v="0"/>
    <s v="HR"/>
    <n v="1"/>
    <s v="04/09/2026"/>
    <s v="04/09/2026"/>
    <x v="1"/>
    <s v=""/>
  </r>
  <r>
    <s v="NV0000479"/>
    <x v="190"/>
    <x v="26"/>
    <x v="1"/>
    <s v="NS"/>
    <n v="1"/>
    <s v="04/09/2026"/>
    <s v="04/09/2026"/>
    <x v="1"/>
    <s v=""/>
  </r>
  <r>
    <s v="NV0000337"/>
    <x v="25"/>
    <x v="14"/>
    <x v="0"/>
    <s v=""/>
    <n v="0.5"/>
    <s v="04/09/2026"/>
    <s v="04/09/2026"/>
    <x v="1"/>
    <s v="Sáng"/>
  </r>
  <r>
    <s v="NV0000693"/>
    <x v="191"/>
    <x v="26"/>
    <x v="2"/>
    <s v="Bị bệnh"/>
    <n v="0.5"/>
    <s v="04/09/2026"/>
    <s v="04/09/2026"/>
    <x v="1"/>
    <s v="Chiều"/>
  </r>
  <r>
    <s v="NV0001335"/>
    <x v="192"/>
    <x v="11"/>
    <x v="0"/>
    <s v=""/>
    <n v="1"/>
    <s v="04/09/2026"/>
    <s v="04/09/2026"/>
    <x v="1"/>
    <s v=""/>
  </r>
  <r>
    <s v="NV0000633"/>
    <x v="193"/>
    <x v="1"/>
    <x v="3"/>
    <s v="Công tác thiện nguyện phối hợp cùng LHU"/>
    <n v="1"/>
    <s v="04/09/2026"/>
    <s v="04/09/2026"/>
    <x v="1"/>
    <s v=""/>
  </r>
  <r>
    <s v="NV0001271"/>
    <x v="95"/>
    <x v="4"/>
    <x v="1"/>
    <s v=""/>
    <n v="1"/>
    <s v="03/09/2026"/>
    <s v="03/09/2026"/>
    <x v="1"/>
    <s v=""/>
  </r>
  <r>
    <s v="NV0001287"/>
    <x v="16"/>
    <x v="11"/>
    <x v="0"/>
    <s v="Tập huấn DQTV tại Nhơn Trạch"/>
    <n v="3"/>
    <s v="03/09/2026"/>
    <s v="05/09/2026"/>
    <x v="1"/>
    <s v=""/>
  </r>
  <r>
    <s v="NV0001260"/>
    <x v="38"/>
    <x v="4"/>
    <x v="1"/>
    <s v=""/>
    <n v="0.5"/>
    <s v="03/09/2026"/>
    <s v="03/09/2026"/>
    <x v="1"/>
    <s v="Sáng"/>
  </r>
  <r>
    <s v="NV0000337"/>
    <x v="25"/>
    <x v="14"/>
    <x v="0"/>
    <s v=""/>
    <n v="1"/>
    <s v="03/09/2026"/>
    <s v="03/09/2026"/>
    <x v="1"/>
    <s v=""/>
  </r>
  <r>
    <s v="NV0001375"/>
    <x v="42"/>
    <x v="9"/>
    <x v="0"/>
    <s v="Kính gửi chị Hoa, em xin nghỉ phép ngày 03/9 vì lý do chăm con bệnh. "/>
    <n v="1"/>
    <s v="03/09/2026"/>
    <s v="03/09/2026"/>
    <x v="1"/>
    <s v=""/>
  </r>
  <r>
    <s v="NV0000952"/>
    <x v="194"/>
    <x v="4"/>
    <x v="1"/>
    <s v=""/>
    <n v="1"/>
    <s v="03/09/2026"/>
    <s v="03/09/2026"/>
    <x v="1"/>
    <s v=""/>
  </r>
  <r>
    <s v="NV0000953"/>
    <x v="195"/>
    <x v="0"/>
    <x v="0"/>
    <s v=""/>
    <n v="2"/>
    <s v="03/09/2026"/>
    <s v="04/09/2026"/>
    <x v="1"/>
    <s v=""/>
  </r>
  <r>
    <s v="NV0000379"/>
    <x v="8"/>
    <x v="2"/>
    <x v="2"/>
    <s v=""/>
    <n v="3"/>
    <s v="03/09/2026"/>
    <s v="05/09/2026"/>
    <x v="1"/>
    <s v=""/>
  </r>
  <r>
    <s v="NV0001026"/>
    <x v="189"/>
    <x v="2"/>
    <x v="0"/>
    <s v=""/>
    <n v="1"/>
    <s v="03/09/2026"/>
    <s v="03/09/2026"/>
    <x v="1"/>
    <s v=""/>
  </r>
  <r>
    <s v="NV0000096"/>
    <x v="111"/>
    <x v="2"/>
    <x v="0"/>
    <s v=""/>
    <n v="2"/>
    <s v="03/09/2026"/>
    <s v="04/09/2026"/>
    <x v="1"/>
    <s v=""/>
  </r>
  <r>
    <s v="NV0000712"/>
    <x v="35"/>
    <x v="0"/>
    <x v="5"/>
    <s v=""/>
    <n v="1"/>
    <s v="03/09/2026"/>
    <s v="03/09/2026"/>
    <x v="1"/>
    <s v=""/>
  </r>
  <r>
    <m/>
    <x v="196"/>
    <x v="0"/>
    <x v="10"/>
    <m/>
    <m/>
    <m/>
    <m/>
    <x v="2"/>
    <m/>
  </r>
  <r>
    <m/>
    <x v="196"/>
    <x v="0"/>
    <x v="10"/>
    <m/>
    <m/>
    <m/>
    <m/>
    <x v="2"/>
    <m/>
  </r>
  <r>
    <m/>
    <x v="196"/>
    <x v="0"/>
    <x v="10"/>
    <m/>
    <m/>
    <m/>
    <m/>
    <x v="2"/>
    <m/>
  </r>
  <r>
    <m/>
    <x v="196"/>
    <x v="0"/>
    <x v="10"/>
    <m/>
    <m/>
    <m/>
    <m/>
    <x v="2"/>
    <m/>
  </r>
  <r>
    <m/>
    <x v="196"/>
    <x v="0"/>
    <x v="10"/>
    <m/>
    <m/>
    <m/>
    <m/>
    <x v="2"/>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
  <r>
    <n v="1"/>
    <s v="NV0001062"/>
    <s v="Nguyễn Hoàng"/>
    <s v="Nam"/>
    <s v="Lao động vào làm trong tháng"/>
    <x v="0"/>
    <s v="Giáo viên"/>
    <s v="Nam"/>
    <s v="01/08/2026"/>
    <x v="0"/>
    <s v="01/08/2026"/>
    <x v="0"/>
    <x v="0"/>
    <n v="2026"/>
  </r>
  <r>
    <n v="2"/>
    <s v="NV0001383"/>
    <s v="Đinh Minh"/>
    <s v="Đức"/>
    <s v="Lao động vào làm trong tháng"/>
    <x v="0"/>
    <s v="Trợ Giảng"/>
    <s v="Nam"/>
    <s v="03/08/2026"/>
    <x v="1"/>
    <s v="03/08/2026"/>
    <x v="0"/>
    <x v="0"/>
    <n v="2026"/>
  </r>
  <r>
    <n v="3"/>
    <s v="NV0001384"/>
    <s v="Nguyễn Đặng Khánh"/>
    <s v="Vy"/>
    <s v="Lao động vào làm trong tháng"/>
    <x v="0"/>
    <s v="Trợ Giảng"/>
    <s v="Nữ"/>
    <s v="03/08/2026"/>
    <x v="1"/>
    <s v="03/08/2026"/>
    <x v="0"/>
    <x v="0"/>
    <n v="2026"/>
  </r>
  <r>
    <n v="4"/>
    <s v="NV0001425"/>
    <s v="Hồ Thị Kim"/>
    <s v="Liên"/>
    <s v="Lao động vào làm trong tháng"/>
    <x v="0"/>
    <s v="Phó hiệu trưởng"/>
    <s v="Nữ"/>
    <s v="24/08/2026"/>
    <x v="2"/>
    <s v="24/08/2026"/>
    <x v="0"/>
    <x v="0"/>
    <n v="2026"/>
  </r>
  <r>
    <n v="5"/>
    <s v="NV0001426"/>
    <s v="Nguyễn Cao Mỹ"/>
    <s v="Phụng"/>
    <s v="Lao động vào làm trong tháng"/>
    <x v="1"/>
    <s v="Nhân viên"/>
    <s v="Nữ"/>
    <s v="01/08/2026"/>
    <x v="3"/>
    <s v="01/08/2026"/>
    <x v="0"/>
    <x v="0"/>
    <n v="2026"/>
  </r>
  <r>
    <n v="6"/>
    <s v="NV0001427"/>
    <s v="Nguyễn Hoàng Như"/>
    <s v="Ngọc"/>
    <s v="Lao động vào làm trong tháng"/>
    <x v="2"/>
    <s v="Nhân viên Tham vấn học đường"/>
    <s v="Nữ"/>
    <s v="10/08/2026"/>
    <x v="2"/>
    <s v="10/08/2026"/>
    <x v="0"/>
    <x v="0"/>
    <n v="2026"/>
  </r>
  <r>
    <n v="7"/>
    <s v="NV0001430"/>
    <s v="Trần Thị Hồng"/>
    <s v="Thắm"/>
    <s v="Lao động vào làm trong tháng"/>
    <x v="3"/>
    <s v="Giáo viên"/>
    <s v="Nữ"/>
    <s v="03/08/2026"/>
    <x v="2"/>
    <s v="03/08/2026"/>
    <x v="0"/>
    <x v="0"/>
    <n v="2026"/>
  </r>
  <r>
    <n v="8"/>
    <s v="NV0001431"/>
    <s v="Vũ Thị"/>
    <s v="Ngọc"/>
    <s v="Lao động vào làm trong tháng"/>
    <x v="0"/>
    <s v="Giáo viên"/>
    <s v="Nữ"/>
    <s v="17/08/2026"/>
    <x v="2"/>
    <s v="17/08/2026"/>
    <x v="0"/>
    <x v="0"/>
    <n v="2026"/>
  </r>
  <r>
    <n v="9"/>
    <s v="NV0001433"/>
    <s v="MUEGNA REPONTE"/>
    <s v="KRISTY JANE"/>
    <s v="Lao động vào làm trong tháng"/>
    <x v="4"/>
    <s v="Giáo viên"/>
    <s v="Nữ"/>
    <s v="17/08/2026"/>
    <x v="2"/>
    <s v="17/08/2026"/>
    <x v="0"/>
    <x v="0"/>
    <n v="2026"/>
  </r>
  <r>
    <n v="10"/>
    <s v="NV0001434"/>
    <s v="Đặng Minh"/>
    <s v="Hải"/>
    <s v="Lao động vào làm trong tháng"/>
    <x v="5"/>
    <s v="Nhân viên"/>
    <s v="Nam"/>
    <s v="10/08/2026"/>
    <x v="0"/>
    <s v="10/08/2026"/>
    <x v="0"/>
    <x v="0"/>
    <n v="2026"/>
  </r>
  <r>
    <n v="11"/>
    <s v="NV0001435"/>
    <s v="Nguyễn Việt"/>
    <s v="Hiếu"/>
    <s v="Lao động vào làm trong tháng"/>
    <x v="6"/>
    <s v="Giáo viên"/>
    <s v="Nam"/>
    <s v="17/08/2026"/>
    <x v="1"/>
    <s v="17/08/2026"/>
    <x v="0"/>
    <x v="0"/>
    <n v="2026"/>
  </r>
  <r>
    <n v="12"/>
    <s v="NV0000012"/>
    <s v="Nguyễn Thị"/>
    <s v="Hằng"/>
    <s v="Lao động nghỉ làm trong tháng"/>
    <x v="7"/>
    <s v="Trợ Giảng"/>
    <s v="Nữ"/>
    <s v="04/05/2023"/>
    <x v="4"/>
    <s v="04/05/2023"/>
    <x v="1"/>
    <x v="0"/>
    <n v="2026"/>
  </r>
  <r>
    <n v="13"/>
    <s v="NV0001104"/>
    <s v="Bùi Thị Bích"/>
    <s v="Trâm"/>
    <s v="Lao động nghỉ làm trong tháng"/>
    <x v="3"/>
    <s v="Nhân viên"/>
    <s v="Nữ"/>
    <s v="06/10/2025"/>
    <x v="4"/>
    <s v="06/10/2025"/>
    <x v="1"/>
    <x v="0"/>
    <n v="2026"/>
  </r>
  <r>
    <n v="14"/>
    <s v="NV0001396"/>
    <s v="Trần Thị Thanh"/>
    <s v="Tâm"/>
    <s v="Lao động nghỉ làm trong tháng"/>
    <x v="3"/>
    <s v="Giáo viên"/>
    <s v="Nữ"/>
    <s v="20/05/2026"/>
    <x v="0"/>
    <s v="20/05/2026"/>
    <x v="1"/>
    <x v="0"/>
    <n v="2026"/>
  </r>
  <r>
    <n v="1"/>
    <s v="NV0001314"/>
    <s v="Nguyễn Sơn Phi"/>
    <s v="Hoàng"/>
    <s v="Lao động vào làm trong tháng"/>
    <x v="8"/>
    <s v="Nhân viên"/>
    <s v="Nam"/>
    <s v="03/09/2026"/>
    <x v="2"/>
    <s v="03/09/2026"/>
    <x v="0"/>
    <x v="1"/>
    <n v="2026"/>
  </r>
  <r>
    <n v="2"/>
    <s v="NV0001432"/>
    <s v="Đàm Thị"/>
    <s v="Hương"/>
    <s v="Lao động vào làm trong tháng"/>
    <x v="3"/>
    <s v="Giáo viên"/>
    <s v="Nữ"/>
    <s v="03/09/2026"/>
    <x v="2"/>
    <s v="03/09/2026"/>
    <x v="0"/>
    <x v="1"/>
    <n v="2026"/>
  </r>
  <r>
    <n v="3"/>
    <s v="NV0001436"/>
    <s v="Nguyễn Thị Kiều"/>
    <s v="Duyên"/>
    <s v="Lao động vào làm trong tháng"/>
    <x v="7"/>
    <s v="Trợ Giảng"/>
    <s v="Nữ"/>
    <s v="03/09/2026"/>
    <x v="2"/>
    <s v="03/09/2026"/>
    <x v="0"/>
    <x v="1"/>
    <n v="2026"/>
  </r>
  <r>
    <n v="4"/>
    <s v="NV0001437"/>
    <s v="Hồ Ngọc"/>
    <s v="Nam"/>
    <s v="Lao động vào làm trong tháng"/>
    <x v="5"/>
    <s v="Nhân viên"/>
    <s v="Nam"/>
    <s v="          "/>
    <x v="5"/>
    <s v="          "/>
    <x v="0"/>
    <x v="1"/>
    <n v="2026"/>
  </r>
  <r>
    <n v="5"/>
    <s v="NV0001438"/>
    <s v="Trần Phương"/>
    <s v="Liên"/>
    <s v="Lao động vào làm trong tháng"/>
    <x v="0"/>
    <s v="Giáo viên"/>
    <s v="Nữ"/>
    <s v="01/09/2026"/>
    <x v="1"/>
    <s v="01/09/2026"/>
    <x v="0"/>
    <x v="1"/>
    <n v="2026"/>
  </r>
  <r>
    <n v="6"/>
    <s v="NV0001439"/>
    <s v="Lê Thị"/>
    <s v="Lý"/>
    <s v="Lao động vào làm trong tháng"/>
    <x v="3"/>
    <s v="Giáo viên"/>
    <s v="Nữ"/>
    <s v="14/09/2026"/>
    <x v="4"/>
    <s v="14/09/2026"/>
    <x v="0"/>
    <x v="1"/>
    <n v="2026"/>
  </r>
  <r>
    <n v="7"/>
    <s v="NV0001440"/>
    <s v="Trịnh Văn"/>
    <s v="Tự"/>
    <s v="Lao động vào làm trong tháng"/>
    <x v="9"/>
    <s v="Giáo viên"/>
    <s v="Nam"/>
    <s v="14/09/2026"/>
    <x v="1"/>
    <s v="14/09/2026"/>
    <x v="0"/>
    <x v="1"/>
    <n v="2026"/>
  </r>
  <r>
    <n v="8"/>
    <s v="NV0001441"/>
    <s v="Trịnh Kiều"/>
    <s v="Oanh"/>
    <s v="Lao động vào làm trong tháng"/>
    <x v="9"/>
    <s v="Giáo viên"/>
    <s v="Nữ"/>
    <s v="14/09/2026"/>
    <x v="1"/>
    <s v="14/09/2026"/>
    <x v="0"/>
    <x v="1"/>
    <n v="2026"/>
  </r>
  <r>
    <n v="9"/>
    <s v="NV0001442"/>
    <s v="Ngô Nguyễn Trung"/>
    <s v="Kiên"/>
    <s v="Lao động vào làm trong tháng"/>
    <x v="6"/>
    <s v="Giáo viên"/>
    <s v="Nam"/>
    <s v="15/09/2026"/>
    <x v="1"/>
    <s v="15/09/2026"/>
    <x v="0"/>
    <x v="1"/>
    <n v="2026"/>
  </r>
  <r>
    <n v="10"/>
    <s v="NV0001443"/>
    <s v="Nguyễn Trường"/>
    <s v="Bảo"/>
    <s v="Lao động vào làm trong tháng"/>
    <x v="10"/>
    <s v="Giáo viên"/>
    <s v="Nam"/>
    <s v="21/09/2026"/>
    <x v="2"/>
    <s v="21/09/2026"/>
    <x v="0"/>
    <x v="1"/>
    <n v="2026"/>
  </r>
  <r>
    <n v="11"/>
    <s v="NV0001444"/>
    <s v="Nguyễn Hồng"/>
    <s v="Đức"/>
    <s v="Lao động vào làm trong tháng"/>
    <x v="5"/>
    <s v="Bếp Chính"/>
    <s v="Nam"/>
    <s v="07/09/2026"/>
    <x v="0"/>
    <s v="07/09/2026"/>
    <x v="0"/>
    <x v="1"/>
    <n v="2026"/>
  </r>
  <r>
    <n v="12"/>
    <s v="NV0001445"/>
    <s v="Nguyễn Thị Kim"/>
    <s v="Oanh"/>
    <s v="Lao động vào làm trong tháng"/>
    <x v="5"/>
    <s v="Nhân viên"/>
    <s v="Nữ"/>
    <s v="09/09/2026"/>
    <x v="0"/>
    <s v="09/09/2026"/>
    <x v="0"/>
    <x v="1"/>
    <n v="2026"/>
  </r>
  <r>
    <n v="13"/>
    <s v="NV0001446"/>
    <s v="Nguyễn Văn"/>
    <s v="Hoàng"/>
    <s v="Lao động vào làm trong tháng"/>
    <x v="11"/>
    <s v="Nhân viên tập sự IT"/>
    <s v="Nam"/>
    <s v="          "/>
    <x v="5"/>
    <s v="          "/>
    <x v="0"/>
    <x v="1"/>
    <n v="2026"/>
  </r>
  <r>
    <n v="14"/>
    <s v="NV0001447"/>
    <s v="Nguyễn Hồng Thanh"/>
    <s v="Trúc"/>
    <s v="Lao động vào làm trong tháng"/>
    <x v="11"/>
    <s v="Thực tập sinh IT"/>
    <s v="Nữ"/>
    <s v="          "/>
    <x v="5"/>
    <s v="          "/>
    <x v="0"/>
    <x v="1"/>
    <n v="2026"/>
  </r>
  <r>
    <n v="15"/>
    <s v="NV0001448"/>
    <s v="Trần Ngô Đại"/>
    <s v="Phước"/>
    <s v="Lao động vào làm trong tháng"/>
    <x v="11"/>
    <s v="Nhân viên tập sự IT"/>
    <s v="Nam"/>
    <s v="          "/>
    <x v="5"/>
    <s v="          "/>
    <x v="0"/>
    <x v="1"/>
    <n v="2026"/>
  </r>
  <r>
    <n v="16"/>
    <s v="NV0001449"/>
    <s v="Nhữ Thị"/>
    <s v="Thuý"/>
    <s v="Lao động vào làm trong tháng"/>
    <x v="1"/>
    <s v="Nhân viên"/>
    <s v="Nữ"/>
    <s v="28/09/2026"/>
    <x v="3"/>
    <s v="28/09/2026"/>
    <x v="0"/>
    <x v="1"/>
    <n v="2026"/>
  </r>
  <r>
    <n v="17"/>
    <s v="NV0000712"/>
    <s v="ABDUL"/>
    <s v="MAJID MARANI SWALLAH"/>
    <s v="Lao động nghỉ làm trong tháng"/>
    <x v="4"/>
    <s v="Giáo viên"/>
    <s v="Nam"/>
    <s v="01/02/2026"/>
    <x v="0"/>
    <s v="01/02/2026"/>
    <x v="1"/>
    <x v="1"/>
    <n v="2026"/>
  </r>
  <r>
    <n v="18"/>
    <s v="NV0000888"/>
    <s v="Đinh Thị Đoan"/>
    <s v="Nhi"/>
    <s v="Lao động nghỉ làm trong tháng"/>
    <x v="4"/>
    <s v="Nhân viên"/>
    <s v="Nữ"/>
    <s v="01/09/2024"/>
    <x v="4"/>
    <s v="01/09/2024"/>
    <x v="1"/>
    <x v="1"/>
    <n v="2026"/>
  </r>
  <r>
    <n v="19"/>
    <s v="NV0000953"/>
    <s v="Nguyễn Mạnh"/>
    <s v="Cường"/>
    <s v="Lao động nghỉ làm trong tháng"/>
    <x v="0"/>
    <s v="Nhân viên"/>
    <s v="Nam"/>
    <s v="19/11/2024"/>
    <x v="4"/>
    <s v="19/11/2024"/>
    <x v="1"/>
    <x v="1"/>
    <n v="2026"/>
  </r>
  <r>
    <n v="20"/>
    <s v="NV0001154"/>
    <s v="Vi Thị Ngọc"/>
    <s v="Nhi"/>
    <s v="Lao động nghỉ làm trong tháng"/>
    <x v="0"/>
    <s v="Giáo viên"/>
    <s v="Nữ"/>
    <s v="07/08/2026"/>
    <x v="4"/>
    <s v="07/08/2026"/>
    <x v="1"/>
    <x v="1"/>
    <n v="2026"/>
  </r>
  <r>
    <n v="21"/>
    <s v="NV0001203"/>
    <s v="Nguyễn Thị Hồng"/>
    <s v="Vân"/>
    <s v="Lao động nghỉ làm trong tháng"/>
    <x v="3"/>
    <s v="Giáo viên"/>
    <s v="Nữ"/>
    <s v="12/10/2025"/>
    <x v="0"/>
    <s v="12/10/2025"/>
    <x v="1"/>
    <x v="1"/>
    <n v="2026"/>
  </r>
  <r>
    <n v="22"/>
    <s v="NV0001310"/>
    <s v="Vũ Văn"/>
    <s v="Phú"/>
    <s v="Lao động nghỉ làm trong tháng"/>
    <x v="11"/>
    <s v="Thực tập sinh IT"/>
    <s v="Nam"/>
    <s v="          "/>
    <x v="5"/>
    <s v="          "/>
    <x v="1"/>
    <x v="1"/>
    <n v="2026"/>
  </r>
  <r>
    <n v="23"/>
    <s v="NV0001311"/>
    <s v="Trần Gia"/>
    <s v="Huy"/>
    <s v="Lao động nghỉ làm trong tháng"/>
    <x v="11"/>
    <s v="Thực tập sinh IT"/>
    <s v="Nam"/>
    <s v="          "/>
    <x v="5"/>
    <s v="          "/>
    <x v="1"/>
    <x v="1"/>
    <n v="2026"/>
  </r>
  <r>
    <n v="24"/>
    <s v="NV0001312"/>
    <s v="Chu Ngọc"/>
    <s v="Sơn"/>
    <s v="Lao động nghỉ làm trong tháng"/>
    <x v="11"/>
    <s v="Thực tập sinh IT"/>
    <s v="Nam"/>
    <s v="          "/>
    <x v="5"/>
    <s v="          "/>
    <x v="1"/>
    <x v="1"/>
    <n v="2026"/>
  </r>
  <r>
    <n v="25"/>
    <s v="NV0001386"/>
    <s v="Phạm Thị Trà"/>
    <s v="My"/>
    <s v="Lao động nghỉ làm trong tháng"/>
    <x v="0"/>
    <s v="Trợ Giảng"/>
    <s v="Nữ"/>
    <s v="25/04/2026"/>
    <x v="0"/>
    <s v="25/04/2026"/>
    <x v="1"/>
    <x v="1"/>
    <n v="2026"/>
  </r>
  <r>
    <n v="26"/>
    <s v="NV0001415"/>
    <s v="Đoàn Anh"/>
    <s v="Hào"/>
    <s v="Lao động nghỉ làm trong tháng"/>
    <x v="10"/>
    <s v="Giáo viên"/>
    <s v="Nam"/>
    <s v="06/07/2026"/>
    <x v="2"/>
    <s v="06/07/2026"/>
    <x v="1"/>
    <x v="1"/>
    <n v="2026"/>
  </r>
  <r>
    <n v="27"/>
    <s v="NV0001418"/>
    <s v="Lê Bùi Trúc"/>
    <s v="Linh"/>
    <s v="Lao động nghỉ làm trong tháng"/>
    <x v="9"/>
    <s v="Giáo viên"/>
    <s v="Nữ"/>
    <s v="13/07/2026"/>
    <x v="2"/>
    <s v="13/07/2026"/>
    <x v="1"/>
    <x v="1"/>
    <n v="2026"/>
  </r>
  <r>
    <n v="28"/>
    <s v="NV0001422"/>
    <s v="Lê Thị Thu"/>
    <s v="Nga"/>
    <s v="Lao động nghỉ làm trong tháng"/>
    <x v="5"/>
    <s v="Nhân viên"/>
    <s v="Nữ"/>
    <s v="14/07/2026"/>
    <x v="0"/>
    <s v="14/07/2026"/>
    <x v="1"/>
    <x v="1"/>
    <n v="2026"/>
  </r>
  <r>
    <n v="29"/>
    <s v="NV0001430"/>
    <s v="Trần Thị Hồng"/>
    <s v="Thắm"/>
    <s v="Lao động nghỉ làm trong tháng"/>
    <x v="3"/>
    <s v="Giáo viên"/>
    <s v="Nữ"/>
    <s v="03/08/2026"/>
    <x v="2"/>
    <s v="03/08/2026"/>
    <x v="1"/>
    <x v="1"/>
    <n v="2026"/>
  </r>
  <r>
    <n v="30"/>
    <s v="NV0001431"/>
    <s v="Vũ Thị"/>
    <s v="Ngọc"/>
    <s v="Lao động nghỉ làm trong tháng"/>
    <x v="0"/>
    <s v="Giáo viên"/>
    <s v="Nữ"/>
    <s v="17/08/2026"/>
    <x v="2"/>
    <s v="17/08/2026"/>
    <x v="1"/>
    <x v="1"/>
    <n v="2026"/>
  </r>
  <r>
    <m/>
    <m/>
    <m/>
    <m/>
    <m/>
    <x v="12"/>
    <m/>
    <m/>
    <m/>
    <x v="6"/>
    <m/>
    <x v="2"/>
    <x v="2"/>
    <m/>
  </r>
  <r>
    <m/>
    <m/>
    <m/>
    <m/>
    <m/>
    <x v="12"/>
    <m/>
    <m/>
    <m/>
    <x v="6"/>
    <m/>
    <x v="2"/>
    <x v="2"/>
    <m/>
  </r>
  <r>
    <m/>
    <m/>
    <m/>
    <m/>
    <m/>
    <x v="12"/>
    <m/>
    <m/>
    <m/>
    <x v="6"/>
    <m/>
    <x v="2"/>
    <x v="2"/>
    <m/>
  </r>
  <r>
    <m/>
    <m/>
    <m/>
    <m/>
    <m/>
    <x v="12"/>
    <m/>
    <m/>
    <m/>
    <x v="6"/>
    <m/>
    <x v="2"/>
    <x v="2"/>
    <m/>
  </r>
  <r>
    <m/>
    <m/>
    <m/>
    <m/>
    <m/>
    <x v="12"/>
    <m/>
    <m/>
    <m/>
    <x v="6"/>
    <m/>
    <x v="2"/>
    <x v="2"/>
    <m/>
  </r>
  <r>
    <m/>
    <m/>
    <m/>
    <m/>
    <m/>
    <x v="12"/>
    <m/>
    <m/>
    <m/>
    <x v="6"/>
    <m/>
    <x v="2"/>
    <x v="2"/>
    <m/>
  </r>
  <r>
    <m/>
    <m/>
    <m/>
    <m/>
    <m/>
    <x v="12"/>
    <m/>
    <m/>
    <m/>
    <x v="6"/>
    <m/>
    <x v="2"/>
    <x v="2"/>
    <m/>
  </r>
  <r>
    <m/>
    <m/>
    <m/>
    <m/>
    <m/>
    <x v="12"/>
    <m/>
    <m/>
    <m/>
    <x v="6"/>
    <m/>
    <x v="2"/>
    <x v="2"/>
    <m/>
  </r>
  <r>
    <m/>
    <m/>
    <m/>
    <m/>
    <m/>
    <x v="12"/>
    <m/>
    <m/>
    <m/>
    <x v="6"/>
    <m/>
    <x v="2"/>
    <x v="2"/>
    <m/>
  </r>
  <r>
    <m/>
    <m/>
    <m/>
    <m/>
    <m/>
    <x v="12"/>
    <m/>
    <m/>
    <m/>
    <x v="6"/>
    <m/>
    <x v="2"/>
    <x v="2"/>
    <m/>
  </r>
  <r>
    <m/>
    <m/>
    <m/>
    <m/>
    <m/>
    <x v="12"/>
    <m/>
    <m/>
    <m/>
    <x v="6"/>
    <m/>
    <x v="2"/>
    <x v="2"/>
    <m/>
  </r>
  <r>
    <m/>
    <m/>
    <m/>
    <m/>
    <m/>
    <x v="12"/>
    <m/>
    <m/>
    <m/>
    <x v="6"/>
    <m/>
    <x v="2"/>
    <x v="2"/>
    <m/>
  </r>
  <r>
    <m/>
    <m/>
    <m/>
    <m/>
    <m/>
    <x v="12"/>
    <m/>
    <m/>
    <m/>
    <x v="6"/>
    <m/>
    <x v="2"/>
    <x v="2"/>
    <m/>
  </r>
  <r>
    <m/>
    <m/>
    <m/>
    <m/>
    <m/>
    <x v="12"/>
    <m/>
    <m/>
    <m/>
    <x v="6"/>
    <m/>
    <x v="2"/>
    <x v="2"/>
    <m/>
  </r>
  <r>
    <m/>
    <m/>
    <m/>
    <m/>
    <m/>
    <x v="12"/>
    <m/>
    <m/>
    <m/>
    <x v="6"/>
    <m/>
    <x v="2"/>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D2B1626-05D8-4928-9211-00C4E3900A38}"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P44:R80" firstHeaderRow="0" firstDataRow="1" firstDataCol="1"/>
  <pivotFields count="13">
    <pivotField showAll="0"/>
    <pivotField showAll="0">
      <items count="6">
        <item x="3"/>
        <item x="0"/>
        <item x="2"/>
        <item x="1"/>
        <item x="4"/>
        <item t="default"/>
      </items>
    </pivotField>
    <pivotField showAll="0"/>
    <pivotField showAll="0"/>
    <pivotField showAll="0"/>
    <pivotField dataField="1" showAll="0"/>
    <pivotField showAll="0"/>
    <pivotField showAll="0"/>
    <pivotField axis="axisRow" showAll="0">
      <items count="37">
        <item x="24"/>
        <item x="13"/>
        <item x="17"/>
        <item x="31"/>
        <item x="29"/>
        <item x="2"/>
        <item x="8"/>
        <item x="33"/>
        <item x="9"/>
        <item x="21"/>
        <item x="11"/>
        <item x="10"/>
        <item x="15"/>
        <item x="23"/>
        <item x="32"/>
        <item x="26"/>
        <item x="28"/>
        <item x="4"/>
        <item x="25"/>
        <item x="7"/>
        <item x="22"/>
        <item x="27"/>
        <item x="30"/>
        <item x="16"/>
        <item x="12"/>
        <item x="20"/>
        <item x="14"/>
        <item x="5"/>
        <item x="1"/>
        <item x="0"/>
        <item x="19"/>
        <item x="34"/>
        <item x="3"/>
        <item x="6"/>
        <item x="18"/>
        <item x="35"/>
        <item t="default"/>
      </items>
    </pivotField>
    <pivotField showAll="0"/>
    <pivotField showAll="0"/>
    <pivotField dataField="1" showAll="0"/>
    <pivotField showAll="0">
      <items count="4">
        <item h="1" x="0"/>
        <item x="1"/>
        <item h="1" x="2"/>
        <item t="default"/>
      </items>
    </pivotField>
  </pivotFields>
  <rowFields count="1">
    <field x="8"/>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Fields count="1">
    <field x="-2"/>
  </colFields>
  <colItems count="2">
    <i>
      <x/>
    </i>
    <i i="1">
      <x v="1"/>
    </i>
  </colItems>
  <dataFields count="2">
    <dataField name="Count of Tiet" fld="5" subtotal="count" baseField="0" baseItem="0"/>
    <dataField name="Sum of Số tiết chưa được bù " fld="11"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3EB084-74CD-4544-98D2-B69BADD41F0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P2:R30" firstHeaderRow="0" firstDataRow="1" firstDataCol="1"/>
  <pivotFields count="13">
    <pivotField showAll="0"/>
    <pivotField showAll="0">
      <items count="6">
        <item x="3"/>
        <item x="0"/>
        <item x="2"/>
        <item x="1"/>
        <item x="4"/>
        <item t="default"/>
      </items>
    </pivotField>
    <pivotField showAll="0"/>
    <pivotField showAll="0"/>
    <pivotField showAll="0"/>
    <pivotField dataField="1" showAll="0"/>
    <pivotField showAll="0"/>
    <pivotField axis="axisRow" showAll="0">
      <items count="29">
        <item x="16"/>
        <item x="1"/>
        <item x="3"/>
        <item x="0"/>
        <item x="4"/>
        <item x="23"/>
        <item x="21"/>
        <item x="26"/>
        <item x="24"/>
        <item x="14"/>
        <item x="7"/>
        <item x="15"/>
        <item x="13"/>
        <item x="25"/>
        <item x="9"/>
        <item x="2"/>
        <item x="6"/>
        <item x="20"/>
        <item x="8"/>
        <item x="12"/>
        <item x="5"/>
        <item x="18"/>
        <item x="10"/>
        <item x="22"/>
        <item x="11"/>
        <item x="19"/>
        <item x="17"/>
        <item x="27"/>
        <item t="default"/>
      </items>
    </pivotField>
    <pivotField showAll="0"/>
    <pivotField showAll="0"/>
    <pivotField showAll="0"/>
    <pivotField dataField="1" showAll="0"/>
    <pivotField showAll="0">
      <items count="4">
        <item h="1" x="0"/>
        <item x="1"/>
        <item h="1" x="2"/>
        <item t="default"/>
      </items>
    </pivotField>
  </pivotFields>
  <rowFields count="1">
    <field x="7"/>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Fields count="1">
    <field x="-2"/>
  </colFields>
  <colItems count="2">
    <i>
      <x/>
    </i>
    <i i="1">
      <x v="1"/>
    </i>
  </colItems>
  <dataFields count="2">
    <dataField name="Count of Tiet" fld="5" subtotal="count" baseField="0" baseItem="0"/>
    <dataField name="Sum of Số tiết chưa được bù " fld="11" baseField="0" baseItem="0"/>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9DACCC-B47E-49AC-AF9D-D0A4CD3B18D6}"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location ref="N41:P56" firstHeaderRow="1" firstDataRow="2" firstDataCol="1"/>
  <pivotFields count="12">
    <pivotField axis="axisRow" showAll="0">
      <items count="16">
        <item x="0"/>
        <item x="1"/>
        <item x="2"/>
        <item x="3"/>
        <item x="4"/>
        <item x="5"/>
        <item x="6"/>
        <item x="7"/>
        <item x="13"/>
        <item x="8"/>
        <item x="9"/>
        <item x="10"/>
        <item x="11"/>
        <item x="12"/>
        <item h="1" x="14"/>
        <item t="default"/>
      </items>
    </pivotField>
    <pivotField showAll="0">
      <items count="81">
        <item x="35"/>
        <item x="63"/>
        <item x="1"/>
        <item x="2"/>
        <item x="72"/>
        <item x="5"/>
        <item x="21"/>
        <item x="30"/>
        <item x="13"/>
        <item x="51"/>
        <item x="26"/>
        <item x="46"/>
        <item x="48"/>
        <item x="50"/>
        <item x="73"/>
        <item x="20"/>
        <item x="4"/>
        <item x="3"/>
        <item x="24"/>
        <item x="32"/>
        <item x="7"/>
        <item x="9"/>
        <item x="17"/>
        <item x="36"/>
        <item x="42"/>
        <item x="11"/>
        <item x="64"/>
        <item x="65"/>
        <item x="75"/>
        <item x="52"/>
        <item x="47"/>
        <item x="8"/>
        <item x="74"/>
        <item x="38"/>
        <item x="39"/>
        <item x="27"/>
        <item x="23"/>
        <item x="0"/>
        <item x="70"/>
        <item x="18"/>
        <item x="44"/>
        <item x="6"/>
        <item x="78"/>
        <item x="45"/>
        <item x="71"/>
        <item x="69"/>
        <item x="43"/>
        <item x="49"/>
        <item x="41"/>
        <item x="77"/>
        <item x="57"/>
        <item x="60"/>
        <item x="61"/>
        <item x="62"/>
        <item x="59"/>
        <item x="58"/>
        <item x="66"/>
        <item x="56"/>
        <item x="55"/>
        <item x="54"/>
        <item x="67"/>
        <item x="68"/>
        <item x="76"/>
        <item x="12"/>
        <item x="14"/>
        <item x="40"/>
        <item x="10"/>
        <item x="34"/>
        <item x="15"/>
        <item x="29"/>
        <item x="22"/>
        <item x="25"/>
        <item x="19"/>
        <item x="33"/>
        <item x="31"/>
        <item x="53"/>
        <item x="28"/>
        <item x="16"/>
        <item x="37"/>
        <item x="79"/>
        <item t="default"/>
      </items>
    </pivotField>
    <pivotField showAll="0"/>
    <pivotField showAll="0"/>
    <pivotField showAll="0"/>
    <pivotField showAll="0"/>
    <pivotField showAll="0"/>
    <pivotField showAll="0">
      <items count="11">
        <item x="1"/>
        <item x="3"/>
        <item x="2"/>
        <item x="6"/>
        <item x="5"/>
        <item x="4"/>
        <item x="8"/>
        <item x="0"/>
        <item x="7"/>
        <item x="9"/>
        <item t="default"/>
      </items>
    </pivotField>
    <pivotField showAll="0"/>
    <pivotField dataField="1" showAll="0"/>
    <pivotField showAll="0"/>
    <pivotField axis="axisCol" showAll="0">
      <items count="4">
        <item h="1" x="0"/>
        <item x="1"/>
        <item h="1" x="2"/>
        <item t="default"/>
      </items>
    </pivotField>
  </pivotFields>
  <rowFields count="1">
    <field x="0"/>
  </rowFields>
  <rowItems count="14">
    <i>
      <x/>
    </i>
    <i>
      <x v="1"/>
    </i>
    <i>
      <x v="2"/>
    </i>
    <i>
      <x v="3"/>
    </i>
    <i>
      <x v="4"/>
    </i>
    <i>
      <x v="5"/>
    </i>
    <i>
      <x v="6"/>
    </i>
    <i>
      <x v="7"/>
    </i>
    <i>
      <x v="8"/>
    </i>
    <i>
      <x v="10"/>
    </i>
    <i>
      <x v="11"/>
    </i>
    <i>
      <x v="12"/>
    </i>
    <i>
      <x v="13"/>
    </i>
    <i t="grand">
      <x/>
    </i>
  </rowItems>
  <colFields count="1">
    <field x="11"/>
  </colFields>
  <colItems count="2">
    <i>
      <x v="1"/>
    </i>
    <i t="grand">
      <x/>
    </i>
  </colItems>
  <dataFields count="1">
    <dataField name="Sum of Lượt khám THCS " fld="9" baseField="0" baseItem="0"/>
  </dataFields>
  <chartFormats count="7">
    <chartFormat chart="0" format="0" series="1">
      <pivotArea type="data" outline="0" fieldPosition="0"/>
    </chartFormat>
    <chartFormat chart="0" format="1" series="1">
      <pivotArea type="data" outline="0" fieldPosition="0">
        <references count="1">
          <reference field="11" count="1" selected="0">
            <x v="1"/>
          </reference>
        </references>
      </pivotArea>
    </chartFormat>
    <chartFormat chart="0" format="2" series="1">
      <pivotArea type="data" outline="0" fieldPosition="0">
        <references count="1">
          <reference field="11" count="1" selected="0">
            <x v="2"/>
          </reference>
        </references>
      </pivotArea>
    </chartFormat>
    <chartFormat chart="6" format="0" series="1">
      <pivotArea type="data" outline="0" fieldPosition="0">
        <references count="2">
          <reference field="4294967294" count="1" selected="0">
            <x v="0"/>
          </reference>
          <reference field="11" count="1" selected="0">
            <x v="1"/>
          </reference>
        </references>
      </pivotArea>
    </chartFormat>
    <chartFormat chart="8" format="2" series="1">
      <pivotArea type="data" outline="0" fieldPosition="0">
        <references count="2">
          <reference field="4294967294" count="1" selected="0">
            <x v="0"/>
          </reference>
          <reference field="11" count="1" selected="0">
            <x v="1"/>
          </reference>
        </references>
      </pivotArea>
    </chartFormat>
    <chartFormat chart="10" format="2" series="1">
      <pivotArea type="data" outline="0" fieldPosition="0">
        <references count="2">
          <reference field="4294967294" count="1" selected="0">
            <x v="0"/>
          </reference>
          <reference field="11" count="1" selected="0">
            <x v="1"/>
          </reference>
        </references>
      </pivotArea>
    </chartFormat>
    <chartFormat chart="12" format="2"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56AAD1-932D-42BB-9D07-7ADFE5DE2F9C}"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N23:P38" firstHeaderRow="1" firstDataRow="2" firstDataCol="1"/>
  <pivotFields count="12">
    <pivotField axis="axisRow" showAll="0">
      <items count="16">
        <item x="0"/>
        <item x="1"/>
        <item x="2"/>
        <item x="3"/>
        <item x="4"/>
        <item x="5"/>
        <item x="6"/>
        <item x="7"/>
        <item x="13"/>
        <item x="8"/>
        <item x="9"/>
        <item x="10"/>
        <item x="11"/>
        <item x="12"/>
        <item h="1" x="14"/>
        <item t="default"/>
      </items>
    </pivotField>
    <pivotField showAll="0">
      <items count="81">
        <item x="35"/>
        <item x="63"/>
        <item x="1"/>
        <item x="2"/>
        <item x="72"/>
        <item x="5"/>
        <item x="21"/>
        <item x="30"/>
        <item x="13"/>
        <item x="51"/>
        <item x="26"/>
        <item x="46"/>
        <item x="48"/>
        <item x="50"/>
        <item x="73"/>
        <item x="20"/>
        <item x="4"/>
        <item x="3"/>
        <item x="24"/>
        <item x="32"/>
        <item x="7"/>
        <item x="9"/>
        <item x="17"/>
        <item x="36"/>
        <item x="42"/>
        <item x="11"/>
        <item x="64"/>
        <item x="65"/>
        <item x="75"/>
        <item x="52"/>
        <item x="47"/>
        <item x="8"/>
        <item x="74"/>
        <item x="38"/>
        <item x="39"/>
        <item x="27"/>
        <item x="23"/>
        <item x="0"/>
        <item x="70"/>
        <item x="18"/>
        <item x="44"/>
        <item x="6"/>
        <item x="78"/>
        <item x="45"/>
        <item x="71"/>
        <item x="69"/>
        <item x="43"/>
        <item x="49"/>
        <item x="41"/>
        <item x="77"/>
        <item x="57"/>
        <item x="60"/>
        <item x="61"/>
        <item x="62"/>
        <item x="59"/>
        <item x="58"/>
        <item x="66"/>
        <item x="56"/>
        <item x="55"/>
        <item x="54"/>
        <item x="67"/>
        <item x="68"/>
        <item x="76"/>
        <item x="12"/>
        <item x="14"/>
        <item x="40"/>
        <item x="10"/>
        <item x="34"/>
        <item x="15"/>
        <item x="29"/>
        <item x="22"/>
        <item x="25"/>
        <item x="19"/>
        <item x="33"/>
        <item x="31"/>
        <item x="53"/>
        <item x="28"/>
        <item x="16"/>
        <item x="37"/>
        <item x="79"/>
        <item t="default"/>
      </items>
    </pivotField>
    <pivotField showAll="0"/>
    <pivotField showAll="0"/>
    <pivotField showAll="0"/>
    <pivotField showAll="0"/>
    <pivotField showAll="0"/>
    <pivotField showAll="0">
      <items count="11">
        <item x="1"/>
        <item x="3"/>
        <item x="2"/>
        <item x="6"/>
        <item x="5"/>
        <item x="4"/>
        <item x="8"/>
        <item x="0"/>
        <item x="7"/>
        <item x="9"/>
        <item t="default"/>
      </items>
    </pivotField>
    <pivotField dataField="1" showAll="0"/>
    <pivotField showAll="0"/>
    <pivotField showAll="0"/>
    <pivotField axis="axisCol" showAll="0">
      <items count="4">
        <item h="1" x="0"/>
        <item x="1"/>
        <item h="1" x="2"/>
        <item t="default"/>
      </items>
    </pivotField>
  </pivotFields>
  <rowFields count="1">
    <field x="0"/>
  </rowFields>
  <rowItems count="14">
    <i>
      <x/>
    </i>
    <i>
      <x v="1"/>
    </i>
    <i>
      <x v="2"/>
    </i>
    <i>
      <x v="3"/>
    </i>
    <i>
      <x v="4"/>
    </i>
    <i>
      <x v="5"/>
    </i>
    <i>
      <x v="6"/>
    </i>
    <i>
      <x v="7"/>
    </i>
    <i>
      <x v="8"/>
    </i>
    <i>
      <x v="10"/>
    </i>
    <i>
      <x v="11"/>
    </i>
    <i>
      <x v="12"/>
    </i>
    <i>
      <x v="13"/>
    </i>
    <i t="grand">
      <x/>
    </i>
  </rowItems>
  <colFields count="1">
    <field x="11"/>
  </colFields>
  <colItems count="2">
    <i>
      <x v="1"/>
    </i>
    <i t="grand">
      <x/>
    </i>
  </colItems>
  <dataFields count="1">
    <dataField name="Sum of Lượt khám Tiểu học" fld="8" baseField="0" baseItem="0"/>
  </dataFields>
  <chartFormats count="4">
    <chartFormat chart="0" format="0" series="1">
      <pivotArea type="data" outline="0" fieldPosition="0"/>
    </chartFormat>
    <chartFormat chart="0" format="1" series="1">
      <pivotArea type="data" outline="0" fieldPosition="0">
        <references count="1">
          <reference field="11" count="1" selected="0">
            <x v="1"/>
          </reference>
        </references>
      </pivotArea>
    </chartFormat>
    <chartFormat chart="0" format="2" series="1">
      <pivotArea type="data" outline="0" fieldPosition="0">
        <references count="1">
          <reference field="11" count="1" selected="0">
            <x v="2"/>
          </reference>
        </references>
      </pivotArea>
    </chartFormat>
    <chartFormat chart="5" format="2"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80BE01-4DFF-4AC9-87F2-1289FE64FAE0}"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N5:P20" firstHeaderRow="1" firstDataRow="2" firstDataCol="1"/>
  <pivotFields count="12">
    <pivotField axis="axisRow" showAll="0">
      <items count="16">
        <item x="0"/>
        <item x="1"/>
        <item x="2"/>
        <item x="3"/>
        <item x="4"/>
        <item x="5"/>
        <item x="6"/>
        <item x="7"/>
        <item x="13"/>
        <item x="8"/>
        <item x="9"/>
        <item x="10"/>
        <item x="11"/>
        <item x="12"/>
        <item x="14"/>
        <item t="default"/>
      </items>
    </pivotField>
    <pivotField showAll="0">
      <items count="81">
        <item x="35"/>
        <item x="63"/>
        <item x="1"/>
        <item x="2"/>
        <item x="72"/>
        <item x="5"/>
        <item x="21"/>
        <item x="30"/>
        <item x="13"/>
        <item x="51"/>
        <item x="26"/>
        <item x="46"/>
        <item x="48"/>
        <item x="50"/>
        <item x="73"/>
        <item x="20"/>
        <item x="4"/>
        <item x="3"/>
        <item x="24"/>
        <item x="32"/>
        <item x="7"/>
        <item x="9"/>
        <item x="17"/>
        <item x="36"/>
        <item x="42"/>
        <item x="11"/>
        <item x="64"/>
        <item x="65"/>
        <item x="75"/>
        <item x="52"/>
        <item x="47"/>
        <item x="8"/>
        <item x="74"/>
        <item x="38"/>
        <item x="39"/>
        <item x="27"/>
        <item x="23"/>
        <item x="0"/>
        <item x="70"/>
        <item x="18"/>
        <item x="44"/>
        <item x="6"/>
        <item x="78"/>
        <item x="45"/>
        <item x="71"/>
        <item x="69"/>
        <item x="43"/>
        <item x="49"/>
        <item x="41"/>
        <item x="77"/>
        <item x="57"/>
        <item x="60"/>
        <item x="61"/>
        <item x="62"/>
        <item x="59"/>
        <item x="58"/>
        <item x="66"/>
        <item x="56"/>
        <item x="55"/>
        <item x="54"/>
        <item x="67"/>
        <item x="68"/>
        <item x="76"/>
        <item x="12"/>
        <item x="14"/>
        <item x="40"/>
        <item x="10"/>
        <item x="34"/>
        <item x="15"/>
        <item x="29"/>
        <item x="22"/>
        <item x="25"/>
        <item x="19"/>
        <item x="33"/>
        <item x="31"/>
        <item x="53"/>
        <item x="28"/>
        <item x="16"/>
        <item x="37"/>
        <item x="79"/>
        <item t="default"/>
      </items>
    </pivotField>
    <pivotField showAll="0"/>
    <pivotField showAll="0"/>
    <pivotField showAll="0"/>
    <pivotField showAll="0"/>
    <pivotField showAll="0"/>
    <pivotField dataField="1" showAll="0">
      <items count="11">
        <item x="1"/>
        <item x="3"/>
        <item x="2"/>
        <item x="6"/>
        <item x="5"/>
        <item x="4"/>
        <item x="8"/>
        <item x="0"/>
        <item x="7"/>
        <item x="9"/>
        <item t="default"/>
      </items>
    </pivotField>
    <pivotField showAll="0"/>
    <pivotField showAll="0"/>
    <pivotField showAll="0"/>
    <pivotField axis="axisCol" showAll="0">
      <items count="4">
        <item h="1" x="0"/>
        <item x="1"/>
        <item h="1" x="2"/>
        <item t="default"/>
      </items>
    </pivotField>
  </pivotFields>
  <rowFields count="1">
    <field x="0"/>
  </rowFields>
  <rowItems count="14">
    <i>
      <x/>
    </i>
    <i>
      <x v="1"/>
    </i>
    <i>
      <x v="2"/>
    </i>
    <i>
      <x v="3"/>
    </i>
    <i>
      <x v="4"/>
    </i>
    <i>
      <x v="5"/>
    </i>
    <i>
      <x v="6"/>
    </i>
    <i>
      <x v="7"/>
    </i>
    <i>
      <x v="8"/>
    </i>
    <i>
      <x v="10"/>
    </i>
    <i>
      <x v="11"/>
    </i>
    <i>
      <x v="12"/>
    </i>
    <i>
      <x v="13"/>
    </i>
    <i t="grand">
      <x/>
    </i>
  </rowItems>
  <colFields count="1">
    <field x="11"/>
  </colFields>
  <colItems count="2">
    <i>
      <x v="1"/>
    </i>
    <i t="grand">
      <x/>
    </i>
  </colItems>
  <dataFields count="1">
    <dataField name="Sum of Lượt khám mầm non" fld="7" baseField="0" baseItem="0"/>
  </dataFields>
  <chartFormats count="3">
    <chartFormat chart="2" format="7" series="1">
      <pivotArea type="data" outline="0" fieldPosition="0">
        <references count="2">
          <reference field="4294967294" count="1" selected="0">
            <x v="0"/>
          </reference>
          <reference field="11" count="1" selected="0">
            <x v="0"/>
          </reference>
        </references>
      </pivotArea>
    </chartFormat>
    <chartFormat chart="2" format="8" series="1">
      <pivotArea type="data" outline="0" fieldPosition="0">
        <references count="2">
          <reference field="4294967294" count="1" selected="0">
            <x v="0"/>
          </reference>
          <reference field="11" count="1" selected="0">
            <x v="1"/>
          </reference>
        </references>
      </pivotArea>
    </chartFormat>
    <chartFormat chart="2" format="9"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4116EA-ED57-4C7C-8DEF-1FF9914ABE54}"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N58:P73" firstHeaderRow="1" firstDataRow="2" firstDataCol="1"/>
  <pivotFields count="12">
    <pivotField axis="axisRow" showAll="0">
      <items count="16">
        <item x="0"/>
        <item x="1"/>
        <item x="2"/>
        <item x="3"/>
        <item x="4"/>
        <item x="5"/>
        <item x="6"/>
        <item x="7"/>
        <item x="13"/>
        <item x="8"/>
        <item x="9"/>
        <item x="10"/>
        <item x="11"/>
        <item x="12"/>
        <item h="1" x="14"/>
        <item t="default"/>
      </items>
    </pivotField>
    <pivotField showAll="0">
      <items count="81">
        <item x="35"/>
        <item x="63"/>
        <item x="1"/>
        <item x="2"/>
        <item x="72"/>
        <item x="5"/>
        <item x="21"/>
        <item x="30"/>
        <item x="13"/>
        <item x="51"/>
        <item x="26"/>
        <item x="46"/>
        <item x="48"/>
        <item x="50"/>
        <item x="73"/>
        <item x="20"/>
        <item x="4"/>
        <item x="3"/>
        <item x="24"/>
        <item x="32"/>
        <item x="7"/>
        <item x="9"/>
        <item x="17"/>
        <item x="36"/>
        <item x="42"/>
        <item x="11"/>
        <item x="64"/>
        <item x="65"/>
        <item x="75"/>
        <item x="52"/>
        <item x="47"/>
        <item x="8"/>
        <item x="74"/>
        <item x="38"/>
        <item x="39"/>
        <item x="27"/>
        <item x="23"/>
        <item x="0"/>
        <item x="70"/>
        <item x="18"/>
        <item x="44"/>
        <item x="6"/>
        <item x="78"/>
        <item x="45"/>
        <item x="71"/>
        <item x="69"/>
        <item x="43"/>
        <item x="49"/>
        <item x="41"/>
        <item x="77"/>
        <item x="57"/>
        <item x="60"/>
        <item x="61"/>
        <item x="62"/>
        <item x="59"/>
        <item x="58"/>
        <item x="66"/>
        <item x="56"/>
        <item x="55"/>
        <item x="54"/>
        <item x="67"/>
        <item x="68"/>
        <item x="76"/>
        <item x="12"/>
        <item x="14"/>
        <item x="40"/>
        <item x="10"/>
        <item x="34"/>
        <item x="15"/>
        <item x="29"/>
        <item x="22"/>
        <item x="25"/>
        <item x="19"/>
        <item x="33"/>
        <item x="31"/>
        <item x="53"/>
        <item x="28"/>
        <item x="16"/>
        <item x="37"/>
        <item x="79"/>
        <item t="default"/>
      </items>
    </pivotField>
    <pivotField showAll="0"/>
    <pivotField showAll="0"/>
    <pivotField showAll="0"/>
    <pivotField showAll="0"/>
    <pivotField showAll="0"/>
    <pivotField showAll="0">
      <items count="11">
        <item x="1"/>
        <item x="3"/>
        <item x="2"/>
        <item x="6"/>
        <item x="5"/>
        <item x="4"/>
        <item x="8"/>
        <item x="0"/>
        <item x="7"/>
        <item x="9"/>
        <item t="default"/>
      </items>
    </pivotField>
    <pivotField showAll="0"/>
    <pivotField showAll="0"/>
    <pivotField dataField="1" showAll="0"/>
    <pivotField axis="axisCol" showAll="0">
      <items count="4">
        <item h="1" x="0"/>
        <item x="1"/>
        <item h="1" x="2"/>
        <item t="default"/>
      </items>
    </pivotField>
  </pivotFields>
  <rowFields count="1">
    <field x="0"/>
  </rowFields>
  <rowItems count="14">
    <i>
      <x/>
    </i>
    <i>
      <x v="1"/>
    </i>
    <i>
      <x v="2"/>
    </i>
    <i>
      <x v="3"/>
    </i>
    <i>
      <x v="4"/>
    </i>
    <i>
      <x v="5"/>
    </i>
    <i>
      <x v="6"/>
    </i>
    <i>
      <x v="7"/>
    </i>
    <i>
      <x v="8"/>
    </i>
    <i>
      <x v="10"/>
    </i>
    <i>
      <x v="11"/>
    </i>
    <i>
      <x v="12"/>
    </i>
    <i>
      <x v="13"/>
    </i>
    <i t="grand">
      <x/>
    </i>
  </rowItems>
  <colFields count="1">
    <field x="11"/>
  </colFields>
  <colItems count="2">
    <i>
      <x v="1"/>
    </i>
    <i t="grand">
      <x/>
    </i>
  </colItems>
  <dataFields count="1">
    <dataField name="Sum of Lượt khám THPT" fld="10" baseField="0" baseItem="0"/>
  </dataFields>
  <chartFormats count="6">
    <chartFormat chart="0" format="0" series="1">
      <pivotArea type="data" outline="0" fieldPosition="0"/>
    </chartFormat>
    <chartFormat chart="0" format="1" series="1">
      <pivotArea type="data" outline="0" fieldPosition="0">
        <references count="1">
          <reference field="11" count="1" selected="0">
            <x v="1"/>
          </reference>
        </references>
      </pivotArea>
    </chartFormat>
    <chartFormat chart="0" format="2" series="1">
      <pivotArea type="data" outline="0" fieldPosition="0">
        <references count="1">
          <reference field="11" count="1" selected="0">
            <x v="2"/>
          </reference>
        </references>
      </pivotArea>
    </chartFormat>
    <chartFormat chart="13" format="0" series="1">
      <pivotArea type="data" outline="0" fieldPosition="0">
        <references count="2">
          <reference field="4294967294" count="1" selected="0">
            <x v="0"/>
          </reference>
          <reference field="11" count="1" selected="0">
            <x v="1"/>
          </reference>
        </references>
      </pivotArea>
    </chartFormat>
    <chartFormat chart="14" format="0" series="1">
      <pivotArea type="data" outline="0" fieldPosition="0">
        <references count="2">
          <reference field="4294967294" count="1" selected="0">
            <x v="0"/>
          </reference>
          <reference field="11" count="1" selected="0">
            <x v="1"/>
          </reference>
        </references>
      </pivotArea>
    </chartFormat>
    <chartFormat chart="16" format="2"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CAEE870-376D-4FFE-8A68-4BFEBDC36FC0}"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O3:P17" firstHeaderRow="1" firstDataRow="1" firstDataCol="1" rowPageCount="1" colPageCount="1"/>
  <pivotFields count="10">
    <pivotField showAll="0"/>
    <pivotField axis="axisRow" showAll="0" measureFilter="1">
      <items count="198">
        <item x="35"/>
        <item x="147"/>
        <item x="110"/>
        <item x="0"/>
        <item x="81"/>
        <item x="88"/>
        <item x="96"/>
        <item x="126"/>
        <item x="145"/>
        <item x="4"/>
        <item x="10"/>
        <item x="181"/>
        <item x="179"/>
        <item x="163"/>
        <item x="178"/>
        <item x="193"/>
        <item x="48"/>
        <item x="134"/>
        <item x="11"/>
        <item x="182"/>
        <item x="133"/>
        <item x="101"/>
        <item x="67"/>
        <item x="37"/>
        <item x="38"/>
        <item x="8"/>
        <item x="155"/>
        <item x="36"/>
        <item x="44"/>
        <item x="2"/>
        <item x="108"/>
        <item x="130"/>
        <item x="165"/>
        <item x="176"/>
        <item x="21"/>
        <item x="141"/>
        <item x="131"/>
        <item x="1"/>
        <item x="194"/>
        <item x="106"/>
        <item x="98"/>
        <item x="189"/>
        <item x="135"/>
        <item x="32"/>
        <item x="190"/>
        <item x="168"/>
        <item x="16"/>
        <item x="172"/>
        <item x="142"/>
        <item x="121"/>
        <item x="78"/>
        <item x="39"/>
        <item x="191"/>
        <item x="192"/>
        <item x="153"/>
        <item x="64"/>
        <item x="79"/>
        <item x="185"/>
        <item x="124"/>
        <item x="174"/>
        <item x="56"/>
        <item x="63"/>
        <item x="114"/>
        <item x="95"/>
        <item x="66"/>
        <item x="22"/>
        <item x="90"/>
        <item x="180"/>
        <item x="152"/>
        <item x="62"/>
        <item x="127"/>
        <item x="115"/>
        <item x="18"/>
        <item x="150"/>
        <item x="156"/>
        <item x="175"/>
        <item x="75"/>
        <item x="9"/>
        <item x="97"/>
        <item x="15"/>
        <item x="119"/>
        <item x="159"/>
        <item x="183"/>
        <item x="164"/>
        <item x="157"/>
        <item x="195"/>
        <item x="186"/>
        <item x="83"/>
        <item x="171"/>
        <item x="104"/>
        <item x="177"/>
        <item x="92"/>
        <item x="154"/>
        <item x="149"/>
        <item x="170"/>
        <item x="31"/>
        <item x="41"/>
        <item x="20"/>
        <item x="123"/>
        <item x="17"/>
        <item x="60"/>
        <item x="58"/>
        <item x="144"/>
        <item x="59"/>
        <item x="7"/>
        <item x="30"/>
        <item x="77"/>
        <item x="54"/>
        <item x="113"/>
        <item x="80"/>
        <item x="69"/>
        <item x="55"/>
        <item x="146"/>
        <item x="158"/>
        <item x="49"/>
        <item x="184"/>
        <item x="103"/>
        <item x="28"/>
        <item x="72"/>
        <item x="50"/>
        <item x="34"/>
        <item x="47"/>
        <item x="68"/>
        <item x="76"/>
        <item x="117"/>
        <item x="12"/>
        <item x="143"/>
        <item x="102"/>
        <item x="84"/>
        <item x="14"/>
        <item x="138"/>
        <item x="136"/>
        <item x="57"/>
        <item x="132"/>
        <item x="86"/>
        <item x="111"/>
        <item x="46"/>
        <item x="26"/>
        <item x="100"/>
        <item x="85"/>
        <item x="125"/>
        <item x="161"/>
        <item x="89"/>
        <item x="91"/>
        <item x="52"/>
        <item x="162"/>
        <item x="151"/>
        <item x="166"/>
        <item x="105"/>
        <item x="13"/>
        <item x="93"/>
        <item x="112"/>
        <item x="187"/>
        <item x="128"/>
        <item x="160"/>
        <item x="109"/>
        <item x="137"/>
        <item x="51"/>
        <item x="99"/>
        <item x="73"/>
        <item x="122"/>
        <item x="129"/>
        <item x="3"/>
        <item x="71"/>
        <item x="43"/>
        <item x="45"/>
        <item x="19"/>
        <item x="120"/>
        <item x="87"/>
        <item x="25"/>
        <item x="65"/>
        <item x="74"/>
        <item x="107"/>
        <item x="23"/>
        <item x="6"/>
        <item x="5"/>
        <item x="140"/>
        <item x="94"/>
        <item x="53"/>
        <item x="188"/>
        <item x="33"/>
        <item x="173"/>
        <item x="29"/>
        <item x="118"/>
        <item x="70"/>
        <item x="169"/>
        <item x="24"/>
        <item x="139"/>
        <item x="27"/>
        <item x="116"/>
        <item x="148"/>
        <item x="42"/>
        <item x="61"/>
        <item x="40"/>
        <item x="82"/>
        <item x="167"/>
        <item x="196"/>
        <item t="default"/>
      </items>
    </pivotField>
    <pivotField showAll="0">
      <items count="30">
        <item x="12"/>
        <item x="13"/>
        <item x="2"/>
        <item x="5"/>
        <item x="6"/>
        <item x="16"/>
        <item x="9"/>
        <item x="10"/>
        <item x="4"/>
        <item x="7"/>
        <item x="21"/>
        <item x="14"/>
        <item x="11"/>
        <item x="22"/>
        <item x="19"/>
        <item x="1"/>
        <item x="17"/>
        <item x="26"/>
        <item x="3"/>
        <item x="8"/>
        <item x="25"/>
        <item x="24"/>
        <item x="20"/>
        <item x="18"/>
        <item x="28"/>
        <item x="27"/>
        <item x="23"/>
        <item x="15"/>
        <item x="0"/>
        <item t="default"/>
      </items>
    </pivotField>
    <pivotField showAll="0">
      <items count="12">
        <item x="9"/>
        <item x="8"/>
        <item x="1"/>
        <item x="5"/>
        <item x="2"/>
        <item x="4"/>
        <item x="0"/>
        <item x="7"/>
        <item x="3"/>
        <item x="6"/>
        <item x="10"/>
        <item t="default"/>
      </items>
    </pivotField>
    <pivotField showAll="0"/>
    <pivotField dataField="1" showAll="0"/>
    <pivotField showAll="0"/>
    <pivotField showAll="0"/>
    <pivotField axis="axisPage" multipleItemSelectionAllowed="1" showAll="0">
      <items count="4">
        <item h="1" x="0"/>
        <item x="1"/>
        <item h="1" x="2"/>
        <item t="default"/>
      </items>
    </pivotField>
    <pivotField showAll="0"/>
  </pivotFields>
  <rowFields count="1">
    <field x="1"/>
  </rowFields>
  <rowItems count="14">
    <i>
      <x/>
    </i>
    <i>
      <x v="34"/>
    </i>
    <i>
      <x v="41"/>
    </i>
    <i>
      <x v="42"/>
    </i>
    <i>
      <x v="43"/>
    </i>
    <i>
      <x v="46"/>
    </i>
    <i>
      <x v="80"/>
    </i>
    <i>
      <x v="87"/>
    </i>
    <i>
      <x v="102"/>
    </i>
    <i>
      <x v="109"/>
    </i>
    <i>
      <x v="116"/>
    </i>
    <i>
      <x v="164"/>
    </i>
    <i>
      <x v="182"/>
    </i>
    <i t="grand">
      <x/>
    </i>
  </rowItems>
  <colItems count="1">
    <i/>
  </colItems>
  <pageFields count="1">
    <pageField fld="8" hier="-1"/>
  </pageFields>
  <dataFields count="1">
    <dataField name="Sum of SoNgayThang" fld="5"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9FE95EE-5D85-4C8B-B077-9E0EE382A581}"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L3:M14" firstHeaderRow="1" firstDataRow="1" firstDataCol="1" rowPageCount="1" colPageCount="1"/>
  <pivotFields count="10">
    <pivotField showAll="0"/>
    <pivotField showAll="0"/>
    <pivotField axis="axisPage" multipleItemSelectionAllowed="1" showAll="0">
      <items count="30">
        <item x="12"/>
        <item x="13"/>
        <item x="2"/>
        <item x="5"/>
        <item x="6"/>
        <item x="16"/>
        <item x="9"/>
        <item x="10"/>
        <item x="4"/>
        <item x="7"/>
        <item x="21"/>
        <item x="14"/>
        <item x="11"/>
        <item x="22"/>
        <item x="19"/>
        <item x="1"/>
        <item x="17"/>
        <item x="26"/>
        <item x="3"/>
        <item x="8"/>
        <item x="25"/>
        <item x="24"/>
        <item x="20"/>
        <item x="18"/>
        <item x="28"/>
        <item x="27"/>
        <item x="23"/>
        <item x="15"/>
        <item x="0"/>
        <item t="default"/>
      </items>
    </pivotField>
    <pivotField axis="axisRow" showAll="0">
      <items count="12">
        <item x="9"/>
        <item x="8"/>
        <item x="1"/>
        <item x="5"/>
        <item x="2"/>
        <item x="4"/>
        <item x="0"/>
        <item x="7"/>
        <item x="3"/>
        <item x="6"/>
        <item x="10"/>
        <item t="default"/>
      </items>
    </pivotField>
    <pivotField showAll="0"/>
    <pivotField dataField="1" showAll="0"/>
    <pivotField showAll="0"/>
    <pivotField showAll="0"/>
    <pivotField showAll="0">
      <items count="4">
        <item h="1" x="0"/>
        <item x="1"/>
        <item h="1" x="2"/>
        <item t="default"/>
      </items>
    </pivotField>
    <pivotField showAll="0"/>
  </pivotFields>
  <rowFields count="1">
    <field x="3"/>
  </rowFields>
  <rowItems count="11">
    <i>
      <x/>
    </i>
    <i>
      <x v="1"/>
    </i>
    <i>
      <x v="2"/>
    </i>
    <i>
      <x v="3"/>
    </i>
    <i>
      <x v="4"/>
    </i>
    <i>
      <x v="5"/>
    </i>
    <i>
      <x v="6"/>
    </i>
    <i>
      <x v="7"/>
    </i>
    <i>
      <x v="8"/>
    </i>
    <i>
      <x v="9"/>
    </i>
    <i t="grand">
      <x/>
    </i>
  </rowItems>
  <colItems count="1">
    <i/>
  </colItems>
  <pageFields count="1">
    <pageField fld="2" hier="-1"/>
  </pageFields>
  <dataFields count="1">
    <dataField name="Sum of SoNgayThang" fld="5" baseField="0" baseItem="0"/>
  </dataFields>
  <chartFormats count="1">
    <chartFormat chart="5" format="1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F5A3AD8-1CA4-4D78-89EA-9838BF2EF45D}"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O27:R38" firstHeaderRow="1" firstDataRow="2" firstDataCol="1"/>
  <pivotFields count="14">
    <pivotField showAll="0"/>
    <pivotField dataField="1" showAll="0"/>
    <pivotField showAll="0"/>
    <pivotField showAll="0"/>
    <pivotField showAll="0"/>
    <pivotField axis="axisRow" showAll="0">
      <items count="14">
        <item x="5"/>
        <item x="3"/>
        <item x="8"/>
        <item x="0"/>
        <item x="7"/>
        <item x="11"/>
        <item x="2"/>
        <item x="10"/>
        <item x="4"/>
        <item x="9"/>
        <item x="1"/>
        <item x="6"/>
        <item x="12"/>
        <item t="default"/>
      </items>
    </pivotField>
    <pivotField showAll="0"/>
    <pivotField showAll="0"/>
    <pivotField showAll="0"/>
    <pivotField showAll="0">
      <items count="8">
        <item h="1" x="5"/>
        <item x="0"/>
        <item x="4"/>
        <item h="1" x="3"/>
        <item h="1" x="1"/>
        <item x="2"/>
        <item x="6"/>
        <item t="default"/>
      </items>
    </pivotField>
    <pivotField showAll="0"/>
    <pivotField axis="axisCol" showAll="0">
      <items count="4">
        <item x="1"/>
        <item x="0"/>
        <item x="2"/>
        <item t="default"/>
      </items>
    </pivotField>
    <pivotField showAll="0">
      <items count="4">
        <item x="0"/>
        <item x="1"/>
        <item h="1" x="2"/>
        <item t="default"/>
      </items>
    </pivotField>
    <pivotField showAll="0"/>
  </pivotFields>
  <rowFields count="1">
    <field x="5"/>
  </rowFields>
  <rowItems count="10">
    <i>
      <x/>
    </i>
    <i>
      <x v="1"/>
    </i>
    <i>
      <x v="2"/>
    </i>
    <i>
      <x v="3"/>
    </i>
    <i>
      <x v="4"/>
    </i>
    <i>
      <x v="6"/>
    </i>
    <i>
      <x v="7"/>
    </i>
    <i>
      <x v="8"/>
    </i>
    <i>
      <x v="9"/>
    </i>
    <i t="grand">
      <x/>
    </i>
  </rowItems>
  <colFields count="1">
    <field x="11"/>
  </colFields>
  <colItems count="3">
    <i>
      <x/>
    </i>
    <i>
      <x v="1"/>
    </i>
    <i t="grand">
      <x/>
    </i>
  </colItems>
  <dataFields count="1">
    <dataField name="Count of Mã NV" fld="1" subtotal="count" baseField="0" baseItem="0"/>
  </dataFields>
  <chartFormats count="3">
    <chartFormat chart="2" format="6" series="1">
      <pivotArea type="data" outline="0" fieldPosition="0">
        <references count="2">
          <reference field="4294967294" count="1" selected="0">
            <x v="0"/>
          </reference>
          <reference field="11" count="1" selected="0">
            <x v="0"/>
          </reference>
        </references>
      </pivotArea>
    </chartFormat>
    <chartFormat chart="2" format="7" series="1">
      <pivotArea type="data" outline="0" fieldPosition="0">
        <references count="2">
          <reference field="4294967294" count="1" selected="0">
            <x v="0"/>
          </reference>
          <reference field="11" count="1" selected="0">
            <x v="1"/>
          </reference>
        </references>
      </pivotArea>
    </chartFormat>
    <chartFormat chart="2" format="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p" xr10:uid="{336E8D7D-9A89-4B93-9481-649A42AF5855}" sourceName="Cap">
  <pivotTables>
    <pivotTable tabId="1" name="PivotTable4"/>
  </pivotTables>
  <data>
    <tabular pivotCacheId="268200051">
      <items count="5">
        <i x="3" s="1"/>
        <i x="0" s="1"/>
        <i x="2"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 xr10:uid="{D6F4C7AD-2D61-4FD4-886E-EA417E8956D1}" sourceName="Tháng ">
  <pivotTables>
    <pivotTable tabId="1" name="PivotTable4"/>
  </pivotTables>
  <data>
    <tabular pivotCacheId="268200051">
      <items count="3">
        <i x="0"/>
        <i x="1" s="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p1" xr10:uid="{30AD37D7-D432-40CB-84AA-7BCEC350315F}" sourceName="Cap">
  <pivotTables>
    <pivotTable tabId="1" name="PivotTable5"/>
  </pivotTables>
  <data>
    <tabular pivotCacheId="268200051">
      <items count="5">
        <i x="3" s="1"/>
        <i x="0" s="1"/>
        <i x="2" s="1"/>
        <i x="1"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1" xr10:uid="{51D62DD2-3BA4-4EE3-BA67-C9FE0344B596}" sourceName="Tháng ">
  <pivotTables>
    <pivotTable tabId="1" name="PivotTable5"/>
  </pivotTables>
  <data>
    <tabular pivotCacheId="268200051">
      <items count="3">
        <i x="0"/>
        <i x="1" s="1"/>
        <i x="2"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ongBan" xr10:uid="{1D80D9DC-7A46-479B-BC31-587F48DB1D4A}" sourceName="PhongBan">
  <pivotTables>
    <pivotTable tabId="2" name="PivotTable8"/>
  </pivotTables>
  <data>
    <tabular pivotCacheId="1051095874">
      <items count="29">
        <i x="12" s="1"/>
        <i x="13" s="1"/>
        <i x="2" s="1"/>
        <i x="5" s="1"/>
        <i x="16" s="1"/>
        <i x="9" s="1"/>
        <i x="10" s="1"/>
        <i x="4" s="1"/>
        <i x="7" s="1"/>
        <i x="21" s="1"/>
        <i x="14" s="1"/>
        <i x="11" s="1"/>
        <i x="19" s="1"/>
        <i x="1" s="1"/>
        <i x="17" s="1"/>
        <i x="26" s="1"/>
        <i x="3" s="1"/>
        <i x="8" s="1"/>
        <i x="25" s="1"/>
        <i x="24" s="1"/>
        <i x="20" s="1"/>
        <i x="28" s="1"/>
        <i x="27" s="1"/>
        <i x="15" s="1"/>
        <i x="0" s="1"/>
        <i x="6" s="1" nd="1"/>
        <i x="22" s="1" nd="1"/>
        <i x="18" s="1" nd="1"/>
        <i x="23"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2" xr10:uid="{A321CEE3-D74E-429F-A471-B1B418147342}" sourceName="Tháng ">
  <pivotTables>
    <pivotTable tabId="2" name="PivotTable8"/>
  </pivotTables>
  <data>
    <tabular pivotCacheId="1051095874">
      <items count="3">
        <i x="0"/>
        <i x="1" s="1"/>
        <i x="2"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3" xr10:uid="{EAFBAFAC-B296-4B0D-8AE7-286BCAEA2E9E}" sourceName="Tháng ">
  <pivotTables>
    <pivotTable tabId="2" name="PivotTable15"/>
  </pivotTables>
  <data>
    <tabular pivotCacheId="1051095874">
      <items count="3">
        <i x="0"/>
        <i x="1" s="1"/>
        <i x="2"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ongBan1" xr10:uid="{E3AA35CE-0F1E-4FB8-B2DE-39425A8F29C1}" sourceName="PhongBan">
  <pivotTables>
    <pivotTable tabId="2" name="PivotTable15"/>
  </pivotTables>
  <data>
    <tabular pivotCacheId="1051095874">
      <items count="29">
        <i x="12" s="1"/>
        <i x="13" s="1"/>
        <i x="2" s="1"/>
        <i x="5" s="1"/>
        <i x="16" s="1"/>
        <i x="9" s="1"/>
        <i x="10" s="1"/>
        <i x="4" s="1"/>
        <i x="7" s="1"/>
        <i x="21" s="1"/>
        <i x="14" s="1"/>
        <i x="11" s="1"/>
        <i x="19" s="1"/>
        <i x="1" s="1"/>
        <i x="17" s="1"/>
        <i x="26" s="1"/>
        <i x="3" s="1"/>
        <i x="8" s="1"/>
        <i x="25" s="1"/>
        <i x="24" s="1"/>
        <i x="20" s="1"/>
        <i x="28" s="1"/>
        <i x="27" s="1"/>
        <i x="15" s="1"/>
        <i x="0" s="1"/>
        <i x="6" s="1" nd="1"/>
        <i x="22" s="1" nd="1"/>
        <i x="18" s="1" nd="1"/>
        <i x="23"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háng4" xr10:uid="{0EADD77D-DF4A-4FF0-A818-821B070E1422}" sourceName="Tháng">
  <pivotTables>
    <pivotTable tabId="16" name="PivotTable17"/>
  </pivotTables>
  <data>
    <tabular pivotCacheId="672101706">
      <items count="3">
        <i x="0" s="1"/>
        <i x="1" s="1"/>
        <i x="2"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ại_HĐ" xr10:uid="{80D9F51C-7EE1-41B9-92DA-42BA54D4838C}" sourceName="Loại HĐ">
  <pivotTables>
    <pivotTable tabId="16" name="PivotTable17"/>
  </pivotTables>
  <data>
    <tabular pivotCacheId="672101706">
      <items count="7">
        <i x="5"/>
        <i x="0" s="1"/>
        <i x="4" s="1"/>
        <i x="3"/>
        <i x="1"/>
        <i x="2"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p 1" xr10:uid="{9FE006C9-CFB2-4272-BD82-6CE2B157582D}" cache="Slicer_Cap" caption="Cap" rowHeight="230716"/>
  <slicer name="Tháng  1" xr10:uid="{4134147C-1A19-4EAB-93C2-00FCE8D0AB0E}" cache="Slicer_Tháng" caption="Tháng " rowHeight="230716"/>
  <slicer name="Cap" xr10:uid="{95616E48-7C25-4D00-ACD9-1CAEE0131AAA}" cache="Slicer_Cap1" caption="Cap" rowHeight="230716"/>
  <slicer name="Tháng " xr10:uid="{46A7808F-F7B6-4A4F-9F8C-02972D821425}" cache="Slicer_Tháng1" caption="Tháng " rowHeight="230716"/>
  <slicer name="PhongBan" xr10:uid="{1077265F-5634-4382-9F24-0C845C0A3276}" cache="Slicer_PhongBan" caption="Phòng ban" rowHeight="230716"/>
  <slicer name="Tháng  2" xr10:uid="{A513E25D-4D9C-48A7-971A-940467C8298D}" cache="Slicer_Tháng2" caption="Tháng " rowHeight="230716"/>
  <slicer name="Tháng  3" xr10:uid="{52C19BB6-9A5E-440E-9949-FE8A84110B90}" cache="Slicer_Tháng3" caption="Tháng " rowHeight="230716"/>
  <slicer name="PhongBan 1" xr10:uid="{D5DDFE09-D98F-4804-B33A-D5D3B0556301}" cache="Slicer_PhongBan1" caption="PhongBan" rowHeight="230716"/>
  <slicer name="Tháng" xr10:uid="{CDD6101C-78A3-4B45-A6E0-F4F21E6D95D7}" cache="Slicer_Tháng4" caption="Tháng" rowHeight="230716"/>
  <slicer name="Loại HĐ" xr10:uid="{D79A4A7F-82DA-4E1B-905A-2993BD53939A}" cache="Slicer_Loại_HĐ" caption="Loại HĐ"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1B362A9-E70F-4640-81CB-039316846527}" name="Table5" displayName="Table5" ref="A1:M289" totalsRowShown="0" headerRowDxfId="83">
  <autoFilter ref="A1:M289" xr:uid="{D1B362A9-E70F-4640-81CB-039316846527}"/>
  <tableColumns count="13">
    <tableColumn id="1" xr3:uid="{39E45969-7027-4C8C-AD85-013FEF8B1A33}" name="STT"/>
    <tableColumn id="2" xr3:uid="{3EE2A636-82F0-4359-BC6B-F38D2D36D777}" name="Cap"/>
    <tableColumn id="3" xr3:uid="{C46F618E-55F6-4BD4-85EA-6A4D0F52C092}" name="Thu"/>
    <tableColumn id="4" xr3:uid="{CEB1AC16-2B3E-482C-ACE3-1E033ECBF410}" name="Ngay"/>
    <tableColumn id="5" xr3:uid="{7D04DC5E-945B-4322-9E9B-071487FBA550}" name="Buoi"/>
    <tableColumn id="6" xr3:uid="{7341C1A3-BB6B-4FF2-BD1F-7811B546F399}" name="Tiet"/>
    <tableColumn id="7" xr3:uid="{FA312632-017D-43C4-A4D9-13602DA8466C}" name="TenLop"/>
    <tableColumn id="8" xr3:uid="{78E91139-E2E3-4143-885B-25CA0BA652BB}" name="TenMonHoc"/>
    <tableColumn id="9" xr3:uid="{2DE2110B-2760-4A27-BD44-FAB74F257068}" name="GiaoVienPhuTrach"/>
    <tableColumn id="10" xr3:uid="{73385FA6-B717-440B-800F-B4CAE7095EC8}" name="GV dạy thay"/>
    <tableColumn id="11" xr3:uid="{DCD9FE47-EE77-4725-8983-BC278E5B248A}" name="Tên GV dạy thay"/>
    <tableColumn id="12" xr3:uid="{29EE28C3-C0FC-45B0-9574-757D0EA66FA7}" name="Số tiết chưa được bù " dataDxfId="82"/>
    <tableColumn id="13" xr3:uid="{7238964D-6876-4FC3-94BB-E992BDE9705F}" name="Tháng " dataDxfId="81"/>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CCE685-64C6-4D02-8044-B2A9D55E1BEC}" name="Table3" displayName="Table3" ref="A1:L1048576" totalsRowShown="0" headerRowDxfId="80" dataDxfId="79">
  <autoFilter ref="A1:L1048576" xr:uid="{6CCCE685-64C6-4D02-8044-B2A9D55E1BEC}"/>
  <sortState xmlns:xlrd2="http://schemas.microsoft.com/office/spreadsheetml/2017/richdata2" ref="A2:L159">
    <sortCondition ref="L1:L1048576"/>
  </sortState>
  <tableColumns count="12">
    <tableColumn id="1" xr3:uid="{AA092D1C-923F-45E0-BC16-1BAD1FD3B10E}" name="Nhóm bệnh" dataDxfId="78"/>
    <tableColumn id="2" xr3:uid="{5368C7B5-5E9A-4D50-8BB3-5B90F10D9948}" name="Loại bệnh" dataDxfId="77"/>
    <tableColumn id="3" xr3:uid="{AA5F8671-041F-49E5-9A38-3F21E2165726}" name="HS mầm non" dataDxfId="76"/>
    <tableColumn id="4" xr3:uid="{FC83AF8E-8BC2-4B6A-96FB-BBD19C678F1A}" name="HS tiểu học" dataDxfId="75"/>
    <tableColumn id="5" xr3:uid="{4D2D420E-3FEA-4E17-A7D3-693D341BAD85}" name="HS THCS " dataDxfId="74"/>
    <tableColumn id="6" xr3:uid="{4AE87A75-938E-4B1F-B19C-9A951D11F143}" name="HS THPT " dataDxfId="73"/>
    <tableColumn id="7" xr3:uid="{3F53E5CD-6ED8-459F-884E-2B2B666D2A50}" name="Tổng số lượt khám " dataDxfId="72" dataCellStyle="Percent"/>
    <tableColumn id="8" xr3:uid="{C55B02D4-9957-49F7-9A91-D6C7D4EE9D7D}" name="Lượt khám mầm non" dataDxfId="71"/>
    <tableColumn id="9" xr3:uid="{8D0B48E4-E575-4DD2-9A24-2F5104F5F4F8}" name="Lượt khám Tiểu học" dataDxfId="70"/>
    <tableColumn id="10" xr3:uid="{DFE7993C-B749-486B-8486-7C391742C482}" name="Lượt khám THCS " dataDxfId="69"/>
    <tableColumn id="11" xr3:uid="{6A42CFD9-7790-4528-8770-EDA49DEFE06F}" name="Lượt khám THPT" dataDxfId="68"/>
    <tableColumn id="12" xr3:uid="{E24B4931-130E-4978-A542-39CBB1175FB9}" name="Tháng " dataDxfId="67"/>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BD3BD3-A9C6-4CC8-A8F4-0B93064B2D01}" name="Table1" displayName="Table1" ref="A2:N14" totalsRowCount="1" headerRowDxfId="66" dataDxfId="65">
  <autoFilter ref="A2:N13" xr:uid="{CBBD3BD3-A9C6-4CC8-A8F4-0B93064B2D01}"/>
  <tableColumns count="14">
    <tableColumn id="1" xr3:uid="{B21123AA-7F8B-4321-B5AD-0E98273E4DEA}" name="Column1" dataDxfId="64" totalsRowDxfId="63"/>
    <tableColumn id="2" xr3:uid="{FE07377D-F281-4F21-B3B9-80E1B66DC580}" name="6/2026" totalsRowFunction="sum" dataDxfId="62" totalsRowDxfId="61"/>
    <tableColumn id="3" xr3:uid="{7788CA23-E3DC-4EF6-953E-97744B770A1D}" name="7/2026" totalsRowFunction="sum" dataDxfId="60" totalsRowDxfId="59"/>
    <tableColumn id="4" xr3:uid="{A605D8FB-5CB2-460A-A87F-173ECDB23B70}" name="8/2026" totalsRowFunction="sum" dataDxfId="58" totalsRowDxfId="57"/>
    <tableColumn id="5" xr3:uid="{9E949989-0DB6-4391-A99A-B5AD0DCC630D}" name="9/2026" totalsRowFunction="sum" dataDxfId="56" totalsRowDxfId="55"/>
    <tableColumn id="6" xr3:uid="{6C27F5BF-0926-4C9F-B5E4-AE945BCE0115}" name="10/2026" totalsRowFunction="sum" dataDxfId="54" totalsRowDxfId="53"/>
    <tableColumn id="7" xr3:uid="{080D5F62-4DD8-4BA5-889A-220A600A27AC}" name="11/2026" totalsRowFunction="sum" dataDxfId="52" totalsRowDxfId="51"/>
    <tableColumn id="8" xr3:uid="{0271C99A-15A1-4655-8D3D-FF1B2B74AE32}" name="12/2026" totalsRowFunction="sum" dataDxfId="50" totalsRowDxfId="49"/>
    <tableColumn id="9" xr3:uid="{027432E8-9126-4884-9566-CEF7678D530C}" name="1/2027" totalsRowFunction="sum" dataDxfId="48" totalsRowDxfId="47"/>
    <tableColumn id="10" xr3:uid="{901771E9-E45C-4898-BE93-693C31B5D036}" name="2/2027" totalsRowFunction="sum" dataDxfId="46" totalsRowDxfId="45"/>
    <tableColumn id="11" xr3:uid="{4F09FC5A-D317-42AC-A5CB-DB1B498504C4}" name="3/2027" totalsRowFunction="sum" dataDxfId="44" totalsRowDxfId="43"/>
    <tableColumn id="12" xr3:uid="{716B90AF-0E00-4886-A496-F40CAB7F380E}" name="4/2027" totalsRowFunction="sum" dataDxfId="42" totalsRowDxfId="41"/>
    <tableColumn id="13" xr3:uid="{C7569CC1-ECDA-4B9E-84DE-86A94BB57EDC}" name="5/2027" totalsRowFunction="sum" dataDxfId="40" totalsRowDxfId="39"/>
    <tableColumn id="14" xr3:uid="{06F12CF0-5AC3-479C-8179-6F52C873D96B}" name="Tổng cộng" totalsRowFunction="sum" dataDxfId="38" totalsRowDxfId="37"/>
  </tableColumns>
  <tableStyleInfo name="TableStyleLight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FCA5FBD-FFCE-48A8-9DF0-D3A05AEC9F70}" name="Table4" displayName="Table4" ref="A29:O43" totalsRowCount="1">
  <autoFilter ref="A29:O42" xr:uid="{5FCA5FBD-FFCE-48A8-9DF0-D3A05AEC9F70}"/>
  <tableColumns count="15">
    <tableColumn id="1" xr3:uid="{DA7ECFE1-BFFB-4AFB-ADB1-03D94B08F4CF}" name="Column2" totalsRowLabel="Total"/>
    <tableColumn id="2" xr3:uid="{5C45859A-9DB0-472A-B02B-E7338680DA58}" name="Column1"/>
    <tableColumn id="3" xr3:uid="{30C3A38A-682D-4FBC-B09C-38C06D70BE3B}" name="6/2026"/>
    <tableColumn id="4" xr3:uid="{7B7D78EE-48FC-468A-8421-9E5E11748B52}" name="7/2026"/>
    <tableColumn id="5" xr3:uid="{46B6582F-B6E3-43AB-A967-782A99CAC2DF}" name="8/2026"/>
    <tableColumn id="6" xr3:uid="{3B2DD8E8-D392-4CC6-99A4-32F37233790E}" name="9/2026"/>
    <tableColumn id="7" xr3:uid="{AB7DE8C2-BAE8-4EDB-BAC7-A2D105CC09EE}" name="10/2026"/>
    <tableColumn id="8" xr3:uid="{7E1B4AFC-CFF6-4AEF-ACC4-56331DFD1FC0}" name="11/2026"/>
    <tableColumn id="9" xr3:uid="{2F053D5D-8448-49A4-B34B-96CC96835D63}" name="12/2026"/>
    <tableColumn id="10" xr3:uid="{A5212B55-B5B1-4DE6-ACEF-293E4683E598}" name="1/2027"/>
    <tableColumn id="11" xr3:uid="{056C3AF4-0754-4D4D-B3B4-4B359A3CC768}" name="2/2027"/>
    <tableColumn id="12" xr3:uid="{B104205D-F6BC-4DA0-A6B3-3EE5D83A973D}" name="3/2027"/>
    <tableColumn id="13" xr3:uid="{BB024D65-4D0F-4197-A542-59A86BD265CC}" name="4/2027"/>
    <tableColumn id="14" xr3:uid="{7B61596C-8336-4739-A48B-3CB3200A7D9F}" name="5/2027"/>
    <tableColumn id="15" xr3:uid="{D8364BBB-1D02-4A3A-A4DC-5A46BEE4F1E2}" name="Tổng cộng" totalsRowFunction="count" dataDxfId="36" totalsRowDxfId="35"/>
  </tableColumns>
  <tableStyleInfo name="TableStyleLight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7D9F0BB-8E85-496C-8280-FEA0EEF0AFE4}" name="Table2" displayName="Table2" ref="A16:I26" totalsRowShown="0" headerRowDxfId="34">
  <autoFilter ref="A16:I26" xr:uid="{77D9F0BB-8E85-496C-8280-FEA0EEF0AFE4}"/>
  <tableColumns count="9">
    <tableColumn id="1" xr3:uid="{C523B3EA-AFFB-4466-8864-BA1EADC6A815}" name="Column9"/>
    <tableColumn id="2" xr3:uid="{CD4DF6E7-F0F5-4CDB-8B44-1D0EE94DDEF0}" name="Khu A"/>
    <tableColumn id="3" xr3:uid="{9C61EFEB-401B-4EB5-996A-CAC322143FAE}" name="Khu B"/>
    <tableColumn id="4" xr3:uid="{7F18F738-4A8D-4147-8DB4-1C6BF24EB0E6}" name="Khu C"/>
    <tableColumn id="5" xr3:uid="{B94FAA66-B6AF-4557-971A-1FC9E864FA00}" name="Khu D"/>
    <tableColumn id="6" xr3:uid="{94754848-0795-461F-A15A-3E2E43468923}" name="Khu E"/>
    <tableColumn id="7" xr3:uid="{4E5119A0-60AC-43F0-9BD4-38FD2C9B9E66}" name="Cơ sở 2"/>
    <tableColumn id="8" xr3:uid="{9222F334-E125-42B6-9165-A48FD68F92BA}" name="Cơ sở Long Khánh"/>
    <tableColumn id="9" xr3:uid="{E7D92B03-5196-488C-8A10-E095A7AC9393}" name="Tổng cộng"/>
  </tableColumns>
  <tableStyleInfo name="TableStyleLight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E5368756-0455-4F0E-8DD7-3152C1693A73}" name="Table68" displayName="Table68" ref="A1:N145" totalsRowShown="0" headerRowDxfId="33" dataDxfId="31" headerRowBorderDxfId="32" tableBorderDxfId="30">
  <autoFilter ref="A1:N145" xr:uid="{B37B322D-E771-4076-A46A-9BB77875A61E}"/>
  <tableColumns count="14">
    <tableColumn id="1" xr3:uid="{2189C797-0289-46E1-9862-6ED6E3938E96}" name="Column1" dataDxfId="29"/>
    <tableColumn id="2" xr3:uid="{7B2907C9-CCBD-4ECF-9789-93F01E8B8383}" name="Column2" dataDxfId="28"/>
    <tableColumn id="3" xr3:uid="{850F55A4-3E03-4DDA-865D-D6E858B0EEE2}" name="Column3" dataDxfId="27"/>
    <tableColumn id="4" xr3:uid="{D269719B-E0AB-428E-87FA-168B01CACCE7}" name="Column4" dataDxfId="26"/>
    <tableColumn id="5" xr3:uid="{AA44FDF7-4036-4D83-8A34-6FA08C68DF5A}" name="Column5" dataDxfId="25"/>
    <tableColumn id="6" xr3:uid="{F61B635D-D91B-4C2C-854F-F388C549A26B}" name="Column6" dataDxfId="24"/>
    <tableColumn id="7" xr3:uid="{073370E6-CB4C-4815-AB7C-DABCE10379AF}" name="Column7" dataDxfId="23"/>
    <tableColumn id="8" xr3:uid="{3E17882F-CC24-4D8D-9B91-C5EA0610F95C}" name="Column8" dataDxfId="22"/>
    <tableColumn id="9" xr3:uid="{EFA062DA-C022-40E3-BBCF-D4BD1397C75E}" name="Column9" dataDxfId="21"/>
    <tableColumn id="10" xr3:uid="{851B0345-21CE-455D-9937-AE8BF7074493}" name="Column10" dataDxfId="20"/>
    <tableColumn id="11" xr3:uid="{092FE932-B5BE-4E0A-9585-CCB421C9B26D}" name="Column11" dataDxfId="19"/>
    <tableColumn id="12" xr3:uid="{79E4D4F9-75EE-4030-9328-564869EA78DE}" name="Column12" dataDxfId="18"/>
    <tableColumn id="13" xr3:uid="{66736C2F-15F8-4E67-91D5-50C52732DBD8}" name="Column13" dataDxfId="17"/>
    <tableColumn id="14" xr3:uid="{B593BF39-9C75-4A31-8F23-1A283D2DFFA8}" name="Column14" dataDxfId="16"/>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A08EC0A-71DF-4C0C-8551-7C35B791A243}" name="Table29" displayName="Table29" ref="A148:N165" totalsRowShown="0" headerRowDxfId="15" tableBorderDxfId="14" headerRowCellStyle="Normal 2" dataCellStyle="Normal 2">
  <autoFilter ref="A148:N165" xr:uid="{AB37F538-8FB6-4151-BD82-5820EC04EA57}"/>
  <tableColumns count="14">
    <tableColumn id="1" xr3:uid="{B0ADC94F-35CC-4BA0-BF7B-8A101AD22A47}" name="Column1" dataDxfId="13" dataCellStyle="Normal 2"/>
    <tableColumn id="2" xr3:uid="{50B45431-5B11-47AD-A24F-AF0D424549E1}" name="Tháng 08/2026" dataDxfId="12" dataCellStyle="Normal 2"/>
    <tableColumn id="3" xr3:uid="{E8DDE139-27BE-4668-87AC-559A04E9CE54}" name="Tháng 09/2026" dataDxfId="11" dataCellStyle="Normal 2"/>
    <tableColumn id="4" xr3:uid="{15E629E6-A4AE-4589-83AB-C0DD4B57790F}" name="Tháng 10/2026" dataDxfId="10" dataCellStyle="Normal 2"/>
    <tableColumn id="5" xr3:uid="{652EC7F0-6286-44EE-AF9D-4E0E00B2D45A}" name="Tháng 11/2026" dataDxfId="9" dataCellStyle="Normal 2"/>
    <tableColumn id="6" xr3:uid="{B1FAE19C-9B11-4CC2-A2A2-E3D00C3486E7}" name="Tháng 12/2026" dataDxfId="8" dataCellStyle="Normal 2"/>
    <tableColumn id="7" xr3:uid="{5663524E-FDFA-45F2-9375-46AC2C9EFB2A}" name="Tháng 01/2027" dataDxfId="7" dataCellStyle="Normal 2"/>
    <tableColumn id="8" xr3:uid="{4D130348-8464-4B3E-ABC9-D38D45AD7A4C}" name="Tháng 02/2027" dataDxfId="6" dataCellStyle="Normal 2"/>
    <tableColumn id="9" xr3:uid="{DEDD7237-BE96-4C8D-8911-96C2EA956E12}" name="Tháng 03/2027" dataDxfId="5" dataCellStyle="Normal 2"/>
    <tableColumn id="10" xr3:uid="{30771E7B-B40B-40AE-9868-EA96A330C2CE}" name="Tháng 04/2027" dataDxfId="4" dataCellStyle="Normal 2"/>
    <tableColumn id="11" xr3:uid="{B86C34C4-60D4-42B5-95E8-5E837E4772B5}" name="Tháng 05/2027" dataDxfId="3" dataCellStyle="Normal 2"/>
    <tableColumn id="12" xr3:uid="{CA147492-AE01-4FC8-AA40-59CB27C3C29B}" name="Tháng 06/2027" dataDxfId="2" dataCellStyle="Normal 2"/>
    <tableColumn id="13" xr3:uid="{BB320900-9CE8-4F3C-BCAF-17F7574D954D}" name="Tháng 07/2027" dataDxfId="1" dataCellStyle="Normal 2"/>
    <tableColumn id="14" xr3:uid="{5F969081-0031-4943-8D45-AC98B3C42DE2}" name="Column2" dataDxfId="0" dataCellStyle="Normal 2"/>
  </tableColumns>
  <tableStyleInfo showFirstColumn="0" showLastColumn="0" showRowStripes="1" showColumnStripes="0"/>
</table>
</file>

<file path=xl/theme/theme1.xml><?xml version="1.0" encoding="utf-8"?>
<a:theme xmlns:a="http://schemas.openxmlformats.org/drawingml/2006/main" name="Office Theme">
  <a:themeElements>
    <a:clrScheme name="LHBS Branding color">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table" Target="../tables/table2.xml"/><Relationship Id="rId5" Type="http://schemas.openxmlformats.org/officeDocument/2006/relationships/printerSettings" Target="../printerSettings/printerSettings5.bin"/><Relationship Id="rId4"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7.bin"/><Relationship Id="rId4"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18E5E-C221-4A32-B26B-1CAA50E9B6A7}">
  <dimension ref="A2:Z342"/>
  <sheetViews>
    <sheetView showGridLines="0" showRowColHeaders="0" tabSelected="1" topLeftCell="A276" zoomScale="107" zoomScaleNormal="85" zoomScaleSheetLayoutView="70" zoomScalePageLayoutView="85" workbookViewId="0">
      <selection activeCell="L287" sqref="L287"/>
    </sheetView>
  </sheetViews>
  <sheetFormatPr defaultColWidth="8.7265625" defaultRowHeight="12.5" outlineLevelRow="1"/>
  <cols>
    <col min="1" max="1" width="2.6328125" style="15" customWidth="1"/>
    <col min="2" max="2" width="22.36328125" style="15" customWidth="1"/>
    <col min="3" max="3" width="17.453125" style="15" customWidth="1"/>
    <col min="4" max="4" width="25.36328125" style="15" customWidth="1"/>
    <col min="5" max="5" width="11.90625" style="15" customWidth="1"/>
    <col min="6" max="6" width="12.1796875" style="15" customWidth="1"/>
    <col min="7" max="7" width="11.54296875" style="15" customWidth="1"/>
    <col min="8" max="8" width="11.453125" style="15" bestFit="1" customWidth="1"/>
    <col min="9" max="9" width="10.7265625" style="15" customWidth="1"/>
    <col min="10" max="10" width="9.6328125" style="15" bestFit="1" customWidth="1"/>
    <col min="11" max="11" width="11" style="15" bestFit="1" customWidth="1"/>
    <col min="12" max="12" width="30.453125" style="15" bestFit="1" customWidth="1"/>
    <col min="13" max="13" width="21.1796875" style="15" bestFit="1" customWidth="1"/>
    <col min="14" max="14" width="10.1796875" style="15" bestFit="1" customWidth="1"/>
    <col min="15" max="15" width="8.1796875" style="15" bestFit="1" customWidth="1"/>
    <col min="16" max="16" width="25.6328125" style="15" bestFit="1" customWidth="1"/>
    <col min="17" max="17" width="10.7265625" style="15" bestFit="1" customWidth="1"/>
    <col min="18" max="18" width="16.81640625" style="15" bestFit="1" customWidth="1"/>
    <col min="19" max="19" width="15.90625" style="15" bestFit="1" customWidth="1"/>
    <col min="20" max="20" width="11.36328125" style="15" bestFit="1" customWidth="1"/>
    <col min="21" max="21" width="12.453125" style="15" bestFit="1" customWidth="1"/>
    <col min="22" max="22" width="13" style="15" bestFit="1" customWidth="1"/>
    <col min="23" max="23" width="6.453125" style="15" bestFit="1" customWidth="1"/>
    <col min="24" max="24" width="15.1796875" style="15" bestFit="1" customWidth="1"/>
    <col min="25" max="25" width="14.26953125" style="15" bestFit="1" customWidth="1"/>
    <col min="26" max="26" width="10.36328125" style="15" bestFit="1" customWidth="1"/>
    <col min="27" max="16384" width="8.7265625" style="15"/>
  </cols>
  <sheetData>
    <row r="2" spans="2:10" ht="25">
      <c r="J2" s="164" t="s">
        <v>161</v>
      </c>
    </row>
    <row r="3" spans="2:10" ht="20">
      <c r="J3" s="165" t="s">
        <v>979</v>
      </c>
    </row>
    <row r="4" spans="2:10" s="16" customFormat="1" ht="20.5" customHeight="1">
      <c r="B4" s="166" t="s">
        <v>112</v>
      </c>
      <c r="C4" s="17"/>
      <c r="D4" s="17"/>
      <c r="E4" s="17"/>
      <c r="F4" s="17"/>
      <c r="G4" s="17"/>
      <c r="H4" s="17"/>
      <c r="I4" s="17"/>
      <c r="J4" s="17"/>
    </row>
    <row r="6" spans="2:10" ht="17.5" customHeight="1">
      <c r="B6" s="131" t="s">
        <v>163</v>
      </c>
      <c r="C6" s="62"/>
      <c r="D6" s="62"/>
      <c r="E6" s="132" t="s">
        <v>251</v>
      </c>
    </row>
    <row r="7" spans="2:10" ht="16.5" customHeight="1">
      <c r="B7" s="126"/>
      <c r="C7" s="123"/>
    </row>
    <row r="8" spans="2:10" ht="16.5" customHeight="1">
      <c r="B8" s="127" t="s">
        <v>164</v>
      </c>
      <c r="C8" s="128">
        <f>'1. Sĩ số học sinh'!J28</f>
        <v>2873</v>
      </c>
    </row>
    <row r="9" spans="2:10" ht="16.5" customHeight="1">
      <c r="B9" s="127" t="s">
        <v>165</v>
      </c>
      <c r="C9" s="129">
        <f>'1. Sĩ số học sinh'!L28</f>
        <v>2625</v>
      </c>
      <c r="E9" s="20"/>
      <c r="F9" s="20"/>
    </row>
    <row r="10" spans="2:10" ht="16.5" customHeight="1">
      <c r="B10" s="127" t="s">
        <v>166</v>
      </c>
      <c r="C10" s="133">
        <f>C9/C8</f>
        <v>0.9136790810998956</v>
      </c>
      <c r="E10" s="19"/>
      <c r="F10" s="19"/>
    </row>
    <row r="11" spans="2:10" ht="16.5" customHeight="1">
      <c r="B11" s="127" t="s">
        <v>167</v>
      </c>
      <c r="C11" s="130">
        <f>C8-C9</f>
        <v>248</v>
      </c>
    </row>
    <row r="12" spans="2:10" ht="16.5" customHeight="1">
      <c r="B12" s="124"/>
      <c r="C12" s="125"/>
    </row>
    <row r="13" spans="2:10" ht="19" customHeight="1">
      <c r="B13" s="18" t="s">
        <v>292</v>
      </c>
    </row>
    <row r="14" spans="2:10" ht="13">
      <c r="C14" s="20"/>
      <c r="E14" s="20"/>
      <c r="H14" s="20"/>
    </row>
    <row r="27" spans="2:10" ht="15.5" customHeight="1"/>
    <row r="28" spans="2:10" ht="45" customHeight="1"/>
    <row r="29" spans="2:10" s="16" customFormat="1" ht="22.5" customHeight="1">
      <c r="B29" s="23" t="s">
        <v>176</v>
      </c>
    </row>
    <row r="30" spans="2:10" s="16" customFormat="1" ht="70.5" customHeight="1">
      <c r="B30" s="302"/>
      <c r="C30" s="302"/>
      <c r="D30" s="302"/>
      <c r="E30" s="302"/>
      <c r="F30" s="302"/>
      <c r="G30" s="302"/>
      <c r="H30" s="302"/>
      <c r="I30" s="302"/>
      <c r="J30" s="302"/>
    </row>
    <row r="31" spans="2:10" s="16" customFormat="1" ht="19" customHeight="1">
      <c r="B31" s="31"/>
      <c r="C31" s="30"/>
      <c r="D31" s="30"/>
      <c r="E31" s="30"/>
      <c r="F31" s="30"/>
      <c r="G31" s="30"/>
      <c r="H31" s="30"/>
      <c r="I31" s="30"/>
    </row>
    <row r="32" spans="2:10" s="16" customFormat="1" ht="19" customHeight="1">
      <c r="B32" s="30"/>
      <c r="C32" s="30"/>
      <c r="D32" s="30"/>
      <c r="E32" s="30"/>
      <c r="F32" s="30"/>
      <c r="G32" s="30"/>
      <c r="H32" s="30"/>
      <c r="I32" s="30"/>
    </row>
    <row r="33" spans="2:9" s="16" customFormat="1" ht="19" customHeight="1">
      <c r="C33" s="30"/>
      <c r="D33" s="30"/>
      <c r="E33" s="30"/>
      <c r="F33" s="30"/>
      <c r="G33" s="30"/>
      <c r="H33" s="30"/>
      <c r="I33" s="30"/>
    </row>
    <row r="34" spans="2:9" s="16" customFormat="1" ht="19" customHeight="1">
      <c r="B34" s="30"/>
      <c r="C34" s="30"/>
      <c r="D34" s="30"/>
      <c r="E34" s="30"/>
      <c r="F34" s="30"/>
      <c r="G34" s="30"/>
      <c r="H34" s="30"/>
      <c r="I34" s="30"/>
    </row>
    <row r="35" spans="2:9" s="16" customFormat="1" ht="19" customHeight="1">
      <c r="B35" s="30"/>
      <c r="C35" s="30"/>
      <c r="D35" s="30"/>
      <c r="E35" s="30"/>
      <c r="F35" s="30"/>
      <c r="G35" s="30"/>
      <c r="H35" s="30"/>
      <c r="I35" s="30"/>
    </row>
    <row r="36" spans="2:9" s="16" customFormat="1">
      <c r="B36" s="30"/>
      <c r="C36" s="30"/>
      <c r="D36" s="30"/>
      <c r="E36" s="30"/>
      <c r="F36" s="30"/>
      <c r="G36" s="30"/>
      <c r="H36" s="30"/>
      <c r="I36" s="30"/>
    </row>
    <row r="37" spans="2:9" s="16" customFormat="1">
      <c r="B37" s="30"/>
      <c r="C37" s="30"/>
      <c r="D37" s="30"/>
      <c r="E37" s="30"/>
      <c r="F37" s="30"/>
      <c r="G37" s="30"/>
      <c r="H37" s="30"/>
      <c r="I37" s="30"/>
    </row>
    <row r="38" spans="2:9" s="16" customFormat="1">
      <c r="B38" s="30"/>
      <c r="C38" s="30"/>
      <c r="D38" s="30"/>
      <c r="E38" s="30"/>
      <c r="F38" s="30"/>
      <c r="G38" s="30"/>
      <c r="H38" s="30"/>
      <c r="I38" s="30"/>
    </row>
    <row r="39" spans="2:9" s="16" customFormat="1">
      <c r="B39" s="30"/>
      <c r="C39" s="30"/>
      <c r="D39" s="30"/>
      <c r="E39" s="30"/>
      <c r="F39" s="30"/>
      <c r="G39" s="30"/>
      <c r="H39" s="30"/>
      <c r="I39" s="30"/>
    </row>
    <row r="40" spans="2:9" s="16" customFormat="1" ht="21.5" customHeight="1">
      <c r="B40" s="32"/>
      <c r="C40" s="30"/>
      <c r="D40" s="30"/>
      <c r="E40" s="30"/>
      <c r="F40" s="30"/>
      <c r="G40" s="30"/>
      <c r="H40" s="30"/>
      <c r="I40" s="30"/>
    </row>
    <row r="41" spans="2:9" s="16" customFormat="1">
      <c r="B41" s="30"/>
      <c r="C41" s="30"/>
      <c r="D41" s="30"/>
      <c r="E41" s="30"/>
      <c r="F41" s="30"/>
      <c r="G41" s="30"/>
      <c r="H41" s="30"/>
      <c r="I41" s="30"/>
    </row>
    <row r="42" spans="2:9" s="16" customFormat="1">
      <c r="B42" s="30"/>
      <c r="C42" s="30"/>
      <c r="D42" s="30"/>
      <c r="E42" s="30"/>
      <c r="F42" s="30"/>
      <c r="G42" s="30"/>
      <c r="H42" s="30"/>
      <c r="I42" s="30"/>
    </row>
    <row r="43" spans="2:9" s="16" customFormat="1">
      <c r="B43" s="30"/>
      <c r="C43" s="30"/>
      <c r="D43" s="30"/>
      <c r="E43" s="30"/>
      <c r="F43" s="30"/>
      <c r="G43" s="30"/>
      <c r="H43" s="30"/>
      <c r="I43" s="30"/>
    </row>
    <row r="44" spans="2:9" s="16" customFormat="1">
      <c r="B44" s="30"/>
      <c r="C44" s="30"/>
      <c r="D44" s="30"/>
      <c r="E44" s="30"/>
      <c r="F44" s="30"/>
      <c r="G44" s="30"/>
      <c r="H44" s="30"/>
      <c r="I44" s="30"/>
    </row>
    <row r="45" spans="2:9" s="16" customFormat="1">
      <c r="C45" s="30"/>
      <c r="D45" s="30"/>
      <c r="E45" s="30"/>
      <c r="F45" s="30"/>
      <c r="G45" s="30"/>
      <c r="H45" s="30"/>
      <c r="I45" s="30"/>
    </row>
    <row r="46" spans="2:9" s="16" customFormat="1" ht="13">
      <c r="B46" s="32"/>
      <c r="C46" s="30"/>
      <c r="D46" s="30"/>
      <c r="E46" s="30"/>
      <c r="F46" s="30"/>
      <c r="G46" s="30"/>
      <c r="H46" s="30"/>
      <c r="I46" s="30"/>
    </row>
    <row r="47" spans="2:9" s="16" customFormat="1" ht="20.5" customHeight="1">
      <c r="B47" s="30"/>
      <c r="C47" s="30"/>
      <c r="D47" s="30"/>
      <c r="E47" s="30"/>
      <c r="F47" s="30"/>
      <c r="G47" s="30"/>
      <c r="H47" s="30"/>
      <c r="I47" s="30"/>
    </row>
    <row r="48" spans="2:9" s="16" customFormat="1" ht="20.5" customHeight="1">
      <c r="B48" s="30"/>
      <c r="C48" s="30"/>
      <c r="D48" s="30"/>
      <c r="E48" s="30"/>
      <c r="F48" s="30"/>
      <c r="G48" s="30"/>
      <c r="H48" s="30"/>
      <c r="I48" s="30"/>
    </row>
    <row r="49" spans="2:10" s="16" customFormat="1" ht="20.5" customHeight="1">
      <c r="B49" s="30"/>
      <c r="C49" s="30"/>
      <c r="D49" s="30"/>
      <c r="E49" s="30"/>
      <c r="F49" s="30"/>
      <c r="G49" s="30"/>
      <c r="H49" s="30"/>
      <c r="I49" s="30"/>
    </row>
    <row r="50" spans="2:10" s="16" customFormat="1" ht="20.5" customHeight="1">
      <c r="B50" s="30"/>
      <c r="C50" s="30"/>
      <c r="D50" s="30"/>
      <c r="E50" s="30"/>
      <c r="F50" s="30"/>
      <c r="G50" s="30"/>
      <c r="H50" s="30"/>
      <c r="I50" s="30"/>
    </row>
    <row r="51" spans="2:10" s="16" customFormat="1" ht="20.5" customHeight="1">
      <c r="B51" s="30"/>
      <c r="C51" s="30"/>
      <c r="D51" s="30"/>
      <c r="E51" s="30"/>
      <c r="F51" s="30"/>
      <c r="G51" s="30"/>
      <c r="H51" s="30"/>
      <c r="I51" s="30"/>
    </row>
    <row r="52" spans="2:10" s="16" customFormat="1" ht="20.5" customHeight="1">
      <c r="B52" s="30"/>
      <c r="C52" s="30"/>
      <c r="D52" s="30"/>
      <c r="E52" s="30"/>
      <c r="F52" s="30"/>
      <c r="G52" s="30"/>
      <c r="H52" s="30"/>
      <c r="I52" s="30"/>
    </row>
    <row r="53" spans="2:10" s="16" customFormat="1" ht="20.5" customHeight="1">
      <c r="B53" s="30"/>
      <c r="C53" s="30"/>
      <c r="D53" s="30"/>
      <c r="E53" s="30"/>
      <c r="F53" s="30"/>
      <c r="G53" s="30"/>
      <c r="H53" s="30"/>
      <c r="I53" s="30"/>
    </row>
    <row r="54" spans="2:10" s="16" customFormat="1" ht="20.5" customHeight="1">
      <c r="B54" s="30"/>
      <c r="C54" s="30"/>
      <c r="D54" s="30"/>
      <c r="E54" s="30"/>
      <c r="F54" s="30"/>
      <c r="G54" s="30"/>
      <c r="H54" s="30"/>
      <c r="I54" s="30"/>
    </row>
    <row r="55" spans="2:10" s="16" customFormat="1" ht="20.5" customHeight="1">
      <c r="B55" s="30"/>
      <c r="C55" s="30"/>
      <c r="D55" s="30"/>
      <c r="E55" s="30"/>
      <c r="F55" s="30"/>
      <c r="G55" s="30"/>
      <c r="H55" s="30"/>
      <c r="I55" s="30"/>
    </row>
    <row r="56" spans="2:10" s="16" customFormat="1" ht="20.5" customHeight="1">
      <c r="B56" s="30"/>
      <c r="C56" s="30"/>
      <c r="D56" s="30"/>
      <c r="E56" s="30"/>
      <c r="F56" s="30"/>
      <c r="G56" s="30"/>
      <c r="H56" s="30"/>
      <c r="I56" s="30"/>
    </row>
    <row r="57" spans="2:10" s="16" customFormat="1" ht="19" customHeight="1">
      <c r="B57" s="17" t="s">
        <v>170</v>
      </c>
      <c r="C57" s="17"/>
      <c r="D57" s="17"/>
      <c r="E57" s="17"/>
      <c r="F57" s="17"/>
      <c r="G57" s="17"/>
      <c r="H57" s="17"/>
      <c r="I57" s="17"/>
      <c r="J57" s="17"/>
    </row>
    <row r="58" spans="2:10" s="23" customFormat="1" ht="24" customHeight="1" outlineLevel="1">
      <c r="B58" s="32" t="s">
        <v>521</v>
      </c>
      <c r="C58" s="36"/>
      <c r="D58" s="36"/>
      <c r="E58" s="36"/>
      <c r="F58" s="23" t="s">
        <v>238</v>
      </c>
      <c r="G58" s="36"/>
      <c r="H58" s="36"/>
      <c r="I58" s="36"/>
    </row>
    <row r="59" spans="2:10" s="16" customFormat="1" ht="19" customHeight="1" outlineLevel="1">
      <c r="B59" s="32"/>
      <c r="C59" s="30"/>
      <c r="D59" s="30"/>
      <c r="E59" s="30"/>
      <c r="F59" s="306" t="s">
        <v>111</v>
      </c>
      <c r="G59" s="306"/>
      <c r="H59" s="57" t="s">
        <v>239</v>
      </c>
      <c r="I59" s="30"/>
    </row>
    <row r="60" spans="2:10" s="16" customFormat="1" ht="19" customHeight="1" outlineLevel="1">
      <c r="B60" s="32"/>
      <c r="C60" s="30"/>
      <c r="D60" s="30"/>
      <c r="E60" s="30"/>
      <c r="F60" s="307" t="s">
        <v>114</v>
      </c>
      <c r="G60" s="307"/>
      <c r="H60" s="61">
        <f>'2. Câu lạc bộ'!N2</f>
        <v>0.64166666666666672</v>
      </c>
      <c r="I60" s="30"/>
    </row>
    <row r="61" spans="2:10" s="16" customFormat="1" ht="19" customHeight="1" outlineLevel="1">
      <c r="B61" s="32"/>
      <c r="C61" s="30"/>
      <c r="D61" s="30"/>
      <c r="E61" s="30"/>
      <c r="F61" s="307" t="s">
        <v>115</v>
      </c>
      <c r="G61" s="307"/>
      <c r="H61" s="61">
        <f>'2. Câu lạc bộ'!N3</f>
        <v>0.93333333333333335</v>
      </c>
      <c r="I61" s="30"/>
    </row>
    <row r="62" spans="2:10" s="16" customFormat="1" ht="19" customHeight="1" outlineLevel="1">
      <c r="B62" s="32"/>
      <c r="C62" s="30"/>
      <c r="D62" s="30"/>
      <c r="E62" s="30"/>
      <c r="F62" s="307" t="s">
        <v>116</v>
      </c>
      <c r="G62" s="307"/>
      <c r="H62" s="61">
        <f>'2. Câu lạc bộ'!N4</f>
        <v>1.1766666666666667</v>
      </c>
      <c r="I62" s="30"/>
    </row>
    <row r="63" spans="2:10" s="16" customFormat="1" ht="19" customHeight="1" outlineLevel="1">
      <c r="B63" s="32"/>
      <c r="C63" s="30"/>
      <c r="D63" s="30"/>
      <c r="E63" s="30"/>
      <c r="F63" s="307" t="s">
        <v>118</v>
      </c>
      <c r="G63" s="307"/>
      <c r="H63" s="61">
        <f>'2. Câu lạc bộ'!N5</f>
        <v>0.64</v>
      </c>
      <c r="I63" s="30"/>
    </row>
    <row r="64" spans="2:10" s="16" customFormat="1" ht="30.5" customHeight="1" outlineLevel="1">
      <c r="B64" s="32"/>
      <c r="C64" s="30"/>
      <c r="D64" s="30"/>
      <c r="E64" s="30"/>
      <c r="F64" s="310"/>
      <c r="G64" s="310"/>
      <c r="H64" s="167"/>
      <c r="I64" s="30"/>
    </row>
    <row r="65" spans="2:26" s="16" customFormat="1" ht="180" customHeight="1">
      <c r="B65" s="308" t="s">
        <v>1015</v>
      </c>
      <c r="C65" s="309"/>
      <c r="D65" s="309"/>
      <c r="E65" s="309"/>
      <c r="F65" s="309"/>
      <c r="G65" s="309"/>
      <c r="H65" s="309"/>
      <c r="I65" s="309"/>
      <c r="J65" s="309"/>
    </row>
    <row r="66" spans="2:26" s="16" customFormat="1" ht="19" customHeight="1" outlineLevel="1">
      <c r="B66" s="32" t="s">
        <v>237</v>
      </c>
      <c r="C66" s="30"/>
      <c r="D66" s="30"/>
      <c r="E66" s="30"/>
      <c r="F66" s="30"/>
      <c r="G66" s="30"/>
      <c r="H66" s="30"/>
      <c r="I66" s="30"/>
    </row>
    <row r="67" spans="2:26" s="16" customFormat="1" ht="14.5" outlineLevel="1">
      <c r="B67"/>
      <c r="C67"/>
      <c r="D67"/>
      <c r="E67"/>
      <c r="F67"/>
      <c r="G67"/>
      <c r="H67"/>
      <c r="I67"/>
      <c r="J67"/>
      <c r="K67"/>
      <c r="L67"/>
      <c r="M67"/>
      <c r="N67"/>
      <c r="O67"/>
      <c r="P67"/>
      <c r="Q67"/>
      <c r="R67"/>
      <c r="S67"/>
      <c r="T67"/>
      <c r="U67"/>
      <c r="V67"/>
      <c r="W67"/>
      <c r="X67"/>
      <c r="Y67"/>
      <c r="Z67"/>
    </row>
    <row r="68" spans="2:26" s="16" customFormat="1" ht="14.5" outlineLevel="1">
      <c r="B68"/>
      <c r="C68"/>
      <c r="E68"/>
      <c r="F68"/>
      <c r="G68"/>
      <c r="H68"/>
      <c r="I68"/>
      <c r="J68"/>
      <c r="K68"/>
      <c r="L68"/>
      <c r="M68"/>
      <c r="N68"/>
      <c r="O68"/>
      <c r="P68"/>
      <c r="Q68"/>
      <c r="R68"/>
      <c r="S68"/>
      <c r="T68"/>
      <c r="U68"/>
      <c r="V68"/>
      <c r="W68"/>
      <c r="X68"/>
      <c r="Y68"/>
      <c r="Z68"/>
    </row>
    <row r="69" spans="2:26" s="16" customFormat="1" ht="14.5" outlineLevel="1">
      <c r="B69"/>
      <c r="C69"/>
      <c r="D69"/>
      <c r="E69"/>
      <c r="F69"/>
      <c r="G69"/>
      <c r="H69"/>
      <c r="I69"/>
      <c r="J69"/>
      <c r="K69"/>
      <c r="L69"/>
      <c r="M69"/>
      <c r="N69"/>
      <c r="O69"/>
      <c r="P69"/>
      <c r="Q69"/>
      <c r="R69"/>
      <c r="S69"/>
      <c r="T69"/>
      <c r="U69"/>
      <c r="V69"/>
      <c r="W69"/>
      <c r="X69"/>
      <c r="Y69"/>
      <c r="Z69"/>
    </row>
    <row r="70" spans="2:26" s="16" customFormat="1" ht="14.5" outlineLevel="1">
      <c r="B70"/>
      <c r="C70"/>
      <c r="D70"/>
      <c r="E70"/>
      <c r="F70"/>
      <c r="G70"/>
      <c r="H70"/>
      <c r="I70"/>
      <c r="J70"/>
      <c r="K70"/>
      <c r="L70"/>
      <c r="M70"/>
      <c r="N70"/>
      <c r="O70"/>
      <c r="P70"/>
      <c r="Q70"/>
      <c r="R70"/>
      <c r="S70"/>
      <c r="T70"/>
      <c r="U70"/>
      <c r="V70"/>
      <c r="W70"/>
      <c r="X70"/>
      <c r="Y70"/>
      <c r="Z70"/>
    </row>
    <row r="71" spans="2:26" s="16" customFormat="1" ht="14.5" outlineLevel="1">
      <c r="B71"/>
      <c r="C71"/>
      <c r="D71"/>
      <c r="E71"/>
      <c r="F71"/>
      <c r="G71"/>
      <c r="H71"/>
      <c r="I71"/>
      <c r="J71"/>
      <c r="K71"/>
      <c r="L71"/>
      <c r="M71"/>
      <c r="N71"/>
      <c r="O71"/>
      <c r="P71"/>
      <c r="Q71"/>
      <c r="R71"/>
      <c r="S71"/>
      <c r="T71"/>
      <c r="U71"/>
      <c r="V71"/>
      <c r="W71"/>
      <c r="X71"/>
      <c r="Y71"/>
      <c r="Z71"/>
    </row>
    <row r="72" spans="2:26" s="16" customFormat="1" ht="14.5" outlineLevel="1">
      <c r="B72"/>
      <c r="C72"/>
      <c r="D72"/>
      <c r="E72"/>
      <c r="F72"/>
      <c r="G72"/>
      <c r="H72"/>
      <c r="I72"/>
      <c r="J72"/>
      <c r="K72"/>
      <c r="L72"/>
      <c r="M72"/>
      <c r="N72"/>
      <c r="O72"/>
      <c r="P72"/>
      <c r="Q72"/>
      <c r="R72"/>
      <c r="S72"/>
      <c r="T72"/>
      <c r="U72"/>
      <c r="V72"/>
      <c r="W72"/>
      <c r="X72"/>
      <c r="Y72"/>
      <c r="Z72"/>
    </row>
    <row r="73" spans="2:26" s="16" customFormat="1" ht="14.5" outlineLevel="1">
      <c r="B73"/>
      <c r="C73"/>
      <c r="D73"/>
      <c r="E73"/>
      <c r="F73"/>
      <c r="G73"/>
      <c r="H73"/>
      <c r="I73"/>
      <c r="J73"/>
      <c r="K73"/>
      <c r="L73"/>
      <c r="M73"/>
      <c r="N73"/>
      <c r="O73"/>
      <c r="P73"/>
      <c r="Q73"/>
      <c r="R73"/>
      <c r="S73"/>
      <c r="T73"/>
      <c r="U73"/>
      <c r="V73"/>
      <c r="W73"/>
      <c r="X73"/>
      <c r="Y73"/>
      <c r="Z73"/>
    </row>
    <row r="74" spans="2:26" s="16" customFormat="1" ht="14.5" outlineLevel="1">
      <c r="B74"/>
      <c r="C74"/>
      <c r="D74"/>
      <c r="E74"/>
      <c r="F74"/>
      <c r="G74"/>
      <c r="H74" s="30"/>
      <c r="I74" s="30"/>
    </row>
    <row r="75" spans="2:26" s="16" customFormat="1" ht="14.5" outlineLevel="1">
      <c r="B75"/>
      <c r="C75"/>
      <c r="D75"/>
      <c r="E75"/>
      <c r="F75"/>
      <c r="G75"/>
      <c r="H75" s="30"/>
      <c r="I75" s="30"/>
    </row>
    <row r="76" spans="2:26" s="16" customFormat="1" ht="14.5" outlineLevel="1">
      <c r="B76"/>
      <c r="C76"/>
      <c r="D76"/>
      <c r="E76"/>
      <c r="F76"/>
      <c r="G76"/>
      <c r="H76" s="30"/>
      <c r="I76" s="30"/>
    </row>
    <row r="77" spans="2:26" s="16" customFormat="1" ht="14.5" outlineLevel="1">
      <c r="B77"/>
      <c r="C77"/>
      <c r="D77"/>
      <c r="F77"/>
      <c r="G77"/>
      <c r="H77" s="30"/>
      <c r="I77" s="30"/>
    </row>
    <row r="78" spans="2:26" s="16" customFormat="1" ht="14.5" outlineLevel="1">
      <c r="B78"/>
      <c r="C78"/>
      <c r="D78"/>
      <c r="E78"/>
      <c r="F78"/>
      <c r="G78"/>
      <c r="H78" s="30"/>
      <c r="I78" s="30"/>
    </row>
    <row r="79" spans="2:26" s="16" customFormat="1" ht="14.5" outlineLevel="1">
      <c r="B79"/>
      <c r="C79"/>
      <c r="D79"/>
      <c r="E79"/>
      <c r="F79"/>
      <c r="G79"/>
      <c r="H79" s="30"/>
      <c r="I79" s="30"/>
    </row>
    <row r="80" spans="2:26" s="16" customFormat="1" ht="14.5" outlineLevel="1">
      <c r="B80"/>
      <c r="C80"/>
      <c r="D80"/>
      <c r="E80"/>
      <c r="F80"/>
      <c r="G80"/>
      <c r="H80" s="30"/>
      <c r="I80" s="30"/>
    </row>
    <row r="81" spans="2:9" s="16" customFormat="1" ht="14.5" outlineLevel="1">
      <c r="B81"/>
      <c r="C81"/>
      <c r="D81"/>
      <c r="E81"/>
      <c r="F81"/>
      <c r="G81"/>
      <c r="H81" s="30"/>
      <c r="I81" s="30"/>
    </row>
    <row r="82" spans="2:9" s="16" customFormat="1" ht="14.5" outlineLevel="1">
      <c r="B82"/>
      <c r="C82"/>
      <c r="D82"/>
      <c r="E82"/>
      <c r="F82"/>
      <c r="G82"/>
      <c r="H82" s="30"/>
      <c r="I82" s="30"/>
    </row>
    <row r="83" spans="2:9" s="16" customFormat="1" ht="14.5" outlineLevel="1">
      <c r="B83"/>
      <c r="C83"/>
      <c r="D83"/>
      <c r="E83"/>
      <c r="F83"/>
      <c r="G83"/>
      <c r="H83" s="30"/>
      <c r="I83" s="30"/>
    </row>
    <row r="84" spans="2:9" s="16" customFormat="1" ht="14.5" outlineLevel="1">
      <c r="B84"/>
      <c r="C84"/>
      <c r="D84"/>
      <c r="E84"/>
      <c r="F84"/>
      <c r="G84"/>
      <c r="H84" s="30"/>
      <c r="I84" s="30"/>
    </row>
    <row r="85" spans="2:9" s="16" customFormat="1" ht="14.5" outlineLevel="1">
      <c r="B85"/>
      <c r="C85"/>
      <c r="D85"/>
      <c r="E85"/>
      <c r="F85"/>
      <c r="G85"/>
      <c r="H85" s="30"/>
      <c r="I85" s="30"/>
    </row>
    <row r="86" spans="2:9" s="16" customFormat="1" ht="14.5" outlineLevel="1">
      <c r="B86"/>
      <c r="C86"/>
      <c r="D86"/>
      <c r="E86"/>
      <c r="F86"/>
      <c r="G86"/>
      <c r="H86" s="30"/>
      <c r="I86" s="30"/>
    </row>
    <row r="87" spans="2:9" s="16" customFormat="1" ht="14.5" outlineLevel="1">
      <c r="B87"/>
      <c r="C87"/>
      <c r="D87"/>
      <c r="E87"/>
      <c r="F87"/>
      <c r="G87"/>
      <c r="H87" s="30"/>
      <c r="I87" s="30"/>
    </row>
    <row r="88" spans="2:9" s="16" customFormat="1" ht="14.5" outlineLevel="1">
      <c r="B88"/>
      <c r="C88"/>
      <c r="D88"/>
      <c r="E88"/>
      <c r="F88"/>
      <c r="G88"/>
      <c r="H88" s="30"/>
      <c r="I88" s="30"/>
    </row>
    <row r="89" spans="2:9" s="16" customFormat="1" ht="14.5" outlineLevel="1">
      <c r="B89"/>
      <c r="C89"/>
      <c r="D89"/>
      <c r="E89"/>
      <c r="F89"/>
      <c r="G89"/>
      <c r="H89" s="30"/>
      <c r="I89" s="30"/>
    </row>
    <row r="90" spans="2:9" s="16" customFormat="1" ht="14.5" outlineLevel="1">
      <c r="B90"/>
      <c r="C90"/>
      <c r="D90"/>
      <c r="E90"/>
      <c r="F90"/>
      <c r="G90"/>
      <c r="H90" s="30"/>
      <c r="I90" s="30"/>
    </row>
    <row r="91" spans="2:9" s="16" customFormat="1" ht="14.5" outlineLevel="1">
      <c r="B91"/>
      <c r="C91"/>
      <c r="D91"/>
      <c r="E91"/>
      <c r="F91"/>
      <c r="G91"/>
      <c r="H91" s="30"/>
      <c r="I91" s="30"/>
    </row>
    <row r="92" spans="2:9" s="16" customFormat="1" ht="14.5" outlineLevel="1">
      <c r="B92"/>
      <c r="C92"/>
      <c r="D92"/>
      <c r="E92"/>
      <c r="F92"/>
      <c r="G92"/>
      <c r="H92" s="30"/>
      <c r="I92" s="30"/>
    </row>
    <row r="93" spans="2:9" s="16" customFormat="1" ht="14.5" outlineLevel="1">
      <c r="B93"/>
      <c r="C93"/>
      <c r="D93"/>
      <c r="E93"/>
      <c r="F93"/>
      <c r="G93"/>
      <c r="H93" s="30"/>
      <c r="I93" s="30"/>
    </row>
    <row r="94" spans="2:9" s="16" customFormat="1" ht="14.5" outlineLevel="1">
      <c r="B94"/>
      <c r="C94"/>
      <c r="D94"/>
      <c r="E94"/>
      <c r="F94"/>
      <c r="G94"/>
      <c r="H94" s="30"/>
      <c r="I94" s="30"/>
    </row>
    <row r="95" spans="2:9" s="16" customFormat="1" ht="14.5" outlineLevel="1">
      <c r="B95"/>
      <c r="C95"/>
      <c r="D95"/>
      <c r="E95"/>
      <c r="F95"/>
      <c r="G95"/>
      <c r="H95" s="30"/>
      <c r="I95" s="30"/>
    </row>
    <row r="96" spans="2:9" s="16" customFormat="1" ht="14.5" outlineLevel="1">
      <c r="B96"/>
      <c r="C96"/>
      <c r="D96"/>
      <c r="E96"/>
      <c r="F96"/>
      <c r="G96"/>
      <c r="H96" s="30"/>
      <c r="I96" s="30"/>
    </row>
    <row r="97" spans="2:10" s="16" customFormat="1" ht="14.5" outlineLevel="1">
      <c r="B97"/>
      <c r="C97"/>
      <c r="D97"/>
      <c r="E97"/>
      <c r="F97"/>
      <c r="G97"/>
      <c r="H97" s="30"/>
      <c r="I97" s="30"/>
    </row>
    <row r="98" spans="2:10" s="16" customFormat="1" ht="14.5" outlineLevel="1">
      <c r="B98"/>
      <c r="C98"/>
      <c r="D98"/>
      <c r="E98"/>
      <c r="F98"/>
      <c r="G98"/>
      <c r="H98" s="30"/>
      <c r="I98" s="30"/>
    </row>
    <row r="99" spans="2:10" s="16" customFormat="1" ht="14.5" outlineLevel="1">
      <c r="B99"/>
      <c r="C99"/>
      <c r="D99"/>
      <c r="E99"/>
      <c r="F99"/>
      <c r="G99"/>
      <c r="H99" s="30"/>
      <c r="I99" s="30"/>
    </row>
    <row r="100" spans="2:10" s="16" customFormat="1" ht="22" customHeight="1" outlineLevel="1">
      <c r="B100"/>
      <c r="C100"/>
      <c r="D100"/>
      <c r="E100"/>
      <c r="F100"/>
      <c r="G100"/>
      <c r="H100" s="30"/>
      <c r="I100" s="30"/>
    </row>
    <row r="101" spans="2:10" s="16" customFormat="1" ht="22" customHeight="1" outlineLevel="1">
      <c r="B101"/>
      <c r="C101"/>
      <c r="D101"/>
      <c r="E101"/>
      <c r="F101"/>
      <c r="G101"/>
      <c r="H101" s="30"/>
      <c r="I101" s="30"/>
    </row>
    <row r="102" spans="2:10" s="16" customFormat="1" ht="14.5">
      <c r="B102" s="143"/>
      <c r="C102"/>
      <c r="D102"/>
      <c r="E102"/>
      <c r="F102"/>
      <c r="G102"/>
      <c r="H102" s="30"/>
      <c r="I102" s="30"/>
    </row>
    <row r="103" spans="2:10" s="16" customFormat="1" ht="19.5" customHeight="1">
      <c r="B103" s="17" t="s">
        <v>183</v>
      </c>
      <c r="C103" s="17"/>
      <c r="D103" s="17"/>
      <c r="E103" s="17"/>
      <c r="F103" s="17"/>
      <c r="G103" s="17"/>
      <c r="H103" s="17"/>
      <c r="I103" s="17"/>
      <c r="J103" s="17"/>
    </row>
    <row r="104" spans="2:10" s="16" customFormat="1" ht="36" customHeight="1">
      <c r="B104" s="302"/>
      <c r="C104" s="302"/>
      <c r="D104" s="302"/>
      <c r="E104" s="302"/>
      <c r="F104" s="302"/>
      <c r="G104" s="302"/>
      <c r="H104" s="302"/>
      <c r="I104" s="302"/>
      <c r="J104" s="302"/>
    </row>
    <row r="105" spans="2:10" s="16" customFormat="1" ht="52" customHeight="1">
      <c r="B105" s="30"/>
      <c r="C105" s="30"/>
      <c r="D105" s="30"/>
    </row>
    <row r="106" spans="2:10" s="16" customFormat="1" ht="52" customHeight="1">
      <c r="B106" s="30"/>
      <c r="C106" s="30"/>
      <c r="D106" s="30"/>
    </row>
    <row r="107" spans="2:10" s="16" customFormat="1" ht="45.5" customHeight="1">
      <c r="B107" s="30"/>
      <c r="C107" s="30"/>
      <c r="D107" s="30"/>
    </row>
    <row r="108" spans="2:10" s="16" customFormat="1" ht="19.5" customHeight="1">
      <c r="B108" s="23" t="s">
        <v>184</v>
      </c>
    </row>
    <row r="109" spans="2:10" ht="21" customHeight="1">
      <c r="B109" s="301" t="s">
        <v>1016</v>
      </c>
      <c r="C109" s="301"/>
      <c r="D109" s="301"/>
      <c r="E109" s="301"/>
      <c r="F109" s="301"/>
      <c r="G109" s="301"/>
      <c r="H109" s="301"/>
      <c r="I109" s="301"/>
      <c r="J109" s="301"/>
    </row>
    <row r="110" spans="2:10" ht="14.5">
      <c r="B110"/>
    </row>
    <row r="119" spans="2:10" s="16" customFormat="1" ht="19.5" customHeight="1">
      <c r="B119" s="23" t="s">
        <v>356</v>
      </c>
    </row>
    <row r="120" spans="2:10" s="16" customFormat="1" ht="34" customHeight="1">
      <c r="B120" s="302" t="s">
        <v>1009</v>
      </c>
      <c r="C120" s="302"/>
      <c r="D120" s="302"/>
      <c r="E120" s="302"/>
      <c r="F120" s="302"/>
      <c r="G120" s="302"/>
      <c r="H120" s="302"/>
      <c r="I120" s="302"/>
      <c r="J120" s="302"/>
    </row>
    <row r="121" spans="2:10" ht="22" customHeight="1"/>
    <row r="122" spans="2:10" ht="22" customHeight="1"/>
    <row r="123" spans="2:10" ht="22" customHeight="1"/>
    <row r="124" spans="2:10" ht="22" customHeight="1"/>
    <row r="125" spans="2:10" ht="22" customHeight="1"/>
    <row r="126" spans="2:10" ht="22" customHeight="1"/>
    <row r="127" spans="2:10" ht="22" customHeight="1"/>
    <row r="128" spans="2:10" ht="22" customHeight="1"/>
    <row r="129" spans="2:10" ht="22" customHeight="1"/>
    <row r="130" spans="2:10" ht="22" customHeight="1"/>
    <row r="131" spans="2:10" ht="22.5" customHeight="1">
      <c r="B131" s="23" t="s">
        <v>185</v>
      </c>
    </row>
    <row r="132" spans="2:10" ht="35.5" customHeight="1">
      <c r="B132" s="301" t="s">
        <v>1010</v>
      </c>
      <c r="C132" s="301"/>
      <c r="D132" s="301"/>
      <c r="E132" s="301"/>
      <c r="F132" s="301"/>
      <c r="G132" s="301"/>
      <c r="H132" s="301"/>
      <c r="I132" s="301"/>
      <c r="J132" s="301"/>
    </row>
    <row r="143" spans="2:10" ht="24.5" customHeight="1">
      <c r="B143" s="23" t="s">
        <v>186</v>
      </c>
    </row>
    <row r="144" spans="2:10" ht="18" customHeight="1">
      <c r="B144" s="302" t="s">
        <v>1011</v>
      </c>
      <c r="C144" s="302"/>
      <c r="D144" s="302"/>
      <c r="E144" s="302"/>
      <c r="F144" s="302"/>
      <c r="G144" s="302"/>
      <c r="H144" s="302"/>
      <c r="I144" s="302"/>
      <c r="J144" s="302"/>
    </row>
    <row r="153" spans="2:10" ht="49" customHeight="1"/>
    <row r="154" spans="2:10" s="16" customFormat="1" ht="17" customHeight="1">
      <c r="B154" s="23" t="s">
        <v>121</v>
      </c>
    </row>
    <row r="155" spans="2:10" s="16" customFormat="1" ht="54" customHeight="1">
      <c r="B155" s="302" t="s">
        <v>1012</v>
      </c>
      <c r="C155" s="302"/>
      <c r="D155" s="302"/>
      <c r="E155" s="302"/>
      <c r="F155" s="302"/>
      <c r="G155" s="302"/>
      <c r="H155" s="302"/>
      <c r="I155" s="302"/>
      <c r="J155" s="302"/>
    </row>
    <row r="156" spans="2:10" s="16" customFormat="1" ht="21" customHeight="1">
      <c r="B156" s="32" t="s">
        <v>1017</v>
      </c>
      <c r="C156" s="30"/>
      <c r="D156" s="30"/>
      <c r="E156" s="30"/>
      <c r="F156" s="30"/>
      <c r="G156" s="30"/>
      <c r="H156" s="30"/>
      <c r="I156" s="30"/>
      <c r="J156" s="30"/>
    </row>
    <row r="157" spans="2:10" s="16" customFormat="1" ht="21" customHeight="1">
      <c r="B157" s="36"/>
      <c r="C157" s="30"/>
      <c r="D157" s="30"/>
      <c r="E157" s="30"/>
      <c r="F157" s="30"/>
      <c r="G157" s="30"/>
      <c r="H157" s="30"/>
      <c r="I157" s="30"/>
      <c r="J157" s="30"/>
    </row>
    <row r="158" spans="2:10" s="16" customFormat="1" ht="21" customHeight="1">
      <c r="B158" s="36"/>
      <c r="C158" s="30"/>
      <c r="D158" s="30"/>
      <c r="E158" s="30"/>
      <c r="F158" s="30"/>
      <c r="G158" s="30"/>
      <c r="H158" s="30"/>
      <c r="I158" s="30"/>
      <c r="J158" s="30"/>
    </row>
    <row r="159" spans="2:10" s="16" customFormat="1" ht="21" customHeight="1">
      <c r="B159" s="36"/>
      <c r="C159" s="30"/>
      <c r="D159" s="30"/>
      <c r="E159" s="30"/>
      <c r="F159" s="30"/>
      <c r="G159" s="30"/>
      <c r="H159" s="30"/>
      <c r="I159" s="30"/>
      <c r="J159" s="30"/>
    </row>
    <row r="160" spans="2:10" s="16" customFormat="1" ht="21" customHeight="1">
      <c r="B160" s="36"/>
      <c r="C160" s="30"/>
      <c r="D160" s="30"/>
      <c r="E160" s="30"/>
      <c r="F160" s="30"/>
      <c r="G160" s="30"/>
      <c r="H160" s="30"/>
      <c r="I160" s="30"/>
      <c r="J160" s="30"/>
    </row>
    <row r="161" spans="2:10" s="16" customFormat="1" ht="35.5" customHeight="1">
      <c r="B161" s="36"/>
      <c r="C161" s="30"/>
      <c r="D161" s="30"/>
      <c r="E161" s="30"/>
      <c r="F161" s="30"/>
      <c r="G161" s="30"/>
      <c r="H161" s="30"/>
      <c r="I161" s="30"/>
      <c r="J161" s="30"/>
    </row>
    <row r="162" spans="2:10" s="16" customFormat="1" ht="35.5" customHeight="1">
      <c r="B162" s="36"/>
      <c r="C162" s="30"/>
      <c r="D162" s="30"/>
      <c r="E162" s="30"/>
      <c r="F162" s="30"/>
      <c r="G162" s="30"/>
      <c r="H162" s="30"/>
      <c r="I162" s="30"/>
      <c r="J162" s="30"/>
    </row>
    <row r="163" spans="2:10" s="16" customFormat="1" ht="35.5" customHeight="1">
      <c r="B163" s="36"/>
      <c r="C163" s="30"/>
      <c r="D163" s="30"/>
      <c r="E163" s="30"/>
      <c r="F163" s="30"/>
      <c r="G163" s="30"/>
      <c r="H163" s="30"/>
      <c r="I163" s="30"/>
      <c r="J163" s="30"/>
    </row>
    <row r="164" spans="2:10" s="16" customFormat="1" ht="35.5" customHeight="1">
      <c r="B164" s="36"/>
      <c r="C164" s="30"/>
      <c r="D164" s="30"/>
      <c r="E164" s="30"/>
      <c r="F164" s="30"/>
      <c r="G164" s="30"/>
      <c r="H164" s="30"/>
      <c r="I164" s="30"/>
      <c r="J164" s="30"/>
    </row>
    <row r="165" spans="2:10" s="16" customFormat="1" ht="35.5" customHeight="1">
      <c r="B165" s="36"/>
      <c r="C165" s="30"/>
      <c r="D165" s="30"/>
      <c r="E165" s="30"/>
      <c r="F165" s="30"/>
      <c r="G165" s="30"/>
      <c r="H165" s="30"/>
      <c r="I165" s="30"/>
      <c r="J165" s="30"/>
    </row>
    <row r="166" spans="2:10" s="16" customFormat="1" ht="35.5" customHeight="1">
      <c r="B166" s="36"/>
      <c r="C166" s="30"/>
      <c r="D166" s="30"/>
      <c r="E166" s="30"/>
      <c r="F166" s="30"/>
      <c r="G166" s="30"/>
      <c r="H166" s="30"/>
      <c r="I166" s="30"/>
      <c r="J166" s="30"/>
    </row>
    <row r="167" spans="2:10" s="16" customFormat="1" ht="21" customHeight="1">
      <c r="B167" s="36"/>
      <c r="C167" s="30"/>
      <c r="D167" s="30"/>
      <c r="E167" s="30"/>
      <c r="F167" s="30"/>
      <c r="G167" s="30"/>
      <c r="H167" s="30"/>
      <c r="I167" s="30"/>
      <c r="J167" s="30"/>
    </row>
    <row r="168" spans="2:10" s="16" customFormat="1" ht="21" customHeight="1">
      <c r="B168" s="32" t="s">
        <v>1018</v>
      </c>
      <c r="C168" s="30"/>
      <c r="D168" s="30"/>
      <c r="E168" s="30"/>
      <c r="F168" s="30"/>
      <c r="G168" s="30"/>
      <c r="H168" s="30"/>
      <c r="I168" s="30"/>
      <c r="J168" s="30"/>
    </row>
    <row r="169" spans="2:10" s="16" customFormat="1" ht="21" customHeight="1">
      <c r="B169" s="32"/>
      <c r="C169" s="30"/>
      <c r="D169" s="30"/>
      <c r="E169" s="30"/>
      <c r="F169" s="30"/>
      <c r="G169" s="30"/>
      <c r="H169" s="30"/>
      <c r="I169" s="30"/>
      <c r="J169" s="30"/>
    </row>
    <row r="170" spans="2:10" s="16" customFormat="1" ht="21" customHeight="1">
      <c r="B170" s="32"/>
      <c r="C170" s="30"/>
      <c r="D170" s="30"/>
      <c r="E170" s="30"/>
      <c r="F170" s="30"/>
      <c r="G170" s="30"/>
      <c r="H170" s="30"/>
      <c r="I170" s="30"/>
      <c r="J170" s="30"/>
    </row>
    <row r="171" spans="2:10" s="16" customFormat="1" ht="21" customHeight="1">
      <c r="B171" s="32"/>
      <c r="C171" s="30"/>
      <c r="D171" s="30"/>
      <c r="E171" s="30"/>
      <c r="F171" s="30"/>
      <c r="G171" s="30"/>
      <c r="H171" s="30"/>
      <c r="I171" s="30"/>
      <c r="J171" s="30"/>
    </row>
    <row r="172" spans="2:10" s="16" customFormat="1" ht="21" customHeight="1">
      <c r="B172" s="32"/>
      <c r="C172" s="30"/>
      <c r="D172" s="30"/>
      <c r="E172" s="30"/>
      <c r="F172" s="30"/>
      <c r="G172" s="30"/>
      <c r="H172" s="30"/>
      <c r="I172" s="30"/>
      <c r="J172" s="30"/>
    </row>
    <row r="173" spans="2:10" s="16" customFormat="1" ht="21" customHeight="1">
      <c r="B173" s="32"/>
      <c r="C173" s="30"/>
      <c r="D173" s="30"/>
      <c r="E173" s="30"/>
      <c r="F173" s="30"/>
      <c r="G173" s="30"/>
      <c r="H173" s="30"/>
      <c r="I173" s="30"/>
      <c r="J173" s="30"/>
    </row>
    <row r="174" spans="2:10" s="16" customFormat="1" ht="21" customHeight="1">
      <c r="B174" s="32"/>
      <c r="C174" s="30"/>
      <c r="D174" s="30"/>
      <c r="E174" s="30"/>
      <c r="F174" s="30"/>
      <c r="G174" s="30"/>
      <c r="H174" s="30"/>
      <c r="I174" s="30"/>
      <c r="J174" s="30"/>
    </row>
    <row r="175" spans="2:10" s="16" customFormat="1" ht="21" customHeight="1">
      <c r="B175" s="32"/>
      <c r="C175" s="30"/>
      <c r="D175" s="30"/>
      <c r="E175" s="30"/>
      <c r="F175" s="30"/>
      <c r="G175" s="30"/>
      <c r="H175" s="30"/>
      <c r="I175" s="30"/>
      <c r="J175" s="30"/>
    </row>
    <row r="176" spans="2:10" s="16" customFormat="1" ht="21" customHeight="1">
      <c r="B176" s="32"/>
      <c r="C176" s="30"/>
      <c r="D176" s="30"/>
      <c r="E176" s="30"/>
      <c r="F176" s="30"/>
      <c r="G176" s="30"/>
      <c r="H176" s="30"/>
      <c r="I176" s="30"/>
      <c r="J176" s="30"/>
    </row>
    <row r="177" spans="2:10" s="16" customFormat="1" ht="21" customHeight="1">
      <c r="B177" s="32"/>
      <c r="C177" s="30"/>
      <c r="D177" s="30"/>
      <c r="E177" s="30"/>
      <c r="F177" s="30"/>
      <c r="G177" s="30"/>
      <c r="H177" s="30"/>
      <c r="I177" s="30"/>
      <c r="J177" s="30"/>
    </row>
    <row r="178" spans="2:10" s="16" customFormat="1" ht="21" customHeight="1">
      <c r="B178" s="32"/>
      <c r="C178" s="30"/>
      <c r="D178" s="30"/>
      <c r="E178" s="30"/>
      <c r="F178" s="30"/>
      <c r="G178" s="30"/>
      <c r="H178" s="30"/>
      <c r="I178" s="30"/>
      <c r="J178" s="30"/>
    </row>
    <row r="179" spans="2:10" ht="23.5" customHeight="1">
      <c r="B179" s="17" t="s">
        <v>187</v>
      </c>
      <c r="C179" s="17"/>
      <c r="D179" s="17"/>
      <c r="E179" s="17"/>
      <c r="F179" s="17"/>
      <c r="G179" s="17"/>
      <c r="H179" s="17"/>
      <c r="I179" s="17"/>
    </row>
    <row r="180" spans="2:10" ht="23.5" customHeight="1">
      <c r="B180" s="23" t="s">
        <v>1022</v>
      </c>
      <c r="C180" s="23"/>
      <c r="D180" s="23"/>
      <c r="E180" s="23"/>
      <c r="F180" s="23"/>
      <c r="G180" s="23"/>
      <c r="H180" s="23"/>
      <c r="I180" s="23"/>
    </row>
    <row r="181" spans="2:10" ht="53.5" customHeight="1">
      <c r="B181" s="16"/>
      <c r="C181" s="23"/>
      <c r="D181" s="23"/>
      <c r="E181" s="23"/>
      <c r="F181" s="23"/>
      <c r="G181" s="23"/>
      <c r="H181" s="23"/>
      <c r="I181" s="23"/>
    </row>
    <row r="182" spans="2:10" ht="53.5" customHeight="1">
      <c r="B182" s="23"/>
      <c r="C182" s="23"/>
      <c r="D182" s="23"/>
      <c r="E182" s="23"/>
      <c r="F182" s="23"/>
      <c r="G182" s="23"/>
      <c r="H182" s="23"/>
      <c r="I182" s="23"/>
    </row>
    <row r="183" spans="2:10" ht="1.5" customHeight="1">
      <c r="B183" s="23"/>
      <c r="C183" s="23"/>
      <c r="D183" s="23"/>
      <c r="E183" s="23"/>
      <c r="F183" s="23"/>
      <c r="G183" s="23"/>
      <c r="H183" s="23"/>
      <c r="I183" s="23"/>
    </row>
    <row r="184" spans="2:10" ht="17" customHeight="1">
      <c r="B184" s="18"/>
    </row>
    <row r="185" spans="2:10" ht="14.5">
      <c r="B185" s="30"/>
      <c r="C185" s="30"/>
      <c r="D185" s="30"/>
      <c r="E185" s="30"/>
      <c r="F185" s="30"/>
      <c r="G185"/>
      <c r="H185" s="30"/>
      <c r="I185" s="30"/>
    </row>
    <row r="186" spans="2:10" ht="51" customHeight="1">
      <c r="B186" s="30"/>
      <c r="C186" s="30"/>
      <c r="D186" s="30"/>
      <c r="E186" s="30"/>
      <c r="F186" s="30"/>
      <c r="G186" s="30"/>
      <c r="H186" s="30"/>
      <c r="I186" s="30"/>
    </row>
    <row r="187" spans="2:10" ht="51" customHeight="1">
      <c r="B187" s="30"/>
      <c r="C187" s="30"/>
      <c r="D187" s="30"/>
      <c r="E187" s="30"/>
      <c r="F187" s="30"/>
      <c r="G187" s="30"/>
      <c r="I187" s="30"/>
    </row>
    <row r="188" spans="2:10" ht="51" customHeight="1">
      <c r="B188" s="30"/>
      <c r="C188" s="30"/>
      <c r="D188" s="30"/>
      <c r="E188" s="30"/>
      <c r="F188" s="30"/>
      <c r="G188" s="30"/>
      <c r="H188" s="30"/>
      <c r="I188" s="30"/>
    </row>
    <row r="189" spans="2:10" ht="51" customHeight="1">
      <c r="B189" s="30"/>
      <c r="C189" s="30"/>
      <c r="D189" s="30"/>
      <c r="E189" s="30"/>
      <c r="F189" s="30"/>
      <c r="G189" s="30"/>
      <c r="H189" s="30"/>
      <c r="I189" s="30"/>
    </row>
    <row r="190" spans="2:10" ht="57.5" customHeight="1">
      <c r="B190" s="30"/>
      <c r="C190" s="30"/>
      <c r="D190" s="30"/>
      <c r="E190" s="30"/>
      <c r="F190" s="30"/>
      <c r="G190" s="30"/>
      <c r="H190" s="30"/>
      <c r="I190" s="30"/>
    </row>
    <row r="191" spans="2:10" s="16" customFormat="1" ht="20" customHeight="1">
      <c r="B191" s="23"/>
    </row>
    <row r="192" spans="2:10" ht="57" customHeight="1">
      <c r="B192" s="302"/>
      <c r="C192" s="302"/>
      <c r="D192" s="302"/>
      <c r="E192" s="302"/>
      <c r="F192" s="302"/>
      <c r="G192" s="302"/>
      <c r="H192" s="302"/>
      <c r="I192" s="302"/>
    </row>
    <row r="193" spans="2:2" ht="42" customHeight="1"/>
    <row r="194" spans="2:2" ht="18" customHeight="1">
      <c r="B194" s="17" t="s">
        <v>1023</v>
      </c>
    </row>
    <row r="195" spans="2:2" ht="18" customHeight="1"/>
    <row r="196" spans="2:2" ht="18" customHeight="1"/>
    <row r="197" spans="2:2" ht="16" customHeight="1"/>
    <row r="198" spans="2:2" ht="16" customHeight="1"/>
    <row r="199" spans="2:2" ht="16" customHeight="1"/>
    <row r="201" spans="2:2" ht="26" customHeight="1"/>
    <row r="202" spans="2:2" ht="25" customHeight="1"/>
    <row r="204" spans="2:2" ht="17.5" customHeight="1"/>
    <row r="205" spans="2:2" ht="17.5" customHeight="1"/>
    <row r="206" spans="2:2" ht="17.5" customHeight="1"/>
    <row r="207" spans="2:2" ht="17.5" customHeight="1"/>
    <row r="208" spans="2:2" ht="17.5" customHeight="1"/>
    <row r="209" spans="2:10" ht="17.5" customHeight="1"/>
    <row r="210" spans="2:10" ht="17.5" customHeight="1"/>
    <row r="211" spans="2:10" ht="21" customHeight="1"/>
    <row r="212" spans="2:10" s="16" customFormat="1" ht="19.5" customHeight="1">
      <c r="B212" s="23"/>
    </row>
    <row r="213" spans="2:10" s="23" customFormat="1" ht="52.5" customHeight="1">
      <c r="B213" s="304"/>
      <c r="C213" s="304"/>
      <c r="D213" s="304"/>
      <c r="E213" s="304"/>
      <c r="F213" s="304"/>
      <c r="G213" s="304"/>
      <c r="H213" s="304"/>
      <c r="I213" s="304"/>
      <c r="J213" s="304"/>
    </row>
    <row r="214" spans="2:10" s="16" customFormat="1" ht="18.5" customHeight="1">
      <c r="B214" s="23" t="s">
        <v>122</v>
      </c>
    </row>
    <row r="215" spans="2:10" s="16" customFormat="1" ht="18.5" customHeight="1">
      <c r="B215" s="23" t="s">
        <v>1240</v>
      </c>
    </row>
    <row r="216" spans="2:10" ht="170" customHeight="1">
      <c r="B216" s="311" t="s">
        <v>1249</v>
      </c>
      <c r="C216" s="311"/>
      <c r="D216" s="311"/>
      <c r="E216" s="311"/>
      <c r="F216" s="311"/>
      <c r="G216" s="311"/>
      <c r="H216" s="311"/>
      <c r="I216" s="311"/>
      <c r="J216" s="311"/>
    </row>
    <row r="218" spans="2:10" ht="20.5" customHeight="1"/>
    <row r="219" spans="2:10" ht="20.5" customHeight="1"/>
    <row r="220" spans="2:10" ht="20.5" customHeight="1"/>
    <row r="221" spans="2:10" ht="20.5" customHeight="1"/>
    <row r="222" spans="2:10" ht="20.5" customHeight="1"/>
    <row r="223" spans="2:10" ht="20.5" customHeight="1"/>
    <row r="224" spans="2:10" ht="20.5" customHeight="1"/>
    <row r="233" spans="2:14" ht="13">
      <c r="B233" s="18" t="s">
        <v>1248</v>
      </c>
    </row>
    <row r="234" spans="2:14" ht="19.5" customHeight="1"/>
    <row r="235" spans="2:14" ht="45.5" customHeight="1"/>
    <row r="236" spans="2:14" ht="50.5" customHeight="1"/>
    <row r="237" spans="2:14" ht="35" customHeight="1"/>
    <row r="238" spans="2:14" ht="61.5" customHeight="1"/>
    <row r="239" spans="2:14" s="16" customFormat="1" ht="18" customHeight="1">
      <c r="B239" s="23" t="s">
        <v>1251</v>
      </c>
      <c r="L239" s="22"/>
      <c r="M239"/>
      <c r="N239"/>
    </row>
    <row r="240" spans="2:14" s="16" customFormat="1" ht="43.5" customHeight="1">
      <c r="B240" s="305" t="s">
        <v>1247</v>
      </c>
      <c r="C240" s="305"/>
      <c r="D240" s="305"/>
      <c r="E240" s="305"/>
      <c r="F240" s="305"/>
      <c r="G240" s="305"/>
      <c r="H240" s="305"/>
      <c r="I240" s="305"/>
      <c r="J240" s="305"/>
      <c r="L240" s="22"/>
      <c r="M240"/>
      <c r="N240"/>
    </row>
    <row r="241" spans="2:14" s="16" customFormat="1" ht="43.5" customHeight="1">
      <c r="B241" s="305"/>
      <c r="C241" s="305"/>
      <c r="D241" s="305"/>
      <c r="E241" s="305"/>
      <c r="F241" s="305"/>
      <c r="G241" s="305"/>
      <c r="H241" s="305"/>
      <c r="I241" s="305"/>
      <c r="J241" s="305"/>
      <c r="L241" s="22"/>
      <c r="M241"/>
      <c r="N241"/>
    </row>
    <row r="242" spans="2:14" s="16" customFormat="1" ht="51.5" customHeight="1">
      <c r="B242" s="305"/>
      <c r="C242" s="305"/>
      <c r="D242" s="305"/>
      <c r="E242" s="305"/>
      <c r="F242" s="305"/>
      <c r="G242" s="305"/>
      <c r="H242" s="305"/>
      <c r="I242" s="305"/>
      <c r="J242" s="305"/>
      <c r="L242" s="22"/>
      <c r="M242"/>
      <c r="N242"/>
    </row>
    <row r="243" spans="2:14" ht="22.5" customHeight="1">
      <c r="B243" s="17" t="s">
        <v>192</v>
      </c>
      <c r="C243" s="17"/>
      <c r="D243" s="17"/>
      <c r="E243" s="17"/>
      <c r="F243" s="17"/>
      <c r="G243" s="17"/>
      <c r="H243" s="17"/>
      <c r="I243" s="17"/>
      <c r="J243" s="17"/>
      <c r="L243" s="22"/>
      <c r="M243"/>
      <c r="N243"/>
    </row>
    <row r="244" spans="2:14" s="16" customFormat="1" ht="19.5" customHeight="1">
      <c r="B244" s="16" t="s">
        <v>1327</v>
      </c>
      <c r="L244" s="22"/>
      <c r="M244"/>
      <c r="N244"/>
    </row>
    <row r="245" spans="2:14" s="16" customFormat="1" ht="29.5" customHeight="1">
      <c r="D245" s="217"/>
      <c r="E245" s="217"/>
      <c r="F245" s="217"/>
      <c r="G245" s="218"/>
      <c r="H245" s="218"/>
      <c r="L245" s="22"/>
      <c r="M245"/>
      <c r="N245"/>
    </row>
    <row r="246" spans="2:14" s="16" customFormat="1" ht="29.5" customHeight="1">
      <c r="B246" s="217"/>
      <c r="C246" s="217"/>
      <c r="D246" s="13"/>
      <c r="E246" s="148"/>
      <c r="F246" s="148"/>
      <c r="L246" s="22"/>
      <c r="M246"/>
      <c r="N246"/>
    </row>
    <row r="247" spans="2:14" s="16" customFormat="1" ht="29.5" customHeight="1">
      <c r="B247" s="217"/>
      <c r="C247" s="217"/>
      <c r="D247" s="13"/>
      <c r="E247" s="148"/>
      <c r="F247" s="148"/>
      <c r="L247" s="22"/>
      <c r="M247"/>
      <c r="N247"/>
    </row>
    <row r="248" spans="2:14" s="16" customFormat="1" ht="29.5" customHeight="1">
      <c r="B248" s="217"/>
      <c r="C248" s="217"/>
      <c r="D248" s="13"/>
      <c r="E248" s="148"/>
      <c r="F248" s="148"/>
    </row>
    <row r="249" spans="2:14" s="16" customFormat="1" ht="29.5" customHeight="1">
      <c r="B249" s="217"/>
      <c r="C249" s="217"/>
      <c r="D249" s="13"/>
      <c r="E249" s="148"/>
      <c r="F249" s="148"/>
    </row>
    <row r="250" spans="2:14" s="16" customFormat="1" ht="29.5" customHeight="1">
      <c r="B250" s="217"/>
      <c r="C250" s="217"/>
      <c r="D250" s="13"/>
      <c r="E250" s="148"/>
      <c r="F250" s="148"/>
    </row>
    <row r="251" spans="2:14" s="16" customFormat="1" ht="29.5" customHeight="1">
      <c r="B251" s="217"/>
      <c r="C251" s="217"/>
      <c r="D251" s="13"/>
      <c r="E251" s="148"/>
      <c r="F251" s="148"/>
    </row>
    <row r="252" spans="2:14" s="16" customFormat="1" ht="29.5" customHeight="1">
      <c r="B252" s="217"/>
      <c r="C252" s="217"/>
      <c r="D252" s="13"/>
      <c r="E252" s="148"/>
      <c r="F252" s="148"/>
    </row>
    <row r="253" spans="2:14" s="16" customFormat="1" ht="29.5" customHeight="1">
      <c r="B253" s="217"/>
      <c r="C253" s="217"/>
      <c r="D253" s="13"/>
      <c r="E253" s="148"/>
      <c r="F253" s="148"/>
    </row>
    <row r="254" spans="2:14" s="16" customFormat="1" ht="26.5" customHeight="1">
      <c r="B254" s="217"/>
      <c r="C254" s="217"/>
      <c r="D254" s="13"/>
      <c r="E254" s="148"/>
      <c r="F254" s="148"/>
    </row>
    <row r="255" spans="2:14" s="16" customFormat="1" ht="26.5" customHeight="1">
      <c r="B255" s="217"/>
      <c r="C255" s="217"/>
      <c r="D255" s="13"/>
      <c r="E255" s="148"/>
      <c r="F255" s="148"/>
    </row>
    <row r="256" spans="2:14" s="16" customFormat="1" ht="26.5" customHeight="1">
      <c r="B256" s="217"/>
      <c r="C256" s="217"/>
      <c r="D256" s="13"/>
      <c r="E256" s="148"/>
      <c r="F256" s="148"/>
    </row>
    <row r="257" spans="2:14" s="16" customFormat="1" ht="14.5">
      <c r="B257" s="195"/>
      <c r="C257" s="195"/>
      <c r="D257" s="195"/>
      <c r="E257" s="196"/>
      <c r="F257" s="196"/>
    </row>
    <row r="258" spans="2:14" ht="26.5" customHeight="1">
      <c r="B258" s="17" t="s">
        <v>193</v>
      </c>
      <c r="C258" s="17"/>
      <c r="D258" s="17"/>
      <c r="E258" s="17"/>
      <c r="F258" s="17"/>
      <c r="G258" s="17"/>
      <c r="H258" s="17"/>
      <c r="I258" s="17"/>
      <c r="J258" s="17"/>
    </row>
    <row r="259" spans="2:14" s="23" customFormat="1" ht="20" customHeight="1">
      <c r="B259" s="23" t="s">
        <v>124</v>
      </c>
    </row>
    <row r="260" spans="2:14" s="16" customFormat="1" ht="20" customHeight="1">
      <c r="B260" s="222" t="s">
        <v>357</v>
      </c>
      <c r="C260" s="23"/>
      <c r="D260" s="23"/>
      <c r="E260" s="23"/>
      <c r="F260" s="23"/>
      <c r="G260" s="23"/>
      <c r="H260" s="23"/>
    </row>
    <row r="261" spans="2:14" s="16" customFormat="1" ht="17.5" customHeight="1">
      <c r="B261" s="31"/>
      <c r="C261" s="30"/>
      <c r="D261" s="30"/>
      <c r="E261" s="30"/>
      <c r="F261" s="302"/>
      <c r="G261" s="302"/>
      <c r="H261" s="302"/>
      <c r="I261" s="302"/>
    </row>
    <row r="262" spans="2:14" s="16" customFormat="1" ht="26.5" customHeight="1">
      <c r="B262" s="302"/>
      <c r="C262" s="302"/>
      <c r="D262" s="302"/>
      <c r="E262" s="302"/>
      <c r="F262" s="302"/>
      <c r="G262" s="302"/>
      <c r="H262" s="302"/>
      <c r="I262" s="302"/>
    </row>
    <row r="263" spans="2:14" s="16" customFormat="1" ht="22" customHeight="1">
      <c r="B263" s="222" t="s">
        <v>154</v>
      </c>
      <c r="C263" s="223" t="s">
        <v>1329</v>
      </c>
    </row>
    <row r="264" spans="2:14" s="16" customFormat="1" ht="20.5" customHeight="1">
      <c r="B264" s="221"/>
      <c r="C264" s="101"/>
      <c r="D264" s="101"/>
      <c r="E264" s="101"/>
      <c r="F264" s="101"/>
      <c r="G264" s="136"/>
      <c r="H264" s="137"/>
      <c r="I264" s="102"/>
    </row>
    <row r="265" spans="2:14" ht="20.5" customHeight="1">
      <c r="B265" s="220"/>
      <c r="C265" s="138"/>
      <c r="D265" s="138"/>
      <c r="E265" s="138"/>
      <c r="F265" s="138"/>
      <c r="G265" s="138"/>
      <c r="H265" s="139"/>
      <c r="I265" s="140"/>
      <c r="M265" s="33"/>
      <c r="N265" s="33"/>
    </row>
    <row r="266" spans="2:14" ht="20.5" customHeight="1">
      <c r="B266" s="220"/>
      <c r="C266" s="138"/>
      <c r="D266" s="138"/>
      <c r="E266" s="138"/>
      <c r="F266" s="138"/>
      <c r="G266" s="138"/>
      <c r="H266" s="139"/>
      <c r="I266" s="140"/>
      <c r="K266" s="301"/>
      <c r="L266" s="301"/>
      <c r="M266" s="301"/>
      <c r="N266" s="301"/>
    </row>
    <row r="267" spans="2:14" ht="20.5" customHeight="1">
      <c r="B267" s="220"/>
      <c r="C267" s="138"/>
      <c r="D267" s="138"/>
      <c r="E267" s="138"/>
      <c r="F267" s="138"/>
      <c r="G267" s="138"/>
      <c r="H267" s="139"/>
      <c r="I267" s="140"/>
      <c r="K267" s="301"/>
      <c r="L267" s="301"/>
      <c r="M267" s="301"/>
      <c r="N267" s="301"/>
    </row>
    <row r="268" spans="2:14" ht="20.5" customHeight="1">
      <c r="B268" s="220"/>
      <c r="C268" s="138"/>
      <c r="D268" s="138"/>
      <c r="E268" s="138"/>
      <c r="F268" s="138"/>
      <c r="G268" s="138"/>
      <c r="H268" s="139"/>
      <c r="I268" s="140"/>
      <c r="K268" s="301"/>
      <c r="L268" s="301"/>
      <c r="M268" s="301"/>
      <c r="N268" s="301"/>
    </row>
    <row r="269" spans="2:14" ht="20.5" customHeight="1">
      <c r="B269" s="220"/>
      <c r="C269" s="138"/>
      <c r="D269" s="138"/>
      <c r="E269" s="138"/>
      <c r="F269" s="138"/>
      <c r="G269" s="138"/>
      <c r="H269" s="139"/>
      <c r="I269" s="140"/>
      <c r="K269" s="301"/>
      <c r="L269" s="301"/>
      <c r="M269" s="301"/>
      <c r="N269" s="301"/>
    </row>
    <row r="270" spans="2:14" ht="20.5" customHeight="1">
      <c r="B270" s="220"/>
      <c r="C270" s="138"/>
      <c r="D270" s="138"/>
      <c r="E270" s="138"/>
      <c r="F270" s="138"/>
      <c r="G270" s="138"/>
      <c r="H270" s="139"/>
      <c r="I270" s="140"/>
      <c r="K270" s="301"/>
      <c r="L270" s="301"/>
      <c r="M270" s="301"/>
      <c r="N270" s="301"/>
    </row>
    <row r="271" spans="2:14" ht="20.5" customHeight="1">
      <c r="B271" s="220"/>
      <c r="C271" s="138"/>
      <c r="D271" s="138"/>
      <c r="E271" s="138"/>
      <c r="F271" s="138"/>
      <c r="G271" s="138"/>
      <c r="H271" s="139"/>
      <c r="I271" s="140"/>
      <c r="K271" s="301"/>
      <c r="L271" s="301"/>
      <c r="M271" s="301"/>
      <c r="N271" s="301"/>
    </row>
    <row r="272" spans="2:14" ht="20.5" customHeight="1">
      <c r="B272" s="220"/>
      <c r="C272" s="138"/>
      <c r="D272" s="138"/>
      <c r="E272" s="138"/>
      <c r="F272" s="138"/>
      <c r="G272" s="138"/>
      <c r="H272" s="139"/>
      <c r="I272" s="140"/>
      <c r="K272" s="301"/>
      <c r="L272" s="301"/>
      <c r="M272" s="301"/>
      <c r="N272" s="301"/>
    </row>
    <row r="273" spans="2:14" ht="20.5" customHeight="1">
      <c r="B273" s="220"/>
      <c r="C273" s="138"/>
      <c r="D273" s="138"/>
      <c r="E273" s="138"/>
      <c r="F273" s="138"/>
      <c r="G273" s="138"/>
      <c r="H273" s="139"/>
      <c r="I273" s="140"/>
      <c r="K273" s="301"/>
      <c r="L273" s="301"/>
      <c r="M273" s="301"/>
      <c r="N273" s="301"/>
    </row>
    <row r="274" spans="2:14" ht="20.5" customHeight="1">
      <c r="B274" s="222" t="s">
        <v>1356</v>
      </c>
      <c r="C274" s="138"/>
      <c r="D274" s="138"/>
      <c r="E274" s="138"/>
      <c r="F274" s="138"/>
      <c r="G274" s="138"/>
      <c r="H274" s="139"/>
      <c r="I274" s="140"/>
      <c r="K274" s="215"/>
      <c r="L274" s="215"/>
      <c r="M274" s="215"/>
      <c r="N274" s="215"/>
    </row>
    <row r="275" spans="2:14" s="16" customFormat="1" ht="20" customHeight="1">
      <c r="B275" s="226" t="s">
        <v>1357</v>
      </c>
      <c r="D275" s="16" t="s">
        <v>1361</v>
      </c>
    </row>
    <row r="276" spans="2:14" s="16" customFormat="1" ht="20" customHeight="1">
      <c r="B276" s="226" t="s">
        <v>1358</v>
      </c>
      <c r="D276" s="16" t="s">
        <v>1360</v>
      </c>
    </row>
    <row r="277" spans="2:14" s="16" customFormat="1" ht="20" customHeight="1">
      <c r="B277" s="227" t="s">
        <v>1359</v>
      </c>
    </row>
    <row r="278" spans="2:14" s="16" customFormat="1" ht="20" customHeight="1">
      <c r="B278" s="228" t="s">
        <v>1362</v>
      </c>
    </row>
    <row r="279" spans="2:14" s="16" customFormat="1" ht="20" customHeight="1">
      <c r="B279" s="16" t="s">
        <v>856</v>
      </c>
    </row>
    <row r="280" spans="2:14" s="16" customFormat="1" ht="18.5" customHeight="1">
      <c r="C280" s="26" t="s">
        <v>126</v>
      </c>
      <c r="D280" s="26" t="s">
        <v>127</v>
      </c>
      <c r="E280" s="26" t="s">
        <v>281</v>
      </c>
      <c r="F280" s="26" t="s">
        <v>290</v>
      </c>
      <c r="G280" s="26" t="s">
        <v>312</v>
      </c>
      <c r="H280" s="26" t="s">
        <v>358</v>
      </c>
      <c r="I280" s="26" t="s">
        <v>402</v>
      </c>
      <c r="J280" s="56"/>
      <c r="K280" s="56"/>
    </row>
    <row r="281" spans="2:14" ht="18.5" customHeight="1">
      <c r="B281" s="15" t="s">
        <v>128</v>
      </c>
      <c r="C281" s="46">
        <v>329</v>
      </c>
      <c r="D281" s="46">
        <v>315</v>
      </c>
      <c r="E281" s="46">
        <v>316</v>
      </c>
      <c r="F281" s="46"/>
      <c r="G281" s="46"/>
      <c r="H281" s="46"/>
      <c r="I281" s="46"/>
      <c r="J281" s="25"/>
      <c r="K281" s="25"/>
    </row>
    <row r="282" spans="2:14" ht="18.5" customHeight="1">
      <c r="B282" s="15" t="s">
        <v>195</v>
      </c>
      <c r="C282" s="46">
        <v>-1</v>
      </c>
      <c r="D282" s="46">
        <f>D281-C281</f>
        <v>-14</v>
      </c>
      <c r="E282" s="46">
        <f>E281-D281</f>
        <v>1</v>
      </c>
      <c r="F282" s="46"/>
      <c r="G282" s="46"/>
      <c r="H282" s="46"/>
      <c r="I282" s="46"/>
      <c r="J282" s="25"/>
      <c r="K282" s="25"/>
    </row>
    <row r="283" spans="2:14" ht="18.5" customHeight="1">
      <c r="B283" s="15" t="s">
        <v>129</v>
      </c>
      <c r="C283" s="46">
        <f>254+78+460</f>
        <v>792</v>
      </c>
      <c r="D283" s="46">
        <f>245+73+453</f>
        <v>771</v>
      </c>
      <c r="E283" s="46">
        <v>761</v>
      </c>
      <c r="F283" s="46"/>
      <c r="G283" s="46"/>
      <c r="H283" s="46"/>
      <c r="I283" s="46"/>
      <c r="J283" s="25"/>
      <c r="K283" s="25"/>
    </row>
    <row r="284" spans="2:14" ht="18.5" customHeight="1">
      <c r="B284" s="15" t="s">
        <v>195</v>
      </c>
      <c r="C284" s="46">
        <f>792-802</f>
        <v>-10</v>
      </c>
      <c r="D284" s="46">
        <f>D283-C283</f>
        <v>-21</v>
      </c>
      <c r="E284" s="46">
        <f>E283-D283</f>
        <v>-10</v>
      </c>
      <c r="F284" s="46"/>
      <c r="G284" s="46"/>
      <c r="H284" s="46"/>
      <c r="I284" s="46"/>
      <c r="J284" s="25"/>
      <c r="K284" s="25"/>
    </row>
    <row r="285" spans="2:14" s="16" customFormat="1" ht="19" customHeight="1">
      <c r="B285" s="23" t="s">
        <v>125</v>
      </c>
    </row>
    <row r="286" spans="2:14" s="16" customFormat="1" ht="23.5" customHeight="1">
      <c r="B286" s="302" t="s">
        <v>1363</v>
      </c>
      <c r="C286" s="302"/>
      <c r="D286" s="302"/>
      <c r="E286" s="302"/>
      <c r="F286" s="302"/>
      <c r="G286" s="302"/>
      <c r="H286" s="302"/>
      <c r="I286" s="302"/>
    </row>
    <row r="287" spans="2:14" s="16" customFormat="1" ht="20" customHeight="1">
      <c r="B287" s="23" t="s">
        <v>196</v>
      </c>
    </row>
    <row r="288" spans="2:14" s="16" customFormat="1">
      <c r="B288" s="304"/>
      <c r="C288" s="304"/>
      <c r="D288" s="304"/>
      <c r="E288" s="304"/>
      <c r="F288" s="304"/>
      <c r="G288" s="304"/>
      <c r="H288" s="304"/>
      <c r="I288" s="304"/>
    </row>
    <row r="289" spans="2:9" s="16" customFormat="1">
      <c r="B289" s="216"/>
      <c r="C289" s="216"/>
      <c r="D289" s="216"/>
      <c r="E289" s="216"/>
      <c r="F289" s="216"/>
      <c r="G289" s="216"/>
      <c r="H289" s="216"/>
      <c r="I289" s="216"/>
    </row>
    <row r="290" spans="2:9" s="16" customFormat="1" ht="19.5" customHeight="1">
      <c r="B290" s="216"/>
      <c r="C290" s="216"/>
      <c r="D290" s="216"/>
      <c r="E290" s="216"/>
      <c r="F290" s="216"/>
      <c r="G290" s="216"/>
      <c r="H290" s="216"/>
      <c r="I290" s="216"/>
    </row>
    <row r="291" spans="2:9" s="16" customFormat="1" ht="19.5" customHeight="1">
      <c r="B291" s="216"/>
      <c r="C291" s="216"/>
      <c r="D291" s="216"/>
      <c r="E291" s="216"/>
      <c r="F291" s="216"/>
      <c r="G291" s="216"/>
      <c r="H291" s="216"/>
      <c r="I291" s="216"/>
    </row>
    <row r="292" spans="2:9" s="16" customFormat="1" ht="19.5" customHeight="1">
      <c r="B292" s="216"/>
      <c r="C292" s="216"/>
      <c r="D292" s="216"/>
      <c r="E292" s="216"/>
      <c r="F292" s="216"/>
      <c r="G292" s="216"/>
      <c r="H292" s="216"/>
      <c r="I292" s="216"/>
    </row>
    <row r="293" spans="2:9" s="16" customFormat="1" ht="19.5" customHeight="1">
      <c r="B293" s="216"/>
      <c r="C293" s="216"/>
      <c r="D293" s="216"/>
      <c r="E293" s="216"/>
      <c r="F293" s="216"/>
      <c r="G293" s="216"/>
      <c r="H293" s="216"/>
      <c r="I293" s="216"/>
    </row>
    <row r="294" spans="2:9" s="16" customFormat="1" ht="19.5" customHeight="1">
      <c r="B294" s="216"/>
      <c r="C294" s="216"/>
      <c r="D294" s="216"/>
      <c r="E294" s="216"/>
      <c r="F294" s="216"/>
      <c r="G294" s="216"/>
      <c r="H294" s="216"/>
      <c r="I294" s="216"/>
    </row>
    <row r="295" spans="2:9" s="16" customFormat="1" ht="19.5" customHeight="1">
      <c r="B295" s="216"/>
      <c r="C295" s="216"/>
      <c r="D295" s="216"/>
      <c r="E295" s="216"/>
      <c r="F295" s="216"/>
      <c r="G295" s="216"/>
      <c r="H295" s="216"/>
      <c r="I295" s="216"/>
    </row>
    <row r="296" spans="2:9" s="16" customFormat="1" ht="19.5" customHeight="1">
      <c r="B296" s="216"/>
      <c r="C296" s="216"/>
      <c r="D296" s="216"/>
      <c r="E296" s="216"/>
      <c r="F296" s="216"/>
      <c r="G296" s="216"/>
      <c r="H296" s="216"/>
      <c r="I296" s="216"/>
    </row>
    <row r="297" spans="2:9" s="16" customFormat="1" ht="19.5" customHeight="1">
      <c r="B297" s="216"/>
      <c r="C297" s="216"/>
      <c r="D297" s="216"/>
      <c r="E297" s="216"/>
      <c r="F297" s="216"/>
      <c r="G297" s="216"/>
      <c r="H297" s="216"/>
      <c r="I297" s="216"/>
    </row>
    <row r="298" spans="2:9" s="16" customFormat="1">
      <c r="B298" s="216"/>
      <c r="C298" s="216"/>
      <c r="D298" s="216"/>
      <c r="E298" s="216"/>
      <c r="F298" s="216"/>
      <c r="G298" s="216"/>
      <c r="H298" s="216"/>
      <c r="I298" s="216"/>
    </row>
    <row r="299" spans="2:9" s="16" customFormat="1">
      <c r="B299" s="216"/>
      <c r="C299" s="216"/>
      <c r="D299" s="216"/>
      <c r="E299" s="216"/>
      <c r="F299" s="216"/>
      <c r="G299" s="216"/>
      <c r="H299" s="216"/>
      <c r="I299" s="216"/>
    </row>
    <row r="300" spans="2:9" s="16" customFormat="1">
      <c r="B300" s="216"/>
      <c r="C300" s="216"/>
      <c r="D300" s="216"/>
      <c r="E300" s="216"/>
      <c r="F300" s="216"/>
      <c r="G300" s="216"/>
      <c r="H300" s="216"/>
      <c r="I300" s="216"/>
    </row>
    <row r="301" spans="2:9" s="16" customFormat="1" ht="40.5" customHeight="1">
      <c r="B301" s="216"/>
      <c r="C301" s="216"/>
      <c r="D301" s="216"/>
      <c r="E301" s="216"/>
      <c r="G301" s="216"/>
      <c r="H301" s="216"/>
      <c r="I301" s="216"/>
    </row>
    <row r="302" spans="2:9" s="16" customFormat="1" ht="40.5" customHeight="1">
      <c r="B302" s="216"/>
      <c r="C302" s="216"/>
      <c r="D302" s="216"/>
      <c r="E302" s="216"/>
      <c r="F302" s="216"/>
      <c r="G302" s="216"/>
      <c r="H302" s="216"/>
      <c r="I302" s="216"/>
    </row>
    <row r="303" spans="2:9" s="16" customFormat="1" ht="40.5" customHeight="1">
      <c r="B303" s="216"/>
      <c r="C303" s="216"/>
      <c r="D303" s="216"/>
      <c r="E303" s="216"/>
      <c r="F303" s="216"/>
      <c r="G303" s="216"/>
      <c r="H303" s="216"/>
      <c r="I303" s="216"/>
    </row>
    <row r="304" spans="2:9" s="16" customFormat="1" ht="40.5" customHeight="1">
      <c r="B304" s="216"/>
      <c r="C304" s="216"/>
      <c r="D304" s="216"/>
      <c r="E304" s="216"/>
      <c r="F304" s="216"/>
      <c r="G304" s="216"/>
      <c r="H304" s="216"/>
      <c r="I304" s="216"/>
    </row>
    <row r="305" spans="1:10" s="16" customFormat="1" ht="40.5" customHeight="1">
      <c r="B305" s="216"/>
      <c r="C305" s="216"/>
      <c r="D305" s="216"/>
      <c r="E305" s="216"/>
      <c r="F305" s="216"/>
      <c r="G305" s="216"/>
      <c r="H305" s="216"/>
      <c r="I305" s="216"/>
    </row>
    <row r="306" spans="1:10" s="16" customFormat="1" ht="40.5" customHeight="1">
      <c r="B306" s="216"/>
      <c r="C306" s="216"/>
      <c r="D306" s="216"/>
      <c r="E306" s="216"/>
      <c r="F306" s="216"/>
      <c r="G306" s="216"/>
      <c r="H306" s="216"/>
      <c r="I306" s="216"/>
    </row>
    <row r="307" spans="1:10" s="16" customFormat="1" ht="40.5" customHeight="1">
      <c r="B307" s="216"/>
      <c r="C307" s="216"/>
      <c r="D307" s="216"/>
      <c r="E307" s="216"/>
      <c r="F307" s="216"/>
      <c r="G307" s="216"/>
      <c r="H307" s="216"/>
      <c r="I307" s="216"/>
    </row>
    <row r="308" spans="1:10" s="16" customFormat="1" ht="40.5" customHeight="1">
      <c r="B308" s="216"/>
      <c r="C308" s="216"/>
      <c r="D308" s="216"/>
      <c r="E308" s="216"/>
      <c r="F308" s="216"/>
      <c r="G308" s="216"/>
      <c r="H308" s="216"/>
      <c r="I308" s="216"/>
    </row>
    <row r="309" spans="1:10" s="16" customFormat="1" ht="40.5" customHeight="1">
      <c r="B309" s="216"/>
      <c r="C309" s="216"/>
      <c r="D309" s="216"/>
      <c r="E309" s="216"/>
      <c r="F309" s="216"/>
      <c r="G309" s="216"/>
      <c r="H309" s="216"/>
      <c r="I309" s="216"/>
    </row>
    <row r="310" spans="1:10" s="16" customFormat="1" ht="20" customHeight="1">
      <c r="A310" s="35"/>
      <c r="B310" s="34" t="s">
        <v>855</v>
      </c>
      <c r="C310" s="30"/>
      <c r="D310" s="30"/>
      <c r="E310" s="30"/>
      <c r="F310" s="30"/>
      <c r="G310" s="30"/>
      <c r="H310" s="30"/>
      <c r="I310" s="30"/>
    </row>
    <row r="311" spans="1:10" s="16" customFormat="1" ht="13.5" customHeight="1">
      <c r="B311" s="302" t="s">
        <v>1435</v>
      </c>
      <c r="C311" s="302"/>
      <c r="D311" s="302"/>
      <c r="E311" s="302"/>
      <c r="F311" s="302"/>
      <c r="G311" s="302"/>
      <c r="H311" s="302"/>
      <c r="I311" s="302"/>
    </row>
    <row r="312" spans="1:10" s="16" customFormat="1" ht="32" customHeight="1">
      <c r="B312" s="30"/>
      <c r="C312" s="30"/>
      <c r="D312" s="30"/>
      <c r="E312" s="30"/>
      <c r="F312" s="30"/>
      <c r="G312" s="30"/>
      <c r="H312" s="30"/>
      <c r="I312" s="30"/>
    </row>
    <row r="313" spans="1:10" s="16" customFormat="1" ht="32" customHeight="1">
      <c r="B313" s="30"/>
      <c r="C313" s="30"/>
      <c r="D313" s="30"/>
      <c r="E313" s="30"/>
      <c r="F313" s="30"/>
      <c r="G313" s="30"/>
      <c r="H313" s="30"/>
      <c r="I313" s="30"/>
    </row>
    <row r="314" spans="1:10" s="16" customFormat="1" ht="32" customHeight="1">
      <c r="B314" s="30"/>
      <c r="C314" s="30"/>
      <c r="D314" s="30"/>
      <c r="E314" s="30"/>
      <c r="F314" s="30"/>
      <c r="G314" s="30"/>
      <c r="H314" s="30"/>
      <c r="I314" s="30"/>
    </row>
    <row r="315" spans="1:10" s="16" customFormat="1" ht="32" customHeight="1">
      <c r="B315" s="30"/>
      <c r="C315" s="30"/>
      <c r="D315" s="30"/>
      <c r="E315" s="30"/>
      <c r="F315" s="30"/>
      <c r="G315" s="30"/>
      <c r="H315" s="30"/>
      <c r="I315" s="30"/>
    </row>
    <row r="316" spans="1:10" s="16" customFormat="1" ht="32" customHeight="1">
      <c r="B316" s="30"/>
      <c r="C316" s="30"/>
      <c r="D316" s="30"/>
      <c r="E316" s="30"/>
      <c r="F316" s="30"/>
      <c r="G316" s="30"/>
      <c r="H316" s="30"/>
      <c r="I316" s="30"/>
    </row>
    <row r="317" spans="1:10" s="16" customFormat="1" ht="32" customHeight="1">
      <c r="B317" s="30"/>
      <c r="C317" s="30"/>
      <c r="D317" s="30"/>
      <c r="E317" s="30"/>
      <c r="F317" s="30"/>
      <c r="G317" s="30"/>
      <c r="H317" s="30"/>
      <c r="I317" s="30"/>
    </row>
    <row r="318" spans="1:10" s="16" customFormat="1" ht="17.5" customHeight="1">
      <c r="B318" s="23"/>
      <c r="C318" s="63"/>
      <c r="D318" s="63"/>
      <c r="E318" s="63"/>
      <c r="F318" s="63"/>
      <c r="G318" s="63"/>
      <c r="H318" s="63"/>
      <c r="I318" s="63"/>
      <c r="J318" s="63"/>
    </row>
    <row r="319" spans="1:10" ht="23" customHeight="1">
      <c r="B319" s="17" t="s">
        <v>1437</v>
      </c>
      <c r="C319" s="17"/>
      <c r="D319" s="17"/>
      <c r="E319" s="17"/>
      <c r="F319" s="17"/>
      <c r="G319" s="17"/>
      <c r="H319" s="17"/>
      <c r="I319" s="17"/>
    </row>
    <row r="320" spans="1:10" s="16" customFormat="1" ht="18.5" customHeight="1"/>
    <row r="321" spans="2:9" s="16" customFormat="1" ht="18.5" customHeight="1"/>
    <row r="322" spans="2:9" s="16" customFormat="1" ht="18.5" customHeight="1"/>
    <row r="323" spans="2:9" s="16" customFormat="1" ht="17" customHeight="1">
      <c r="B323" s="23"/>
      <c r="C323" s="23"/>
      <c r="D323" s="23"/>
      <c r="E323" s="149"/>
      <c r="I323" s="23"/>
    </row>
    <row r="324" spans="2:9" s="16" customFormat="1" ht="20" customHeight="1">
      <c r="E324" s="303"/>
      <c r="F324" s="303"/>
      <c r="G324" s="303"/>
      <c r="H324" s="303"/>
      <c r="I324" s="303"/>
    </row>
    <row r="325" spans="2:9" s="16" customFormat="1" ht="20" customHeight="1">
      <c r="E325" s="24"/>
    </row>
    <row r="326" spans="2:9" s="16" customFormat="1" ht="20" customHeight="1">
      <c r="E326" s="24"/>
    </row>
    <row r="327" spans="2:9" s="23" customFormat="1" ht="18.5" customHeight="1"/>
    <row r="328" spans="2:9" s="16" customFormat="1" ht="18" customHeight="1"/>
    <row r="329" spans="2:9" s="16" customFormat="1" ht="19.5" customHeight="1">
      <c r="B329" s="23"/>
    </row>
    <row r="330" spans="2:9" s="16" customFormat="1" ht="19.5" customHeight="1"/>
    <row r="331" spans="2:9" s="16" customFormat="1" ht="19.5" customHeight="1"/>
    <row r="332" spans="2:9" s="16" customFormat="1" ht="18" customHeight="1">
      <c r="B332" s="23"/>
    </row>
    <row r="333" spans="2:9" s="16" customFormat="1" ht="20" customHeight="1">
      <c r="C333" s="23"/>
    </row>
    <row r="334" spans="2:9" s="16" customFormat="1" ht="20" customHeight="1">
      <c r="C334" s="23"/>
    </row>
    <row r="335" spans="2:9" s="23" customFormat="1" ht="23" customHeight="1"/>
    <row r="336" spans="2:9" ht="14.5" customHeight="1"/>
    <row r="337" ht="14.5" customHeight="1"/>
    <row r="338" ht="14.5" customHeight="1"/>
    <row r="339" ht="14.5" customHeight="1"/>
    <row r="340" ht="14.5" customHeight="1"/>
    <row r="341" ht="14.5" customHeight="1"/>
    <row r="342" ht="14.5" customHeight="1"/>
  </sheetData>
  <mergeCells count="26">
    <mergeCell ref="K266:N273"/>
    <mergeCell ref="B216:J216"/>
    <mergeCell ref="B262:E262"/>
    <mergeCell ref="F262:I262"/>
    <mergeCell ref="F261:I261"/>
    <mergeCell ref="B30:J30"/>
    <mergeCell ref="B286:I286"/>
    <mergeCell ref="B311:I311"/>
    <mergeCell ref="B132:J132"/>
    <mergeCell ref="B155:J155"/>
    <mergeCell ref="F59:G59"/>
    <mergeCell ref="F60:G60"/>
    <mergeCell ref="F61:G61"/>
    <mergeCell ref="F62:G62"/>
    <mergeCell ref="F63:G63"/>
    <mergeCell ref="B144:J144"/>
    <mergeCell ref="B65:J65"/>
    <mergeCell ref="F64:G64"/>
    <mergeCell ref="B104:J104"/>
    <mergeCell ref="B109:J109"/>
    <mergeCell ref="B120:J120"/>
    <mergeCell ref="E324:I324"/>
    <mergeCell ref="B213:J213"/>
    <mergeCell ref="B192:I192"/>
    <mergeCell ref="B288:I288"/>
    <mergeCell ref="B240:J242"/>
  </mergeCells>
  <conditionalFormatting sqref="F60:H64">
    <cfRule type="colorScale" priority="9">
      <colorScale>
        <cfvo type="min"/>
        <cfvo type="percentile" val="50"/>
        <cfvo type="max"/>
        <color rgb="FFF8696B"/>
        <color rgb="FFFFEB84"/>
        <color rgb="FF63BE7B"/>
      </colorScale>
    </cfRule>
  </conditionalFormatting>
  <pageMargins left="0.23622047244094491" right="0.23622047244094491" top="0.74803149606299213" bottom="0.74803149606299213" header="0.31496062992125984" footer="0.31496062992125984"/>
  <pageSetup paperSize="9" scale="65" fitToHeight="0" orientation="portrait" r:id="rId1"/>
  <rowBreaks count="7" manualBreakCount="7">
    <brk id="56" max="9" man="1"/>
    <brk id="102" max="9" man="1"/>
    <brk id="153" max="9" man="1"/>
    <brk id="178" max="9" man="1"/>
    <brk id="213" max="9" man="1"/>
    <brk id="273" max="9" man="1"/>
    <brk id="318" max="9" man="1"/>
  </rowBreaks>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E7EAF-F4C5-4381-B5D0-8D71B5E17F51}">
  <dimension ref="A1:AX86"/>
  <sheetViews>
    <sheetView zoomScale="63" zoomScaleNormal="55" workbookViewId="0">
      <selection activeCell="L3" sqref="L3"/>
    </sheetView>
  </sheetViews>
  <sheetFormatPr defaultColWidth="8.7265625" defaultRowHeight="12.5" outlineLevelCol="1"/>
  <cols>
    <col min="1" max="1" width="21.08984375" style="15" customWidth="1"/>
    <col min="2" max="9" width="10.81640625" style="15" hidden="1" customWidth="1"/>
    <col min="10" max="10" width="18" style="15" customWidth="1"/>
    <col min="11" max="11" width="13" style="15" customWidth="1"/>
    <col min="12" max="20" width="11.26953125" style="15" customWidth="1" outlineLevel="1"/>
    <col min="21" max="21" width="10.453125" style="42" customWidth="1"/>
    <col min="22" max="22" width="8.7265625" style="15"/>
    <col min="23" max="23" width="13.6328125" style="43" customWidth="1"/>
    <col min="24" max="27" width="13.81640625" style="43" customWidth="1"/>
    <col min="28" max="33" width="13.81640625" style="15" customWidth="1"/>
    <col min="34" max="36" width="11.453125" style="15" customWidth="1"/>
    <col min="37" max="37" width="15.90625" style="15" customWidth="1"/>
    <col min="38" max="38" width="11.453125" style="15" customWidth="1"/>
    <col min="39" max="16384" width="8.7265625" style="15"/>
  </cols>
  <sheetData>
    <row r="1" spans="1:39" ht="13" thickBot="1">
      <c r="K1" s="15" t="s">
        <v>162</v>
      </c>
    </row>
    <row r="2" spans="1:39" ht="52">
      <c r="A2" s="105" t="s">
        <v>111</v>
      </c>
      <c r="B2" s="106" t="s">
        <v>44</v>
      </c>
      <c r="C2" s="107" t="s">
        <v>45</v>
      </c>
      <c r="D2" s="107" t="s">
        <v>47</v>
      </c>
      <c r="E2" s="108" t="s">
        <v>46</v>
      </c>
      <c r="F2" s="106" t="s">
        <v>48</v>
      </c>
      <c r="G2" s="107" t="s">
        <v>49</v>
      </c>
      <c r="H2" s="107" t="s">
        <v>171</v>
      </c>
      <c r="I2" s="107" t="s">
        <v>493</v>
      </c>
      <c r="J2" s="107" t="s">
        <v>481</v>
      </c>
      <c r="K2" s="109" t="s">
        <v>482</v>
      </c>
      <c r="L2" s="109" t="s">
        <v>483</v>
      </c>
      <c r="M2" s="109" t="s">
        <v>484</v>
      </c>
      <c r="N2" s="109" t="s">
        <v>485</v>
      </c>
      <c r="O2" s="109" t="s">
        <v>486</v>
      </c>
      <c r="P2" s="109" t="s">
        <v>487</v>
      </c>
      <c r="Q2" s="109" t="s">
        <v>488</v>
      </c>
      <c r="R2" s="109" t="s">
        <v>489</v>
      </c>
      <c r="S2" s="109" t="s">
        <v>490</v>
      </c>
      <c r="T2" s="109" t="s">
        <v>491</v>
      </c>
      <c r="U2" s="109" t="s">
        <v>492</v>
      </c>
      <c r="V2" s="109" t="s">
        <v>178</v>
      </c>
      <c r="W2" s="110" t="s">
        <v>160</v>
      </c>
      <c r="X2" s="111" t="s">
        <v>198</v>
      </c>
      <c r="Y2" s="111" t="s">
        <v>197</v>
      </c>
      <c r="Z2" s="111" t="s">
        <v>252</v>
      </c>
      <c r="AA2" s="111" t="s">
        <v>282</v>
      </c>
      <c r="AB2" s="111" t="s">
        <v>315</v>
      </c>
      <c r="AC2" s="111" t="s">
        <v>316</v>
      </c>
      <c r="AD2" s="111" t="s">
        <v>359</v>
      </c>
      <c r="AE2" s="111" t="s">
        <v>360</v>
      </c>
      <c r="AF2" s="111" t="s">
        <v>362</v>
      </c>
      <c r="AG2" s="111" t="s">
        <v>361</v>
      </c>
      <c r="AJ2" s="112" t="s">
        <v>291</v>
      </c>
    </row>
    <row r="3" spans="1:39" s="23" customFormat="1" ht="17" customHeight="1">
      <c r="A3" s="113" t="s">
        <v>168</v>
      </c>
      <c r="B3" s="5">
        <v>19</v>
      </c>
      <c r="C3" s="3">
        <v>20</v>
      </c>
      <c r="D3" s="3">
        <f>SUM(D4:D7)</f>
        <v>21</v>
      </c>
      <c r="E3" s="6">
        <f>SUM(E4:E7)</f>
        <v>20</v>
      </c>
      <c r="F3" s="5">
        <v>418</v>
      </c>
      <c r="G3" s="3">
        <v>427</v>
      </c>
      <c r="H3" s="3"/>
      <c r="I3" s="3"/>
      <c r="J3" s="3">
        <f t="shared" ref="J3:T3" si="0">SUM(J4:J7)</f>
        <v>406</v>
      </c>
      <c r="K3" s="4">
        <f t="shared" si="0"/>
        <v>353</v>
      </c>
      <c r="L3" s="4">
        <f t="shared" si="0"/>
        <v>357</v>
      </c>
      <c r="M3" s="4">
        <f t="shared" si="0"/>
        <v>0</v>
      </c>
      <c r="N3" s="4">
        <f t="shared" si="0"/>
        <v>0</v>
      </c>
      <c r="O3" s="4">
        <f t="shared" si="0"/>
        <v>0</v>
      </c>
      <c r="P3" s="4">
        <f t="shared" si="0"/>
        <v>0</v>
      </c>
      <c r="Q3" s="4">
        <f t="shared" si="0"/>
        <v>0</v>
      </c>
      <c r="R3" s="4">
        <f t="shared" si="0"/>
        <v>0</v>
      </c>
      <c r="S3" s="4">
        <f t="shared" si="0"/>
        <v>0</v>
      </c>
      <c r="T3" s="4">
        <f t="shared" si="0"/>
        <v>0</v>
      </c>
      <c r="U3" s="4"/>
      <c r="V3" s="4"/>
      <c r="W3" s="38">
        <f>T3-J3</f>
        <v>-406</v>
      </c>
      <c r="X3" s="49">
        <f t="shared" ref="X3:X28" si="1">K3/J3</f>
        <v>0.86945812807881773</v>
      </c>
      <c r="Y3" s="49">
        <f>L3/J3</f>
        <v>0.87931034482758619</v>
      </c>
      <c r="Z3" s="49">
        <f>M3/J3</f>
        <v>0</v>
      </c>
      <c r="AA3" s="49">
        <f t="shared" ref="AA3:AG3" si="2">N3/$J3</f>
        <v>0</v>
      </c>
      <c r="AB3" s="49">
        <f t="shared" si="2"/>
        <v>0</v>
      </c>
      <c r="AC3" s="49">
        <f t="shared" si="2"/>
        <v>0</v>
      </c>
      <c r="AD3" s="49">
        <f t="shared" si="2"/>
        <v>0</v>
      </c>
      <c r="AE3" s="49">
        <f t="shared" si="2"/>
        <v>0</v>
      </c>
      <c r="AF3" s="49">
        <f t="shared" si="2"/>
        <v>0</v>
      </c>
      <c r="AG3" s="49">
        <f t="shared" si="2"/>
        <v>0</v>
      </c>
      <c r="AJ3" s="114">
        <f>P3-O3</f>
        <v>0</v>
      </c>
      <c r="AM3" s="44"/>
    </row>
    <row r="4" spans="1:39" ht="17" customHeight="1">
      <c r="A4" s="115" t="s">
        <v>50</v>
      </c>
      <c r="B4" s="7">
        <v>3</v>
      </c>
      <c r="C4" s="7">
        <v>4</v>
      </c>
      <c r="D4" s="7">
        <v>4</v>
      </c>
      <c r="E4" s="8">
        <v>4</v>
      </c>
      <c r="F4" s="7">
        <v>47</v>
      </c>
      <c r="G4" s="7">
        <v>64</v>
      </c>
      <c r="H4" s="7"/>
      <c r="I4" s="7"/>
      <c r="J4" s="7">
        <f>24+80</f>
        <v>104</v>
      </c>
      <c r="K4" s="8">
        <f>14+75</f>
        <v>89</v>
      </c>
      <c r="L4" s="8">
        <f>15+75</f>
        <v>90</v>
      </c>
      <c r="M4" s="8"/>
      <c r="N4" s="27"/>
      <c r="O4" s="27"/>
      <c r="P4" s="27"/>
      <c r="Q4" s="27"/>
      <c r="R4" s="27"/>
      <c r="S4" s="27"/>
      <c r="T4" s="27"/>
      <c r="U4" s="27"/>
      <c r="V4" s="27"/>
      <c r="W4" s="39">
        <f t="shared" ref="W4:W28" si="3">T4-J4</f>
        <v>-104</v>
      </c>
      <c r="X4" s="50">
        <f t="shared" si="1"/>
        <v>0.85576923076923073</v>
      </c>
      <c r="Y4" s="50">
        <f t="shared" ref="Y4:Y28" si="4">L4/J4</f>
        <v>0.86538461538461542</v>
      </c>
      <c r="Z4" s="50">
        <f t="shared" ref="Z4:Z28" si="5">M4/J4</f>
        <v>0</v>
      </c>
      <c r="AA4" s="50">
        <f t="shared" ref="AA4:AE27" si="6">N4/$J4</f>
        <v>0</v>
      </c>
      <c r="AB4" s="50">
        <f t="shared" si="6"/>
        <v>0</v>
      </c>
      <c r="AC4" s="50">
        <f t="shared" si="6"/>
        <v>0</v>
      </c>
      <c r="AD4" s="50">
        <f t="shared" si="6"/>
        <v>0</v>
      </c>
      <c r="AE4" s="50">
        <f t="shared" si="6"/>
        <v>0</v>
      </c>
      <c r="AF4" s="50">
        <f t="shared" ref="AF4:AG8" si="7">S4/$J4</f>
        <v>0</v>
      </c>
      <c r="AG4" s="50">
        <f t="shared" si="7"/>
        <v>0</v>
      </c>
      <c r="AJ4" s="116">
        <f>R4-Q4</f>
        <v>0</v>
      </c>
      <c r="AM4" s="44"/>
    </row>
    <row r="5" spans="1:39" ht="17" customHeight="1">
      <c r="A5" s="117" t="s">
        <v>51</v>
      </c>
      <c r="B5" s="9">
        <v>5</v>
      </c>
      <c r="C5" s="9">
        <v>5</v>
      </c>
      <c r="D5" s="9">
        <v>6</v>
      </c>
      <c r="E5" s="10">
        <v>5</v>
      </c>
      <c r="F5" s="9">
        <v>99</v>
      </c>
      <c r="G5" s="9">
        <v>100</v>
      </c>
      <c r="H5" s="9"/>
      <c r="I5" s="9"/>
      <c r="J5" s="9">
        <v>100</v>
      </c>
      <c r="K5" s="10">
        <v>77</v>
      </c>
      <c r="L5" s="10">
        <v>80</v>
      </c>
      <c r="M5" s="10"/>
      <c r="N5" s="28"/>
      <c r="O5" s="28"/>
      <c r="P5" s="28"/>
      <c r="Q5" s="28"/>
      <c r="R5" s="28"/>
      <c r="S5" s="28"/>
      <c r="T5" s="28"/>
      <c r="U5" s="28"/>
      <c r="V5" s="28"/>
      <c r="W5" s="40">
        <f t="shared" si="3"/>
        <v>-100</v>
      </c>
      <c r="X5" s="51">
        <f t="shared" si="1"/>
        <v>0.77</v>
      </c>
      <c r="Y5" s="51">
        <f t="shared" si="4"/>
        <v>0.8</v>
      </c>
      <c r="Z5" s="51">
        <f t="shared" si="5"/>
        <v>0</v>
      </c>
      <c r="AA5" s="51">
        <f t="shared" si="6"/>
        <v>0</v>
      </c>
      <c r="AB5" s="51">
        <f t="shared" si="6"/>
        <v>0</v>
      </c>
      <c r="AC5" s="51">
        <f t="shared" si="6"/>
        <v>0</v>
      </c>
      <c r="AD5" s="51">
        <f t="shared" si="6"/>
        <v>0</v>
      </c>
      <c r="AE5" s="51">
        <f t="shared" si="6"/>
        <v>0</v>
      </c>
      <c r="AF5" s="51">
        <f t="shared" si="7"/>
        <v>0</v>
      </c>
      <c r="AG5" s="51">
        <f t="shared" si="7"/>
        <v>0</v>
      </c>
      <c r="AJ5" s="118">
        <f>R5-Q5</f>
        <v>0</v>
      </c>
      <c r="AM5" s="44"/>
    </row>
    <row r="6" spans="1:39" ht="17" customHeight="1">
      <c r="A6" s="117" t="s">
        <v>52</v>
      </c>
      <c r="B6" s="9">
        <v>5</v>
      </c>
      <c r="C6" s="9">
        <v>6</v>
      </c>
      <c r="D6" s="9">
        <v>5</v>
      </c>
      <c r="E6" s="10">
        <v>5</v>
      </c>
      <c r="F6" s="9">
        <v>120</v>
      </c>
      <c r="G6" s="9">
        <v>131</v>
      </c>
      <c r="H6" s="9"/>
      <c r="I6" s="9"/>
      <c r="J6" s="9">
        <v>72</v>
      </c>
      <c r="K6" s="10">
        <v>67</v>
      </c>
      <c r="L6" s="10">
        <v>67</v>
      </c>
      <c r="M6" s="10"/>
      <c r="N6" s="28"/>
      <c r="O6" s="28"/>
      <c r="P6" s="28"/>
      <c r="Q6" s="28"/>
      <c r="R6" s="28"/>
      <c r="S6" s="28"/>
      <c r="T6" s="28"/>
      <c r="U6" s="28"/>
      <c r="V6" s="28"/>
      <c r="W6" s="40">
        <f t="shared" si="3"/>
        <v>-72</v>
      </c>
      <c r="X6" s="51">
        <f t="shared" si="1"/>
        <v>0.93055555555555558</v>
      </c>
      <c r="Y6" s="51">
        <f t="shared" si="4"/>
        <v>0.93055555555555558</v>
      </c>
      <c r="Z6" s="51">
        <f t="shared" si="5"/>
        <v>0</v>
      </c>
      <c r="AA6" s="51">
        <f t="shared" si="6"/>
        <v>0</v>
      </c>
      <c r="AB6" s="51">
        <f t="shared" si="6"/>
        <v>0</v>
      </c>
      <c r="AC6" s="51">
        <f t="shared" si="6"/>
        <v>0</v>
      </c>
      <c r="AD6" s="51">
        <f t="shared" si="6"/>
        <v>0</v>
      </c>
      <c r="AE6" s="51">
        <f t="shared" si="6"/>
        <v>0</v>
      </c>
      <c r="AF6" s="51">
        <f t="shared" si="7"/>
        <v>0</v>
      </c>
      <c r="AG6" s="51">
        <f t="shared" si="7"/>
        <v>0</v>
      </c>
      <c r="AJ6" s="118">
        <f>R6-Q6</f>
        <v>0</v>
      </c>
      <c r="AM6" s="44"/>
    </row>
    <row r="7" spans="1:39" ht="17" customHeight="1">
      <c r="A7" s="119" t="s">
        <v>53</v>
      </c>
      <c r="B7" s="11">
        <v>6</v>
      </c>
      <c r="C7" s="11">
        <v>5</v>
      </c>
      <c r="D7" s="11">
        <v>6</v>
      </c>
      <c r="E7" s="12">
        <v>6</v>
      </c>
      <c r="F7" s="11">
        <v>152</v>
      </c>
      <c r="G7" s="11">
        <v>132</v>
      </c>
      <c r="H7" s="11"/>
      <c r="I7" s="11"/>
      <c r="J7" s="11">
        <v>130</v>
      </c>
      <c r="K7" s="12">
        <v>120</v>
      </c>
      <c r="L7" s="12">
        <v>120</v>
      </c>
      <c r="M7" s="12"/>
      <c r="N7" s="29"/>
      <c r="O7" s="29"/>
      <c r="P7" s="29"/>
      <c r="Q7" s="29"/>
      <c r="R7" s="29"/>
      <c r="S7" s="29"/>
      <c r="T7" s="29"/>
      <c r="U7" s="29"/>
      <c r="V7" s="29"/>
      <c r="W7" s="41">
        <f t="shared" si="3"/>
        <v>-130</v>
      </c>
      <c r="X7" s="52">
        <f t="shared" si="1"/>
        <v>0.92307692307692313</v>
      </c>
      <c r="Y7" s="52">
        <f t="shared" si="4"/>
        <v>0.92307692307692313</v>
      </c>
      <c r="Z7" s="52">
        <f t="shared" si="5"/>
        <v>0</v>
      </c>
      <c r="AA7" s="52">
        <f t="shared" si="6"/>
        <v>0</v>
      </c>
      <c r="AB7" s="52">
        <f t="shared" si="6"/>
        <v>0</v>
      </c>
      <c r="AC7" s="52">
        <f t="shared" si="6"/>
        <v>0</v>
      </c>
      <c r="AD7" s="52">
        <f t="shared" si="6"/>
        <v>0</v>
      </c>
      <c r="AE7" s="52">
        <f t="shared" si="6"/>
        <v>0</v>
      </c>
      <c r="AF7" s="52">
        <f t="shared" si="7"/>
        <v>0</v>
      </c>
      <c r="AG7" s="52">
        <f t="shared" si="7"/>
        <v>0</v>
      </c>
      <c r="AJ7" s="120">
        <f>R7-Q7</f>
        <v>0</v>
      </c>
      <c r="AM7" s="45"/>
    </row>
    <row r="8" spans="1:39" s="18" customFormat="1" ht="19.5" customHeight="1">
      <c r="A8" s="113" t="s">
        <v>169</v>
      </c>
      <c r="B8" s="5">
        <v>9</v>
      </c>
      <c r="C8" s="3">
        <v>9</v>
      </c>
      <c r="D8" s="3">
        <f>SUM(D9:D12)</f>
        <v>9</v>
      </c>
      <c r="E8" s="6">
        <f>SUM(E9:E12)</f>
        <v>9</v>
      </c>
      <c r="F8" s="5">
        <v>176</v>
      </c>
      <c r="G8" s="3">
        <v>159</v>
      </c>
      <c r="H8" s="3"/>
      <c r="I8" s="3"/>
      <c r="J8" s="3">
        <f t="shared" ref="J8:T8" si="8">SUM(J9:J12)</f>
        <v>166</v>
      </c>
      <c r="K8" s="4">
        <f t="shared" si="8"/>
        <v>123</v>
      </c>
      <c r="L8" s="4">
        <f t="shared" si="8"/>
        <v>129</v>
      </c>
      <c r="M8" s="4">
        <f t="shared" si="8"/>
        <v>0</v>
      </c>
      <c r="N8" s="4">
        <f t="shared" si="8"/>
        <v>0</v>
      </c>
      <c r="O8" s="4">
        <f t="shared" si="8"/>
        <v>0</v>
      </c>
      <c r="P8" s="4">
        <f t="shared" si="8"/>
        <v>0</v>
      </c>
      <c r="Q8" s="4">
        <f t="shared" si="8"/>
        <v>0</v>
      </c>
      <c r="R8" s="4">
        <f t="shared" si="8"/>
        <v>0</v>
      </c>
      <c r="S8" s="4">
        <f t="shared" si="8"/>
        <v>0</v>
      </c>
      <c r="T8" s="4">
        <f t="shared" si="8"/>
        <v>0</v>
      </c>
      <c r="U8" s="4"/>
      <c r="V8" s="4"/>
      <c r="W8" s="38">
        <f t="shared" si="3"/>
        <v>-166</v>
      </c>
      <c r="X8" s="49">
        <f t="shared" si="1"/>
        <v>0.74096385542168675</v>
      </c>
      <c r="Y8" s="49">
        <f t="shared" si="4"/>
        <v>0.77710843373493976</v>
      </c>
      <c r="Z8" s="49">
        <f t="shared" si="5"/>
        <v>0</v>
      </c>
      <c r="AA8" s="49">
        <f t="shared" si="6"/>
        <v>0</v>
      </c>
      <c r="AB8" s="49">
        <f t="shared" si="6"/>
        <v>0</v>
      </c>
      <c r="AC8" s="49">
        <f>P8/$J8</f>
        <v>0</v>
      </c>
      <c r="AD8" s="49">
        <f>Q8/$J8</f>
        <v>0</v>
      </c>
      <c r="AE8" s="49">
        <f>R8/$J8</f>
        <v>0</v>
      </c>
      <c r="AF8" s="49">
        <f t="shared" si="7"/>
        <v>0</v>
      </c>
      <c r="AG8" s="49">
        <f t="shared" si="7"/>
        <v>0</v>
      </c>
      <c r="AJ8" s="114">
        <f>P8-O8</f>
        <v>0</v>
      </c>
    </row>
    <row r="9" spans="1:39" ht="19.5" customHeight="1">
      <c r="A9" s="115" t="s">
        <v>50</v>
      </c>
      <c r="B9" s="7">
        <v>3</v>
      </c>
      <c r="C9" s="7">
        <v>2</v>
      </c>
      <c r="D9" s="7">
        <v>2</v>
      </c>
      <c r="E9" s="8">
        <v>2</v>
      </c>
      <c r="F9" s="7">
        <v>36</v>
      </c>
      <c r="G9" s="7">
        <v>35</v>
      </c>
      <c r="H9" s="7"/>
      <c r="I9" s="7"/>
      <c r="J9" s="7">
        <v>76</v>
      </c>
      <c r="K9" s="8">
        <v>48</v>
      </c>
      <c r="L9" s="8">
        <f>5+46</f>
        <v>51</v>
      </c>
      <c r="M9" s="8"/>
      <c r="N9" s="27"/>
      <c r="O9" s="27"/>
      <c r="P9" s="27"/>
      <c r="Q9" s="27"/>
      <c r="R9" s="27"/>
      <c r="S9" s="27"/>
      <c r="T9" s="27"/>
      <c r="U9" s="27"/>
      <c r="V9" s="27"/>
      <c r="W9" s="39">
        <f t="shared" si="3"/>
        <v>-76</v>
      </c>
      <c r="X9" s="50">
        <f t="shared" si="1"/>
        <v>0.63157894736842102</v>
      </c>
      <c r="Y9" s="50">
        <f t="shared" si="4"/>
        <v>0.67105263157894735</v>
      </c>
      <c r="Z9" s="50">
        <f t="shared" si="5"/>
        <v>0</v>
      </c>
      <c r="AA9" s="50">
        <f t="shared" si="6"/>
        <v>0</v>
      </c>
      <c r="AB9" s="50">
        <f t="shared" si="6"/>
        <v>0</v>
      </c>
      <c r="AC9" s="50">
        <f t="shared" si="6"/>
        <v>0</v>
      </c>
      <c r="AD9" s="50">
        <f t="shared" si="6"/>
        <v>0</v>
      </c>
      <c r="AE9" s="50">
        <f t="shared" si="6"/>
        <v>0</v>
      </c>
      <c r="AF9" s="50">
        <f t="shared" ref="AF9:AF27" si="9">S9/$J9</f>
        <v>0</v>
      </c>
      <c r="AG9" s="50">
        <f t="shared" ref="AG9:AG27" si="10">T9/$J9</f>
        <v>0</v>
      </c>
      <c r="AJ9" s="116">
        <f>R9-Q9</f>
        <v>0</v>
      </c>
    </row>
    <row r="10" spans="1:39" ht="19.5" customHeight="1">
      <c r="A10" s="117" t="s">
        <v>51</v>
      </c>
      <c r="B10" s="9">
        <v>2</v>
      </c>
      <c r="C10" s="9">
        <v>2</v>
      </c>
      <c r="D10" s="9">
        <v>2</v>
      </c>
      <c r="E10" s="10">
        <v>2</v>
      </c>
      <c r="F10" s="9">
        <v>64</v>
      </c>
      <c r="G10" s="9">
        <v>40</v>
      </c>
      <c r="H10" s="9"/>
      <c r="I10" s="9"/>
      <c r="J10" s="9">
        <v>40</v>
      </c>
      <c r="K10" s="10">
        <v>33</v>
      </c>
      <c r="L10" s="10">
        <v>34</v>
      </c>
      <c r="M10" s="10"/>
      <c r="N10" s="28"/>
      <c r="O10" s="28"/>
      <c r="P10" s="28"/>
      <c r="Q10" s="28"/>
      <c r="R10" s="28"/>
      <c r="S10" s="28"/>
      <c r="T10" s="28"/>
      <c r="U10" s="28"/>
      <c r="V10" s="28"/>
      <c r="W10" s="40">
        <f t="shared" si="3"/>
        <v>-40</v>
      </c>
      <c r="X10" s="51">
        <f t="shared" si="1"/>
        <v>0.82499999999999996</v>
      </c>
      <c r="Y10" s="51">
        <f t="shared" si="4"/>
        <v>0.85</v>
      </c>
      <c r="Z10" s="51">
        <f t="shared" si="5"/>
        <v>0</v>
      </c>
      <c r="AA10" s="51">
        <f t="shared" si="6"/>
        <v>0</v>
      </c>
      <c r="AB10" s="51">
        <f t="shared" si="6"/>
        <v>0</v>
      </c>
      <c r="AC10" s="51">
        <f t="shared" si="6"/>
        <v>0</v>
      </c>
      <c r="AD10" s="51">
        <f t="shared" si="6"/>
        <v>0</v>
      </c>
      <c r="AE10" s="51">
        <f t="shared" si="6"/>
        <v>0</v>
      </c>
      <c r="AF10" s="51">
        <f t="shared" si="9"/>
        <v>0</v>
      </c>
      <c r="AG10" s="51">
        <f t="shared" si="10"/>
        <v>0</v>
      </c>
      <c r="AJ10" s="118">
        <f>R10-Q10</f>
        <v>0</v>
      </c>
    </row>
    <row r="11" spans="1:39" ht="19.5" customHeight="1">
      <c r="A11" s="117" t="s">
        <v>52</v>
      </c>
      <c r="B11" s="9">
        <v>2</v>
      </c>
      <c r="C11" s="9">
        <v>3</v>
      </c>
      <c r="D11" s="9">
        <v>3</v>
      </c>
      <c r="E11" s="10">
        <v>3</v>
      </c>
      <c r="F11" s="9">
        <v>38</v>
      </c>
      <c r="G11" s="9">
        <v>50</v>
      </c>
      <c r="H11" s="9"/>
      <c r="I11" s="9"/>
      <c r="J11" s="9">
        <v>24</v>
      </c>
      <c r="K11" s="10">
        <v>22</v>
      </c>
      <c r="L11" s="10">
        <v>23</v>
      </c>
      <c r="M11" s="10"/>
      <c r="N11" s="28"/>
      <c r="O11" s="28"/>
      <c r="P11" s="28"/>
      <c r="Q11" s="28"/>
      <c r="R11" s="28"/>
      <c r="S11" s="28"/>
      <c r="T11" s="28"/>
      <c r="U11" s="28"/>
      <c r="V11" s="28"/>
      <c r="W11" s="40">
        <f t="shared" si="3"/>
        <v>-24</v>
      </c>
      <c r="X11" s="51">
        <f t="shared" si="1"/>
        <v>0.91666666666666663</v>
      </c>
      <c r="Y11" s="51">
        <f t="shared" si="4"/>
        <v>0.95833333333333337</v>
      </c>
      <c r="Z11" s="51">
        <f t="shared" si="5"/>
        <v>0</v>
      </c>
      <c r="AA11" s="51">
        <f t="shared" si="6"/>
        <v>0</v>
      </c>
      <c r="AB11" s="51">
        <f t="shared" si="6"/>
        <v>0</v>
      </c>
      <c r="AC11" s="51">
        <f t="shared" si="6"/>
        <v>0</v>
      </c>
      <c r="AD11" s="51">
        <f t="shared" si="6"/>
        <v>0</v>
      </c>
      <c r="AE11" s="51">
        <f t="shared" si="6"/>
        <v>0</v>
      </c>
      <c r="AF11" s="51">
        <f t="shared" si="9"/>
        <v>0</v>
      </c>
      <c r="AG11" s="51">
        <f t="shared" si="10"/>
        <v>0</v>
      </c>
      <c r="AJ11" s="118">
        <f>R11-Q11</f>
        <v>0</v>
      </c>
    </row>
    <row r="12" spans="1:39" ht="19.5" customHeight="1">
      <c r="A12" s="119" t="s">
        <v>53</v>
      </c>
      <c r="B12" s="11">
        <v>2</v>
      </c>
      <c r="C12" s="11">
        <v>2</v>
      </c>
      <c r="D12" s="11">
        <v>2</v>
      </c>
      <c r="E12" s="12">
        <v>2</v>
      </c>
      <c r="F12" s="11">
        <v>38</v>
      </c>
      <c r="G12" s="11">
        <v>34</v>
      </c>
      <c r="H12" s="11"/>
      <c r="I12" s="11"/>
      <c r="J12" s="11">
        <v>26</v>
      </c>
      <c r="K12" s="12">
        <v>20</v>
      </c>
      <c r="L12" s="12">
        <v>21</v>
      </c>
      <c r="M12" s="12"/>
      <c r="N12" s="29"/>
      <c r="O12" s="29"/>
      <c r="P12" s="29"/>
      <c r="Q12" s="29"/>
      <c r="R12" s="29"/>
      <c r="S12" s="29"/>
      <c r="T12" s="29"/>
      <c r="U12" s="29"/>
      <c r="V12" s="29"/>
      <c r="W12" s="41">
        <f t="shared" si="3"/>
        <v>-26</v>
      </c>
      <c r="X12" s="52">
        <f t="shared" si="1"/>
        <v>0.76923076923076927</v>
      </c>
      <c r="Y12" s="52">
        <f t="shared" si="4"/>
        <v>0.80769230769230771</v>
      </c>
      <c r="Z12" s="52">
        <f t="shared" si="5"/>
        <v>0</v>
      </c>
      <c r="AA12" s="52">
        <f t="shared" si="6"/>
        <v>0</v>
      </c>
      <c r="AB12" s="52">
        <f t="shared" si="6"/>
        <v>0</v>
      </c>
      <c r="AC12" s="52">
        <f t="shared" si="6"/>
        <v>0</v>
      </c>
      <c r="AD12" s="52">
        <f t="shared" si="6"/>
        <v>0</v>
      </c>
      <c r="AE12" s="52">
        <f t="shared" si="6"/>
        <v>0</v>
      </c>
      <c r="AF12" s="52">
        <f t="shared" si="9"/>
        <v>0</v>
      </c>
      <c r="AG12" s="52">
        <f t="shared" si="10"/>
        <v>0</v>
      </c>
      <c r="AJ12" s="120">
        <f>R12-Q12</f>
        <v>0</v>
      </c>
    </row>
    <row r="13" spans="1:39" s="18" customFormat="1" ht="19.5" customHeight="1">
      <c r="A13" s="113" t="s">
        <v>15</v>
      </c>
      <c r="B13" s="5">
        <v>37</v>
      </c>
      <c r="C13" s="3">
        <v>39</v>
      </c>
      <c r="D13" s="3">
        <f>SUM(D14:D18)</f>
        <v>39</v>
      </c>
      <c r="E13" s="6">
        <f>SUM(E14:E18)</f>
        <v>38</v>
      </c>
      <c r="F13" s="5">
        <v>1006</v>
      </c>
      <c r="G13" s="3">
        <v>1017</v>
      </c>
      <c r="H13" s="3"/>
      <c r="I13" s="3"/>
      <c r="J13" s="3">
        <f t="shared" ref="J13:T13" si="11">SUM(J14:J18)</f>
        <v>980</v>
      </c>
      <c r="K13" s="4">
        <f t="shared" si="11"/>
        <v>897</v>
      </c>
      <c r="L13" s="4">
        <f t="shared" si="11"/>
        <v>897</v>
      </c>
      <c r="M13" s="4">
        <f t="shared" si="11"/>
        <v>0</v>
      </c>
      <c r="N13" s="4">
        <f t="shared" si="11"/>
        <v>0</v>
      </c>
      <c r="O13" s="4">
        <f t="shared" si="11"/>
        <v>0</v>
      </c>
      <c r="P13" s="4">
        <f t="shared" si="11"/>
        <v>0</v>
      </c>
      <c r="Q13" s="4">
        <f t="shared" si="11"/>
        <v>0</v>
      </c>
      <c r="R13" s="4">
        <f t="shared" si="11"/>
        <v>0</v>
      </c>
      <c r="S13" s="4">
        <f t="shared" si="11"/>
        <v>0</v>
      </c>
      <c r="T13" s="4">
        <f t="shared" si="11"/>
        <v>0</v>
      </c>
      <c r="U13" s="4"/>
      <c r="V13" s="4"/>
      <c r="W13" s="38">
        <f t="shared" si="3"/>
        <v>-980</v>
      </c>
      <c r="X13" s="49">
        <f t="shared" si="1"/>
        <v>0.91530612244897958</v>
      </c>
      <c r="Y13" s="49">
        <f t="shared" si="4"/>
        <v>0.91530612244897958</v>
      </c>
      <c r="Z13" s="49">
        <f t="shared" si="5"/>
        <v>0</v>
      </c>
      <c r="AA13" s="49">
        <f t="shared" si="6"/>
        <v>0</v>
      </c>
      <c r="AB13" s="49">
        <f t="shared" si="6"/>
        <v>0</v>
      </c>
      <c r="AC13" s="49">
        <f t="shared" si="6"/>
        <v>0</v>
      </c>
      <c r="AD13" s="49">
        <f t="shared" si="6"/>
        <v>0</v>
      </c>
      <c r="AE13" s="49">
        <f t="shared" si="6"/>
        <v>0</v>
      </c>
      <c r="AF13" s="49">
        <f t="shared" si="9"/>
        <v>0</v>
      </c>
      <c r="AG13" s="49">
        <f t="shared" si="10"/>
        <v>0</v>
      </c>
      <c r="AJ13" s="114">
        <f>P13-O13</f>
        <v>0</v>
      </c>
    </row>
    <row r="14" spans="1:39" ht="19.5" customHeight="1">
      <c r="A14" s="115" t="s">
        <v>54</v>
      </c>
      <c r="B14" s="7">
        <v>9</v>
      </c>
      <c r="C14" s="7">
        <v>9</v>
      </c>
      <c r="D14" s="7">
        <v>8</v>
      </c>
      <c r="E14" s="8">
        <v>7</v>
      </c>
      <c r="F14" s="7">
        <v>244</v>
      </c>
      <c r="G14" s="7">
        <v>228</v>
      </c>
      <c r="H14" s="7"/>
      <c r="I14" s="7"/>
      <c r="J14" s="7">
        <v>196</v>
      </c>
      <c r="K14" s="8">
        <v>170</v>
      </c>
      <c r="L14" s="8">
        <v>171</v>
      </c>
      <c r="M14" s="8"/>
      <c r="N14" s="27"/>
      <c r="O14" s="27"/>
      <c r="P14" s="27"/>
      <c r="Q14" s="27"/>
      <c r="R14" s="27"/>
      <c r="S14" s="27"/>
      <c r="T14" s="27"/>
      <c r="U14" s="27"/>
      <c r="V14" s="27"/>
      <c r="W14" s="39">
        <f t="shared" si="3"/>
        <v>-196</v>
      </c>
      <c r="X14" s="50">
        <f t="shared" si="1"/>
        <v>0.86734693877551017</v>
      </c>
      <c r="Y14" s="50">
        <f t="shared" si="4"/>
        <v>0.87244897959183676</v>
      </c>
      <c r="Z14" s="50">
        <f t="shared" si="5"/>
        <v>0</v>
      </c>
      <c r="AA14" s="50">
        <f t="shared" si="6"/>
        <v>0</v>
      </c>
      <c r="AB14" s="50">
        <f t="shared" si="6"/>
        <v>0</v>
      </c>
      <c r="AC14" s="50">
        <f t="shared" si="6"/>
        <v>0</v>
      </c>
      <c r="AD14" s="50">
        <f t="shared" si="6"/>
        <v>0</v>
      </c>
      <c r="AE14" s="50">
        <f t="shared" si="6"/>
        <v>0</v>
      </c>
      <c r="AF14" s="50">
        <f t="shared" si="9"/>
        <v>0</v>
      </c>
      <c r="AG14" s="50">
        <f t="shared" si="10"/>
        <v>0</v>
      </c>
      <c r="AJ14" s="116">
        <f>R14-Q14</f>
        <v>0</v>
      </c>
    </row>
    <row r="15" spans="1:39" ht="19.5" customHeight="1">
      <c r="A15" s="117" t="s">
        <v>55</v>
      </c>
      <c r="B15" s="9">
        <v>7</v>
      </c>
      <c r="C15" s="9">
        <v>9</v>
      </c>
      <c r="D15" s="9">
        <v>8</v>
      </c>
      <c r="E15" s="10">
        <v>8</v>
      </c>
      <c r="F15" s="9">
        <v>195</v>
      </c>
      <c r="G15" s="9">
        <v>231</v>
      </c>
      <c r="H15" s="9"/>
      <c r="I15" s="9"/>
      <c r="J15" s="9">
        <v>196</v>
      </c>
      <c r="K15" s="10">
        <v>170</v>
      </c>
      <c r="L15" s="10">
        <v>171</v>
      </c>
      <c r="M15" s="10"/>
      <c r="N15" s="28"/>
      <c r="O15" s="28"/>
      <c r="P15" s="28"/>
      <c r="Q15" s="28"/>
      <c r="R15" s="28"/>
      <c r="S15" s="28"/>
      <c r="T15" s="28"/>
      <c r="U15" s="28"/>
      <c r="V15" s="28"/>
      <c r="W15" s="40">
        <f t="shared" si="3"/>
        <v>-196</v>
      </c>
      <c r="X15" s="51">
        <f t="shared" si="1"/>
        <v>0.86734693877551017</v>
      </c>
      <c r="Y15" s="51">
        <f t="shared" si="4"/>
        <v>0.87244897959183676</v>
      </c>
      <c r="Z15" s="51">
        <f t="shared" si="5"/>
        <v>0</v>
      </c>
      <c r="AA15" s="51">
        <f t="shared" si="6"/>
        <v>0</v>
      </c>
      <c r="AB15" s="51">
        <f t="shared" si="6"/>
        <v>0</v>
      </c>
      <c r="AC15" s="51">
        <f t="shared" si="6"/>
        <v>0</v>
      </c>
      <c r="AD15" s="51">
        <f t="shared" si="6"/>
        <v>0</v>
      </c>
      <c r="AE15" s="51">
        <f t="shared" si="6"/>
        <v>0</v>
      </c>
      <c r="AF15" s="51">
        <f t="shared" si="9"/>
        <v>0</v>
      </c>
      <c r="AG15" s="51">
        <f t="shared" si="10"/>
        <v>0</v>
      </c>
      <c r="AJ15" s="118">
        <f>R15-Q15</f>
        <v>0</v>
      </c>
    </row>
    <row r="16" spans="1:39" ht="19.5" customHeight="1">
      <c r="A16" s="117" t="s">
        <v>56</v>
      </c>
      <c r="B16" s="9">
        <v>7</v>
      </c>
      <c r="C16" s="9">
        <v>7</v>
      </c>
      <c r="D16" s="9">
        <v>9</v>
      </c>
      <c r="E16" s="10">
        <v>9</v>
      </c>
      <c r="F16" s="9">
        <v>194</v>
      </c>
      <c r="G16" s="9">
        <v>192</v>
      </c>
      <c r="H16" s="9"/>
      <c r="I16" s="9"/>
      <c r="J16" s="9">
        <v>196</v>
      </c>
      <c r="K16" s="10">
        <v>172</v>
      </c>
      <c r="L16" s="10">
        <v>171</v>
      </c>
      <c r="M16" s="10"/>
      <c r="N16" s="28"/>
      <c r="O16" s="28"/>
      <c r="P16" s="28"/>
      <c r="Q16" s="28"/>
      <c r="R16" s="28"/>
      <c r="S16" s="28"/>
      <c r="T16" s="28"/>
      <c r="U16" s="28"/>
      <c r="V16" s="28"/>
      <c r="W16" s="40">
        <f t="shared" si="3"/>
        <v>-196</v>
      </c>
      <c r="X16" s="51">
        <f t="shared" si="1"/>
        <v>0.87755102040816324</v>
      </c>
      <c r="Y16" s="51">
        <f t="shared" si="4"/>
        <v>0.87244897959183676</v>
      </c>
      <c r="Z16" s="51">
        <f t="shared" si="5"/>
        <v>0</v>
      </c>
      <c r="AA16" s="51">
        <f t="shared" si="6"/>
        <v>0</v>
      </c>
      <c r="AB16" s="51">
        <f t="shared" si="6"/>
        <v>0</v>
      </c>
      <c r="AC16" s="51">
        <f t="shared" si="6"/>
        <v>0</v>
      </c>
      <c r="AD16" s="51">
        <f t="shared" si="6"/>
        <v>0</v>
      </c>
      <c r="AE16" s="51">
        <f t="shared" si="6"/>
        <v>0</v>
      </c>
      <c r="AF16" s="51">
        <f t="shared" si="9"/>
        <v>0</v>
      </c>
      <c r="AG16" s="51">
        <f t="shared" si="10"/>
        <v>0</v>
      </c>
      <c r="AJ16" s="118">
        <f>R16-Q16</f>
        <v>0</v>
      </c>
    </row>
    <row r="17" spans="1:50" ht="19.5" customHeight="1">
      <c r="A17" s="117" t="s">
        <v>57</v>
      </c>
      <c r="B17" s="9">
        <v>7</v>
      </c>
      <c r="C17" s="9">
        <v>7</v>
      </c>
      <c r="D17" s="9">
        <v>7</v>
      </c>
      <c r="E17" s="10">
        <v>7</v>
      </c>
      <c r="F17" s="9">
        <v>177</v>
      </c>
      <c r="G17" s="9">
        <v>191</v>
      </c>
      <c r="H17" s="9"/>
      <c r="I17" s="9"/>
      <c r="J17" s="9">
        <v>196</v>
      </c>
      <c r="K17" s="10">
        <v>192</v>
      </c>
      <c r="L17" s="10">
        <v>192</v>
      </c>
      <c r="M17" s="10"/>
      <c r="N17" s="28"/>
      <c r="O17" s="28"/>
      <c r="P17" s="28"/>
      <c r="Q17" s="28"/>
      <c r="R17" s="28"/>
      <c r="S17" s="28"/>
      <c r="T17" s="28"/>
      <c r="U17" s="28"/>
      <c r="V17" s="28"/>
      <c r="W17" s="40">
        <f t="shared" si="3"/>
        <v>-196</v>
      </c>
      <c r="X17" s="51">
        <f t="shared" si="1"/>
        <v>0.97959183673469385</v>
      </c>
      <c r="Y17" s="51">
        <f t="shared" si="4"/>
        <v>0.97959183673469385</v>
      </c>
      <c r="Z17" s="51">
        <f t="shared" si="5"/>
        <v>0</v>
      </c>
      <c r="AA17" s="51">
        <f t="shared" si="6"/>
        <v>0</v>
      </c>
      <c r="AB17" s="51">
        <f t="shared" si="6"/>
        <v>0</v>
      </c>
      <c r="AC17" s="51">
        <f t="shared" si="6"/>
        <v>0</v>
      </c>
      <c r="AD17" s="51">
        <f t="shared" si="6"/>
        <v>0</v>
      </c>
      <c r="AE17" s="51">
        <f t="shared" si="6"/>
        <v>0</v>
      </c>
      <c r="AF17" s="51">
        <f t="shared" si="9"/>
        <v>0</v>
      </c>
      <c r="AG17" s="51">
        <f t="shared" si="10"/>
        <v>0</v>
      </c>
      <c r="AJ17" s="118">
        <f>R17-Q17</f>
        <v>0</v>
      </c>
    </row>
    <row r="18" spans="1:50" ht="19.5" customHeight="1">
      <c r="A18" s="119" t="s">
        <v>58</v>
      </c>
      <c r="B18" s="11">
        <v>7</v>
      </c>
      <c r="C18" s="11">
        <v>7</v>
      </c>
      <c r="D18" s="11">
        <v>7</v>
      </c>
      <c r="E18" s="12">
        <v>7</v>
      </c>
      <c r="F18" s="11">
        <v>196</v>
      </c>
      <c r="G18" s="11">
        <v>175</v>
      </c>
      <c r="H18" s="11"/>
      <c r="I18" s="11"/>
      <c r="J18" s="11">
        <v>196</v>
      </c>
      <c r="K18" s="12">
        <v>193</v>
      </c>
      <c r="L18" s="12">
        <v>192</v>
      </c>
      <c r="M18" s="12"/>
      <c r="N18" s="29"/>
      <c r="O18" s="29"/>
      <c r="P18" s="29"/>
      <c r="Q18" s="29"/>
      <c r="R18" s="29"/>
      <c r="S18" s="29"/>
      <c r="T18" s="29"/>
      <c r="U18" s="29"/>
      <c r="V18" s="29"/>
      <c r="W18" s="41">
        <f t="shared" si="3"/>
        <v>-196</v>
      </c>
      <c r="X18" s="52">
        <f t="shared" si="1"/>
        <v>0.98469387755102045</v>
      </c>
      <c r="Y18" s="52">
        <f t="shared" si="4"/>
        <v>0.97959183673469385</v>
      </c>
      <c r="Z18" s="52">
        <f t="shared" si="5"/>
        <v>0</v>
      </c>
      <c r="AA18" s="52">
        <f t="shared" si="6"/>
        <v>0</v>
      </c>
      <c r="AB18" s="52">
        <f t="shared" si="6"/>
        <v>0</v>
      </c>
      <c r="AC18" s="52">
        <f t="shared" si="6"/>
        <v>0</v>
      </c>
      <c r="AD18" s="52">
        <f t="shared" si="6"/>
        <v>0</v>
      </c>
      <c r="AE18" s="52">
        <f t="shared" si="6"/>
        <v>0</v>
      </c>
      <c r="AF18" s="52">
        <f t="shared" si="9"/>
        <v>0</v>
      </c>
      <c r="AG18" s="52">
        <f t="shared" si="10"/>
        <v>0</v>
      </c>
      <c r="AJ18" s="120">
        <f>R18-Q18</f>
        <v>0</v>
      </c>
    </row>
    <row r="19" spans="1:50" s="18" customFormat="1" ht="19.5" customHeight="1">
      <c r="A19" s="113" t="s">
        <v>16</v>
      </c>
      <c r="B19" s="5">
        <v>28</v>
      </c>
      <c r="C19" s="3">
        <v>27</v>
      </c>
      <c r="D19" s="3">
        <f>SUM(D20:D23)</f>
        <v>29</v>
      </c>
      <c r="E19" s="6">
        <f>SUM(E20:E23)</f>
        <v>28</v>
      </c>
      <c r="F19" s="5">
        <v>719</v>
      </c>
      <c r="G19" s="3">
        <v>757</v>
      </c>
      <c r="H19" s="3"/>
      <c r="I19" s="3"/>
      <c r="J19" s="3">
        <f t="shared" ref="J19:T19" si="12">SUM(J20:J23)</f>
        <v>841</v>
      </c>
      <c r="K19" s="4">
        <f t="shared" si="12"/>
        <v>799</v>
      </c>
      <c r="L19" s="4">
        <f t="shared" si="12"/>
        <v>799</v>
      </c>
      <c r="M19" s="4">
        <f t="shared" si="12"/>
        <v>0</v>
      </c>
      <c r="N19" s="4">
        <f t="shared" si="12"/>
        <v>0</v>
      </c>
      <c r="O19" s="4">
        <f t="shared" si="12"/>
        <v>0</v>
      </c>
      <c r="P19" s="4">
        <f t="shared" si="12"/>
        <v>0</v>
      </c>
      <c r="Q19" s="4">
        <f t="shared" si="12"/>
        <v>0</v>
      </c>
      <c r="R19" s="4">
        <f t="shared" si="12"/>
        <v>0</v>
      </c>
      <c r="S19" s="4">
        <f t="shared" si="12"/>
        <v>0</v>
      </c>
      <c r="T19" s="4">
        <f t="shared" si="12"/>
        <v>0</v>
      </c>
      <c r="U19" s="4"/>
      <c r="V19" s="4"/>
      <c r="W19" s="38">
        <f t="shared" si="3"/>
        <v>-841</v>
      </c>
      <c r="X19" s="49">
        <f t="shared" si="1"/>
        <v>0.95005945303210459</v>
      </c>
      <c r="Y19" s="49">
        <f t="shared" si="4"/>
        <v>0.95005945303210459</v>
      </c>
      <c r="Z19" s="49">
        <f t="shared" si="5"/>
        <v>0</v>
      </c>
      <c r="AA19" s="49">
        <f t="shared" si="6"/>
        <v>0</v>
      </c>
      <c r="AB19" s="49">
        <f t="shared" si="6"/>
        <v>0</v>
      </c>
      <c r="AC19" s="49">
        <f t="shared" si="6"/>
        <v>0</v>
      </c>
      <c r="AD19" s="49">
        <f t="shared" si="6"/>
        <v>0</v>
      </c>
      <c r="AE19" s="49">
        <f t="shared" si="6"/>
        <v>0</v>
      </c>
      <c r="AF19" s="49">
        <f t="shared" si="9"/>
        <v>0</v>
      </c>
      <c r="AG19" s="49">
        <f t="shared" si="10"/>
        <v>0</v>
      </c>
      <c r="AJ19" s="114">
        <f>P19-O19</f>
        <v>0</v>
      </c>
    </row>
    <row r="20" spans="1:50" ht="19.5" customHeight="1">
      <c r="A20" s="115" t="s">
        <v>59</v>
      </c>
      <c r="B20" s="7">
        <v>7</v>
      </c>
      <c r="C20" s="7">
        <v>8</v>
      </c>
      <c r="D20" s="7">
        <v>8</v>
      </c>
      <c r="E20" s="8">
        <v>7</v>
      </c>
      <c r="F20" s="7">
        <v>196</v>
      </c>
      <c r="G20" s="7">
        <v>227</v>
      </c>
      <c r="H20" s="7"/>
      <c r="I20" s="7"/>
      <c r="J20" s="7">
        <v>232</v>
      </c>
      <c r="K20" s="8">
        <v>216</v>
      </c>
      <c r="L20" s="8">
        <v>217</v>
      </c>
      <c r="M20" s="8"/>
      <c r="N20" s="27"/>
      <c r="O20" s="27"/>
      <c r="P20" s="27"/>
      <c r="Q20" s="27"/>
      <c r="R20" s="27"/>
      <c r="S20" s="27"/>
      <c r="T20" s="27"/>
      <c r="U20" s="27"/>
      <c r="V20" s="27"/>
      <c r="W20" s="39">
        <f t="shared" si="3"/>
        <v>-232</v>
      </c>
      <c r="X20" s="50">
        <f t="shared" si="1"/>
        <v>0.93103448275862066</v>
      </c>
      <c r="Y20" s="50">
        <f t="shared" si="4"/>
        <v>0.93534482758620685</v>
      </c>
      <c r="Z20" s="50">
        <f t="shared" si="5"/>
        <v>0</v>
      </c>
      <c r="AA20" s="50">
        <f t="shared" si="6"/>
        <v>0</v>
      </c>
      <c r="AB20" s="50">
        <f t="shared" si="6"/>
        <v>0</v>
      </c>
      <c r="AC20" s="50">
        <f t="shared" si="6"/>
        <v>0</v>
      </c>
      <c r="AD20" s="50">
        <f t="shared" si="6"/>
        <v>0</v>
      </c>
      <c r="AE20" s="50">
        <f t="shared" si="6"/>
        <v>0</v>
      </c>
      <c r="AF20" s="50">
        <f t="shared" si="9"/>
        <v>0</v>
      </c>
      <c r="AG20" s="50">
        <f t="shared" si="10"/>
        <v>0</v>
      </c>
      <c r="AJ20" s="116">
        <f>R20-Q20</f>
        <v>0</v>
      </c>
    </row>
    <row r="21" spans="1:50" ht="19.5" customHeight="1">
      <c r="A21" s="117" t="s">
        <v>60</v>
      </c>
      <c r="B21" s="9">
        <v>7</v>
      </c>
      <c r="C21" s="9">
        <v>7</v>
      </c>
      <c r="D21" s="9">
        <v>8</v>
      </c>
      <c r="E21" s="10">
        <v>8</v>
      </c>
      <c r="F21" s="9">
        <v>170</v>
      </c>
      <c r="G21" s="9">
        <v>197</v>
      </c>
      <c r="H21" s="9"/>
      <c r="I21" s="9"/>
      <c r="J21" s="9">
        <v>232</v>
      </c>
      <c r="K21" s="10">
        <v>209</v>
      </c>
      <c r="L21" s="10">
        <v>208</v>
      </c>
      <c r="M21" s="10"/>
      <c r="N21" s="28"/>
      <c r="O21" s="28"/>
      <c r="P21" s="28"/>
      <c r="Q21" s="28"/>
      <c r="R21" s="28"/>
      <c r="S21" s="28"/>
      <c r="T21" s="28"/>
      <c r="U21" s="28"/>
      <c r="V21" s="28"/>
      <c r="W21" s="40">
        <f t="shared" si="3"/>
        <v>-232</v>
      </c>
      <c r="X21" s="51">
        <f t="shared" si="1"/>
        <v>0.90086206896551724</v>
      </c>
      <c r="Y21" s="51">
        <f t="shared" si="4"/>
        <v>0.89655172413793105</v>
      </c>
      <c r="Z21" s="51">
        <f t="shared" si="5"/>
        <v>0</v>
      </c>
      <c r="AA21" s="51">
        <f t="shared" si="6"/>
        <v>0</v>
      </c>
      <c r="AB21" s="51">
        <f t="shared" si="6"/>
        <v>0</v>
      </c>
      <c r="AC21" s="51">
        <f t="shared" si="6"/>
        <v>0</v>
      </c>
      <c r="AD21" s="51">
        <f t="shared" si="6"/>
        <v>0</v>
      </c>
      <c r="AE21" s="51">
        <f t="shared" si="6"/>
        <v>0</v>
      </c>
      <c r="AF21" s="51">
        <f t="shared" si="9"/>
        <v>0</v>
      </c>
      <c r="AG21" s="51">
        <f t="shared" si="10"/>
        <v>0</v>
      </c>
      <c r="AJ21" s="118">
        <f>R21-Q21</f>
        <v>0</v>
      </c>
    </row>
    <row r="22" spans="1:50" ht="19.5" customHeight="1">
      <c r="A22" s="117" t="s">
        <v>61</v>
      </c>
      <c r="B22" s="9">
        <v>7</v>
      </c>
      <c r="C22" s="9">
        <v>6</v>
      </c>
      <c r="D22" s="9">
        <v>7</v>
      </c>
      <c r="E22" s="10">
        <v>7</v>
      </c>
      <c r="F22" s="9">
        <v>178</v>
      </c>
      <c r="G22" s="9">
        <v>155</v>
      </c>
      <c r="H22" s="9"/>
      <c r="I22" s="9"/>
      <c r="J22" s="9">
        <v>174</v>
      </c>
      <c r="K22" s="10">
        <v>167</v>
      </c>
      <c r="L22" s="10">
        <v>167</v>
      </c>
      <c r="M22" s="10"/>
      <c r="N22" s="28"/>
      <c r="O22" s="28"/>
      <c r="P22" s="28"/>
      <c r="Q22" s="28"/>
      <c r="R22" s="28"/>
      <c r="S22" s="28"/>
      <c r="T22" s="28"/>
      <c r="U22" s="28"/>
      <c r="V22" s="28"/>
      <c r="W22" s="40">
        <f t="shared" si="3"/>
        <v>-174</v>
      </c>
      <c r="X22" s="51">
        <f t="shared" si="1"/>
        <v>0.95977011494252873</v>
      </c>
      <c r="Y22" s="51">
        <f t="shared" si="4"/>
        <v>0.95977011494252873</v>
      </c>
      <c r="Z22" s="51">
        <f t="shared" si="5"/>
        <v>0</v>
      </c>
      <c r="AA22" s="51">
        <f t="shared" si="6"/>
        <v>0</v>
      </c>
      <c r="AB22" s="51">
        <f t="shared" si="6"/>
        <v>0</v>
      </c>
      <c r="AC22" s="51">
        <f t="shared" si="6"/>
        <v>0</v>
      </c>
      <c r="AD22" s="51">
        <f t="shared" si="6"/>
        <v>0</v>
      </c>
      <c r="AE22" s="51">
        <f t="shared" si="6"/>
        <v>0</v>
      </c>
      <c r="AF22" s="51">
        <f t="shared" si="9"/>
        <v>0</v>
      </c>
      <c r="AG22" s="51">
        <f t="shared" si="10"/>
        <v>0</v>
      </c>
      <c r="AJ22" s="118">
        <f>R22-Q22</f>
        <v>0</v>
      </c>
    </row>
    <row r="23" spans="1:50" ht="19.5" customHeight="1">
      <c r="A23" s="119" t="s">
        <v>62</v>
      </c>
      <c r="B23" s="11">
        <v>7</v>
      </c>
      <c r="C23" s="11">
        <v>6</v>
      </c>
      <c r="D23" s="11">
        <v>6</v>
      </c>
      <c r="E23" s="12">
        <v>6</v>
      </c>
      <c r="F23" s="11">
        <v>175</v>
      </c>
      <c r="G23" s="11">
        <v>178</v>
      </c>
      <c r="H23" s="11"/>
      <c r="I23" s="11"/>
      <c r="J23" s="11">
        <v>203</v>
      </c>
      <c r="K23" s="12">
        <v>207</v>
      </c>
      <c r="L23" s="12">
        <v>207</v>
      </c>
      <c r="M23" s="12"/>
      <c r="N23" s="29"/>
      <c r="O23" s="29"/>
      <c r="P23" s="29"/>
      <c r="Q23" s="29"/>
      <c r="R23" s="29"/>
      <c r="S23" s="29"/>
      <c r="T23" s="29"/>
      <c r="U23" s="29"/>
      <c r="V23" s="29"/>
      <c r="W23" s="41">
        <f t="shared" si="3"/>
        <v>-203</v>
      </c>
      <c r="X23" s="52">
        <f t="shared" si="1"/>
        <v>1.0197044334975369</v>
      </c>
      <c r="Y23" s="52">
        <f t="shared" si="4"/>
        <v>1.0197044334975369</v>
      </c>
      <c r="Z23" s="52">
        <f t="shared" si="5"/>
        <v>0</v>
      </c>
      <c r="AA23" s="52">
        <f t="shared" si="6"/>
        <v>0</v>
      </c>
      <c r="AB23" s="52">
        <f t="shared" si="6"/>
        <v>0</v>
      </c>
      <c r="AC23" s="52">
        <f t="shared" si="6"/>
        <v>0</v>
      </c>
      <c r="AD23" s="52">
        <f t="shared" si="6"/>
        <v>0</v>
      </c>
      <c r="AE23" s="52">
        <f t="shared" si="6"/>
        <v>0</v>
      </c>
      <c r="AF23" s="52">
        <f t="shared" si="9"/>
        <v>0</v>
      </c>
      <c r="AG23" s="52">
        <f t="shared" si="10"/>
        <v>0</v>
      </c>
      <c r="AJ23" s="120">
        <f>R23-Q23</f>
        <v>0</v>
      </c>
    </row>
    <row r="24" spans="1:50" s="18" customFormat="1" ht="19.5" customHeight="1">
      <c r="A24" s="113" t="s">
        <v>17</v>
      </c>
      <c r="B24" s="5">
        <v>18</v>
      </c>
      <c r="C24" s="3">
        <v>18</v>
      </c>
      <c r="D24" s="3">
        <f>SUM(D25:D27)</f>
        <v>18</v>
      </c>
      <c r="E24" s="6">
        <f>SUM(E25:E27)</f>
        <v>16</v>
      </c>
      <c r="F24" s="5">
        <v>512</v>
      </c>
      <c r="G24" s="3">
        <v>492</v>
      </c>
      <c r="H24" s="3"/>
      <c r="I24" s="3"/>
      <c r="J24" s="3">
        <f t="shared" ref="J24:S24" si="13">SUM(J25:J27)</f>
        <v>480</v>
      </c>
      <c r="K24" s="4">
        <f t="shared" si="13"/>
        <v>444</v>
      </c>
      <c r="L24" s="4">
        <f t="shared" si="13"/>
        <v>443</v>
      </c>
      <c r="M24" s="4">
        <f t="shared" si="13"/>
        <v>0</v>
      </c>
      <c r="N24" s="4">
        <f t="shared" si="13"/>
        <v>0</v>
      </c>
      <c r="O24" s="4">
        <f t="shared" si="13"/>
        <v>0</v>
      </c>
      <c r="P24" s="4">
        <f t="shared" si="13"/>
        <v>0</v>
      </c>
      <c r="Q24" s="4">
        <f t="shared" si="13"/>
        <v>0</v>
      </c>
      <c r="R24" s="4">
        <f t="shared" si="13"/>
        <v>0</v>
      </c>
      <c r="S24" s="4">
        <f t="shared" si="13"/>
        <v>0</v>
      </c>
      <c r="T24" s="4">
        <f t="shared" ref="T24" si="14">SUM(T25:T27)</f>
        <v>0</v>
      </c>
      <c r="U24" s="4"/>
      <c r="V24" s="4"/>
      <c r="W24" s="38">
        <f t="shared" si="3"/>
        <v>-480</v>
      </c>
      <c r="X24" s="49">
        <f t="shared" si="1"/>
        <v>0.92500000000000004</v>
      </c>
      <c r="Y24" s="49">
        <f t="shared" si="4"/>
        <v>0.92291666666666672</v>
      </c>
      <c r="Z24" s="49">
        <f t="shared" si="5"/>
        <v>0</v>
      </c>
      <c r="AA24" s="49">
        <f t="shared" si="6"/>
        <v>0</v>
      </c>
      <c r="AB24" s="49">
        <f t="shared" si="6"/>
        <v>0</v>
      </c>
      <c r="AC24" s="49">
        <f t="shared" si="6"/>
        <v>0</v>
      </c>
      <c r="AD24" s="49">
        <f t="shared" si="6"/>
        <v>0</v>
      </c>
      <c r="AE24" s="49">
        <f t="shared" si="6"/>
        <v>0</v>
      </c>
      <c r="AF24" s="49">
        <f t="shared" si="9"/>
        <v>0</v>
      </c>
      <c r="AG24" s="49">
        <f t="shared" si="10"/>
        <v>0</v>
      </c>
      <c r="AJ24" s="114">
        <f>P24-O24</f>
        <v>0</v>
      </c>
    </row>
    <row r="25" spans="1:50" ht="19.5" customHeight="1">
      <c r="A25" s="115" t="s">
        <v>63</v>
      </c>
      <c r="B25" s="7">
        <v>6</v>
      </c>
      <c r="C25" s="7">
        <v>6</v>
      </c>
      <c r="D25" s="7">
        <v>6</v>
      </c>
      <c r="E25" s="8">
        <v>4</v>
      </c>
      <c r="F25" s="7">
        <v>171</v>
      </c>
      <c r="G25" s="7">
        <v>169</v>
      </c>
      <c r="H25" s="7"/>
      <c r="I25" s="7"/>
      <c r="J25" s="7">
        <v>180</v>
      </c>
      <c r="K25" s="8">
        <v>185</v>
      </c>
      <c r="L25" s="8">
        <v>185</v>
      </c>
      <c r="M25" s="8"/>
      <c r="N25" s="27"/>
      <c r="O25" s="27"/>
      <c r="P25" s="27"/>
      <c r="Q25" s="27"/>
      <c r="R25" s="27"/>
      <c r="S25" s="27"/>
      <c r="T25" s="27"/>
      <c r="U25" s="27"/>
      <c r="V25" s="27"/>
      <c r="W25" s="39">
        <f t="shared" si="3"/>
        <v>-180</v>
      </c>
      <c r="X25" s="50">
        <f t="shared" si="1"/>
        <v>1.0277777777777777</v>
      </c>
      <c r="Y25" s="50">
        <f t="shared" si="4"/>
        <v>1.0277777777777777</v>
      </c>
      <c r="Z25" s="50">
        <f t="shared" si="5"/>
        <v>0</v>
      </c>
      <c r="AA25" s="50">
        <f t="shared" si="6"/>
        <v>0</v>
      </c>
      <c r="AB25" s="50">
        <f t="shared" si="6"/>
        <v>0</v>
      </c>
      <c r="AC25" s="50">
        <f t="shared" si="6"/>
        <v>0</v>
      </c>
      <c r="AD25" s="50">
        <f t="shared" si="6"/>
        <v>0</v>
      </c>
      <c r="AE25" s="50">
        <f t="shared" si="6"/>
        <v>0</v>
      </c>
      <c r="AF25" s="50">
        <f t="shared" si="9"/>
        <v>0</v>
      </c>
      <c r="AG25" s="50">
        <f t="shared" si="10"/>
        <v>0</v>
      </c>
      <c r="AJ25" s="116">
        <f>R25-Q25</f>
        <v>0</v>
      </c>
    </row>
    <row r="26" spans="1:50" ht="19.5" customHeight="1">
      <c r="A26" s="117" t="s">
        <v>64</v>
      </c>
      <c r="B26" s="9">
        <v>6</v>
      </c>
      <c r="C26" s="9">
        <v>6</v>
      </c>
      <c r="D26" s="9">
        <v>6</v>
      </c>
      <c r="E26" s="10">
        <v>6</v>
      </c>
      <c r="F26" s="9">
        <v>169</v>
      </c>
      <c r="G26" s="9">
        <v>161</v>
      </c>
      <c r="H26" s="9"/>
      <c r="I26" s="9"/>
      <c r="J26" s="9">
        <v>150</v>
      </c>
      <c r="K26" s="10">
        <v>126</v>
      </c>
      <c r="L26" s="10">
        <v>125</v>
      </c>
      <c r="M26" s="10"/>
      <c r="N26" s="28"/>
      <c r="O26" s="28"/>
      <c r="P26" s="28"/>
      <c r="Q26" s="28"/>
      <c r="R26" s="28"/>
      <c r="S26" s="28"/>
      <c r="T26" s="28"/>
      <c r="U26" s="28"/>
      <c r="V26" s="28"/>
      <c r="W26" s="40">
        <f t="shared" si="3"/>
        <v>-150</v>
      </c>
      <c r="X26" s="51">
        <f t="shared" si="1"/>
        <v>0.84</v>
      </c>
      <c r="Y26" s="51">
        <f t="shared" si="4"/>
        <v>0.83333333333333337</v>
      </c>
      <c r="Z26" s="51">
        <f t="shared" si="5"/>
        <v>0</v>
      </c>
      <c r="AA26" s="51">
        <f t="shared" si="6"/>
        <v>0</v>
      </c>
      <c r="AB26" s="51">
        <f t="shared" si="6"/>
        <v>0</v>
      </c>
      <c r="AC26" s="51">
        <f t="shared" si="6"/>
        <v>0</v>
      </c>
      <c r="AD26" s="51">
        <f t="shared" si="6"/>
        <v>0</v>
      </c>
      <c r="AE26" s="51">
        <f t="shared" si="6"/>
        <v>0</v>
      </c>
      <c r="AF26" s="51">
        <f t="shared" si="9"/>
        <v>0</v>
      </c>
      <c r="AG26" s="51">
        <f t="shared" si="10"/>
        <v>0</v>
      </c>
      <c r="AJ26" s="118">
        <f>R26-Q26</f>
        <v>0</v>
      </c>
    </row>
    <row r="27" spans="1:50" ht="19.5" customHeight="1">
      <c r="A27" s="119" t="s">
        <v>65</v>
      </c>
      <c r="B27" s="11">
        <v>6</v>
      </c>
      <c r="C27" s="11">
        <v>6</v>
      </c>
      <c r="D27" s="11">
        <v>6</v>
      </c>
      <c r="E27" s="12">
        <v>6</v>
      </c>
      <c r="F27" s="11">
        <v>172</v>
      </c>
      <c r="G27" s="11">
        <v>162</v>
      </c>
      <c r="H27" s="11"/>
      <c r="I27" s="11"/>
      <c r="J27" s="11">
        <v>150</v>
      </c>
      <c r="K27" s="12">
        <v>133</v>
      </c>
      <c r="L27" s="12">
        <v>133</v>
      </c>
      <c r="M27" s="12"/>
      <c r="N27" s="29"/>
      <c r="O27" s="29"/>
      <c r="P27" s="29"/>
      <c r="Q27" s="29"/>
      <c r="R27" s="29"/>
      <c r="S27" s="29"/>
      <c r="T27" s="29"/>
      <c r="U27" s="29"/>
      <c r="V27" s="29"/>
      <c r="W27" s="41">
        <f t="shared" si="3"/>
        <v>-150</v>
      </c>
      <c r="X27" s="52">
        <f t="shared" si="1"/>
        <v>0.88666666666666671</v>
      </c>
      <c r="Y27" s="52">
        <f t="shared" si="4"/>
        <v>0.88666666666666671</v>
      </c>
      <c r="Z27" s="52">
        <f t="shared" si="5"/>
        <v>0</v>
      </c>
      <c r="AA27" s="52">
        <f t="shared" si="6"/>
        <v>0</v>
      </c>
      <c r="AB27" s="52">
        <f t="shared" si="6"/>
        <v>0</v>
      </c>
      <c r="AC27" s="52">
        <f t="shared" si="6"/>
        <v>0</v>
      </c>
      <c r="AD27" s="52">
        <f t="shared" si="6"/>
        <v>0</v>
      </c>
      <c r="AE27" s="52">
        <f t="shared" si="6"/>
        <v>0</v>
      </c>
      <c r="AF27" s="52">
        <f t="shared" si="9"/>
        <v>0</v>
      </c>
      <c r="AG27" s="52">
        <f t="shared" si="10"/>
        <v>0</v>
      </c>
      <c r="AJ27" s="120">
        <f>R27-Q27</f>
        <v>0</v>
      </c>
    </row>
    <row r="28" spans="1:50" s="18" customFormat="1" ht="19.5" customHeight="1" thickBot="1">
      <c r="A28" s="121" t="s">
        <v>43</v>
      </c>
      <c r="B28" s="82">
        <v>111</v>
      </c>
      <c r="C28" s="83">
        <v>113</v>
      </c>
      <c r="D28" s="83">
        <f t="shared" ref="D28:P28" si="15">D24+D19+D13+D8+D3</f>
        <v>116</v>
      </c>
      <c r="E28" s="84">
        <f t="shared" si="15"/>
        <v>111</v>
      </c>
      <c r="F28" s="82">
        <f t="shared" si="15"/>
        <v>2831</v>
      </c>
      <c r="G28" s="83">
        <f t="shared" si="15"/>
        <v>2852</v>
      </c>
      <c r="H28" s="83"/>
      <c r="I28" s="83"/>
      <c r="J28" s="83">
        <f t="shared" si="15"/>
        <v>2873</v>
      </c>
      <c r="K28" s="85">
        <f t="shared" si="15"/>
        <v>2616</v>
      </c>
      <c r="L28" s="85">
        <f t="shared" si="15"/>
        <v>2625</v>
      </c>
      <c r="M28" s="85">
        <f t="shared" si="15"/>
        <v>0</v>
      </c>
      <c r="N28" s="85">
        <f t="shared" si="15"/>
        <v>0</v>
      </c>
      <c r="O28" s="85">
        <f t="shared" si="15"/>
        <v>0</v>
      </c>
      <c r="P28" s="85">
        <f t="shared" si="15"/>
        <v>0</v>
      </c>
      <c r="Q28" s="85">
        <f>Q24+Q19+Q13+Q8+Q3</f>
        <v>0</v>
      </c>
      <c r="R28" s="85">
        <f>R24+R19+R13+R8+R3</f>
        <v>0</v>
      </c>
      <c r="S28" s="85">
        <f>S24+S19+S13+S8+S3</f>
        <v>0</v>
      </c>
      <c r="T28" s="85">
        <f>T24+T19+T13+T8+T3</f>
        <v>0</v>
      </c>
      <c r="U28" s="85"/>
      <c r="V28" s="85"/>
      <c r="W28" s="53">
        <f t="shared" si="3"/>
        <v>-2873</v>
      </c>
      <c r="X28" s="86">
        <f t="shared" si="1"/>
        <v>0.91054646710755305</v>
      </c>
      <c r="Y28" s="86">
        <f t="shared" si="4"/>
        <v>0.9136790810998956</v>
      </c>
      <c r="Z28" s="86">
        <f t="shared" si="5"/>
        <v>0</v>
      </c>
      <c r="AA28" s="86">
        <f t="shared" ref="AA28:AG28" si="16">N28/$J28</f>
        <v>0</v>
      </c>
      <c r="AB28" s="86">
        <f t="shared" si="16"/>
        <v>0</v>
      </c>
      <c r="AC28" s="86">
        <f t="shared" si="16"/>
        <v>0</v>
      </c>
      <c r="AD28" s="86">
        <f t="shared" si="16"/>
        <v>0</v>
      </c>
      <c r="AE28" s="86">
        <f t="shared" si="16"/>
        <v>0</v>
      </c>
      <c r="AF28" s="86">
        <f t="shared" si="16"/>
        <v>0</v>
      </c>
      <c r="AG28" s="86">
        <f t="shared" si="16"/>
        <v>0</v>
      </c>
      <c r="AJ28" s="122">
        <f>P28-O28</f>
        <v>0</v>
      </c>
    </row>
    <row r="30" spans="1:50" s="16" customFormat="1" ht="22" customHeight="1">
      <c r="U30" s="142"/>
      <c r="W30" s="87"/>
      <c r="X30" s="87"/>
      <c r="Y30" s="87"/>
      <c r="Z30" s="87"/>
      <c r="AA30" s="87"/>
    </row>
    <row r="31" spans="1:50" s="16" customFormat="1" ht="34" customHeight="1">
      <c r="A31" s="64" t="s">
        <v>139</v>
      </c>
      <c r="B31" s="65"/>
      <c r="C31" s="65"/>
      <c r="D31" s="65"/>
      <c r="E31" s="65"/>
      <c r="F31" s="65"/>
      <c r="G31" s="65"/>
      <c r="H31" s="65"/>
      <c r="I31" s="65"/>
      <c r="J31" s="66" t="s">
        <v>313</v>
      </c>
      <c r="K31" s="67" t="str">
        <f t="shared" ref="K31:T31" si="17">K2</f>
        <v>8/2026</v>
      </c>
      <c r="L31" s="67" t="str">
        <f t="shared" si="17"/>
        <v>9/2026</v>
      </c>
      <c r="M31" s="67" t="str">
        <f t="shared" si="17"/>
        <v>10/2026</v>
      </c>
      <c r="N31" s="67" t="str">
        <f t="shared" si="17"/>
        <v>11/2026</v>
      </c>
      <c r="O31" s="67" t="str">
        <f t="shared" si="17"/>
        <v>12/2026</v>
      </c>
      <c r="P31" s="67" t="str">
        <f t="shared" si="17"/>
        <v>1/2027</v>
      </c>
      <c r="Q31" s="67" t="str">
        <f t="shared" si="17"/>
        <v>2/2027</v>
      </c>
      <c r="R31" s="67" t="str">
        <f t="shared" si="17"/>
        <v>3/2027</v>
      </c>
      <c r="S31" s="67" t="str">
        <f t="shared" si="17"/>
        <v>4/2027</v>
      </c>
      <c r="T31" s="67" t="str">
        <f t="shared" si="17"/>
        <v>5/2027</v>
      </c>
      <c r="U31" s="67" t="s">
        <v>177</v>
      </c>
      <c r="V31" s="67" t="s">
        <v>178</v>
      </c>
      <c r="W31" s="64" t="s">
        <v>139</v>
      </c>
      <c r="X31" s="66" t="s">
        <v>314</v>
      </c>
      <c r="Y31" s="67" t="str">
        <f t="shared" ref="Y31:AJ31" si="18">K31</f>
        <v>8/2026</v>
      </c>
      <c r="Z31" s="67" t="str">
        <f t="shared" si="18"/>
        <v>9/2026</v>
      </c>
      <c r="AA31" s="67" t="str">
        <f t="shared" si="18"/>
        <v>10/2026</v>
      </c>
      <c r="AB31" s="67" t="str">
        <f t="shared" si="18"/>
        <v>11/2026</v>
      </c>
      <c r="AC31" s="67" t="str">
        <f t="shared" si="18"/>
        <v>12/2026</v>
      </c>
      <c r="AD31" s="67" t="str">
        <f t="shared" si="18"/>
        <v>1/2027</v>
      </c>
      <c r="AE31" s="67" t="str">
        <f t="shared" si="18"/>
        <v>2/2027</v>
      </c>
      <c r="AF31" s="67" t="str">
        <f t="shared" si="18"/>
        <v>3/2027</v>
      </c>
      <c r="AG31" s="67" t="str">
        <f t="shared" si="18"/>
        <v>4/2027</v>
      </c>
      <c r="AH31" s="67" t="str">
        <f t="shared" si="18"/>
        <v>5/2027</v>
      </c>
      <c r="AI31" s="67" t="str">
        <f t="shared" si="18"/>
        <v>6/2026</v>
      </c>
      <c r="AJ31" s="67" t="str">
        <f t="shared" si="18"/>
        <v>7/2026</v>
      </c>
      <c r="AK31" s="64" t="s">
        <v>139</v>
      </c>
      <c r="AL31" s="66" t="s">
        <v>980</v>
      </c>
      <c r="AM31" s="67" t="str">
        <f t="shared" ref="AM31" si="19">Y31</f>
        <v>8/2026</v>
      </c>
      <c r="AN31" s="67" t="str">
        <f t="shared" ref="AN31" si="20">Z31</f>
        <v>9/2026</v>
      </c>
      <c r="AO31" s="67" t="str">
        <f t="shared" ref="AO31" si="21">AA31</f>
        <v>10/2026</v>
      </c>
      <c r="AP31" s="67" t="str">
        <f t="shared" ref="AP31" si="22">AB31</f>
        <v>11/2026</v>
      </c>
      <c r="AQ31" s="67" t="str">
        <f t="shared" ref="AQ31" si="23">AC31</f>
        <v>12/2026</v>
      </c>
      <c r="AR31" s="67" t="str">
        <f t="shared" ref="AR31" si="24">AD31</f>
        <v>1/2027</v>
      </c>
      <c r="AS31" s="67" t="str">
        <f t="shared" ref="AS31" si="25">AE31</f>
        <v>2/2027</v>
      </c>
      <c r="AT31" s="67" t="str">
        <f t="shared" ref="AT31" si="26">AF31</f>
        <v>3/2027</v>
      </c>
      <c r="AU31" s="67" t="str">
        <f t="shared" ref="AU31" si="27">AG31</f>
        <v>4/2027</v>
      </c>
      <c r="AV31" s="67" t="str">
        <f t="shared" ref="AV31" si="28">AH31</f>
        <v>5/2027</v>
      </c>
      <c r="AW31" s="67" t="str">
        <f t="shared" ref="AW31" si="29">AI31</f>
        <v>6/2026</v>
      </c>
      <c r="AX31" s="67" t="str">
        <f t="shared" ref="AX31" si="30">AJ31</f>
        <v>7/2026</v>
      </c>
    </row>
    <row r="32" spans="1:50" s="23" customFormat="1" ht="21.5" customHeight="1">
      <c r="A32" s="72" t="s">
        <v>168</v>
      </c>
      <c r="B32" s="55"/>
      <c r="C32" s="55"/>
      <c r="D32" s="55"/>
      <c r="E32" s="55"/>
      <c r="F32" s="55"/>
      <c r="G32" s="55"/>
      <c r="H32" s="55"/>
      <c r="I32" s="55"/>
      <c r="J32" s="72">
        <f t="shared" ref="J32:J43" si="31">SUM(K32:V32)</f>
        <v>12</v>
      </c>
      <c r="K32" s="72">
        <f t="shared" ref="K32:V32" si="32">SUM(K33:K36)</f>
        <v>10</v>
      </c>
      <c r="L32" s="72">
        <f t="shared" si="32"/>
        <v>2</v>
      </c>
      <c r="M32" s="72">
        <f t="shared" si="32"/>
        <v>0</v>
      </c>
      <c r="N32" s="72">
        <f t="shared" si="32"/>
        <v>0</v>
      </c>
      <c r="O32" s="72">
        <f t="shared" si="32"/>
        <v>0</v>
      </c>
      <c r="P32" s="72">
        <f t="shared" si="32"/>
        <v>0</v>
      </c>
      <c r="Q32" s="79">
        <f t="shared" si="32"/>
        <v>0</v>
      </c>
      <c r="R32" s="79">
        <f t="shared" si="32"/>
        <v>0</v>
      </c>
      <c r="S32" s="79">
        <f t="shared" si="32"/>
        <v>0</v>
      </c>
      <c r="T32" s="79">
        <f t="shared" si="32"/>
        <v>0</v>
      </c>
      <c r="U32" s="79">
        <f t="shared" si="32"/>
        <v>0</v>
      </c>
      <c r="V32" s="79">
        <f t="shared" si="32"/>
        <v>0</v>
      </c>
      <c r="W32" s="72" t="s">
        <v>168</v>
      </c>
      <c r="X32" s="72">
        <f t="shared" ref="X32:X42" si="33">SUM(Y32:AK32)</f>
        <v>22</v>
      </c>
      <c r="Y32" s="72">
        <f t="shared" ref="Y32:AJ32" si="34">SUM(Y33:Y36)</f>
        <v>12</v>
      </c>
      <c r="Z32" s="72">
        <f t="shared" si="34"/>
        <v>10</v>
      </c>
      <c r="AA32" s="72">
        <f t="shared" si="34"/>
        <v>0</v>
      </c>
      <c r="AB32" s="72">
        <f t="shared" si="34"/>
        <v>0</v>
      </c>
      <c r="AC32" s="72">
        <f t="shared" si="34"/>
        <v>0</v>
      </c>
      <c r="AD32" s="72">
        <f t="shared" si="34"/>
        <v>0</v>
      </c>
      <c r="AE32" s="79">
        <f t="shared" si="34"/>
        <v>0</v>
      </c>
      <c r="AF32" s="79">
        <f t="shared" si="34"/>
        <v>0</v>
      </c>
      <c r="AG32" s="79">
        <f t="shared" si="34"/>
        <v>0</v>
      </c>
      <c r="AH32" s="79">
        <f t="shared" si="34"/>
        <v>0</v>
      </c>
      <c r="AI32" s="79">
        <f t="shared" si="34"/>
        <v>0</v>
      </c>
      <c r="AJ32" s="79">
        <f t="shared" si="34"/>
        <v>0</v>
      </c>
      <c r="AK32" s="72" t="s">
        <v>168</v>
      </c>
      <c r="AL32" s="72">
        <f>X32-J32</f>
        <v>10</v>
      </c>
      <c r="AM32" s="72">
        <f t="shared" ref="AM32:AM56" si="35">Y32-K32</f>
        <v>2</v>
      </c>
      <c r="AN32" s="72">
        <f t="shared" ref="AN32:AN56" si="36">Z32-L32</f>
        <v>8</v>
      </c>
      <c r="AO32" s="72">
        <f t="shared" ref="AO32:AO56" si="37">AA32-M32</f>
        <v>0</v>
      </c>
      <c r="AP32" s="72">
        <f t="shared" ref="AP32:AP56" si="38">AB32-N32</f>
        <v>0</v>
      </c>
      <c r="AQ32" s="72">
        <f t="shared" ref="AQ32:AQ56" si="39">AC32-O32</f>
        <v>0</v>
      </c>
      <c r="AR32" s="72">
        <f t="shared" ref="AR32:AR56" si="40">AD32-P32</f>
        <v>0</v>
      </c>
      <c r="AS32" s="79">
        <f t="shared" ref="AS32:AS56" si="41">AE32-Q32</f>
        <v>0</v>
      </c>
      <c r="AT32" s="79">
        <f t="shared" ref="AT32:AT56" si="42">AF32-R32</f>
        <v>0</v>
      </c>
      <c r="AU32" s="79">
        <f t="shared" ref="AU32:AU56" si="43">AG32-S32</f>
        <v>0</v>
      </c>
      <c r="AV32" s="79">
        <f t="shared" ref="AV32:AV56" si="44">AH32-T32</f>
        <v>0</v>
      </c>
      <c r="AW32" s="79">
        <f t="shared" ref="AW32:AW56" si="45">AI32-U32</f>
        <v>0</v>
      </c>
      <c r="AX32" s="79">
        <f t="shared" ref="AX32:AX56" si="46">AJ32-V32</f>
        <v>0</v>
      </c>
    </row>
    <row r="33" spans="1:50" s="16" customFormat="1" ht="20.5" customHeight="1">
      <c r="A33" s="73" t="s">
        <v>50</v>
      </c>
      <c r="B33" s="74"/>
      <c r="C33" s="74"/>
      <c r="D33" s="74"/>
      <c r="E33" s="74"/>
      <c r="F33" s="74"/>
      <c r="G33" s="74"/>
      <c r="H33" s="74"/>
      <c r="I33" s="74"/>
      <c r="J33" s="73">
        <f t="shared" si="31"/>
        <v>6</v>
      </c>
      <c r="K33" s="73">
        <v>5</v>
      </c>
      <c r="L33" s="73">
        <v>1</v>
      </c>
      <c r="M33" s="73"/>
      <c r="N33" s="73"/>
      <c r="O33" s="73"/>
      <c r="P33" s="73"/>
      <c r="Q33" s="80"/>
      <c r="R33" s="80"/>
      <c r="S33" s="81"/>
      <c r="T33" s="81"/>
      <c r="U33" s="81"/>
      <c r="V33" s="81"/>
      <c r="W33" s="73" t="s">
        <v>50</v>
      </c>
      <c r="X33" s="73">
        <f t="shared" si="33"/>
        <v>12</v>
      </c>
      <c r="Y33" s="73">
        <v>7</v>
      </c>
      <c r="Z33" s="73">
        <v>5</v>
      </c>
      <c r="AA33" s="73"/>
      <c r="AB33" s="73"/>
      <c r="AC33" s="73"/>
      <c r="AD33" s="73"/>
      <c r="AE33" s="80"/>
      <c r="AF33" s="80"/>
      <c r="AG33" s="81"/>
      <c r="AH33" s="81"/>
      <c r="AI33" s="81"/>
      <c r="AJ33" s="81"/>
      <c r="AK33" s="73" t="s">
        <v>50</v>
      </c>
      <c r="AL33" s="73">
        <f t="shared" ref="AL33:AL56" si="47">X33-J33</f>
        <v>6</v>
      </c>
      <c r="AM33" s="73">
        <f t="shared" si="35"/>
        <v>2</v>
      </c>
      <c r="AN33" s="73">
        <f t="shared" si="36"/>
        <v>4</v>
      </c>
      <c r="AO33" s="73">
        <f t="shared" si="37"/>
        <v>0</v>
      </c>
      <c r="AP33" s="73">
        <f t="shared" si="38"/>
        <v>0</v>
      </c>
      <c r="AQ33" s="73">
        <f t="shared" si="39"/>
        <v>0</v>
      </c>
      <c r="AR33" s="73">
        <f t="shared" si="40"/>
        <v>0</v>
      </c>
      <c r="AS33" s="80">
        <f t="shared" si="41"/>
        <v>0</v>
      </c>
      <c r="AT33" s="80">
        <f t="shared" si="42"/>
        <v>0</v>
      </c>
      <c r="AU33" s="81">
        <f t="shared" si="43"/>
        <v>0</v>
      </c>
      <c r="AV33" s="81">
        <f t="shared" si="44"/>
        <v>0</v>
      </c>
      <c r="AW33" s="81">
        <f t="shared" si="45"/>
        <v>0</v>
      </c>
      <c r="AX33" s="81">
        <f t="shared" si="46"/>
        <v>0</v>
      </c>
    </row>
    <row r="34" spans="1:50" s="16" customFormat="1" ht="20.5" customHeight="1">
      <c r="A34" s="68" t="s">
        <v>51</v>
      </c>
      <c r="B34" s="69"/>
      <c r="C34" s="69"/>
      <c r="D34" s="69"/>
      <c r="E34" s="69"/>
      <c r="F34" s="69"/>
      <c r="G34" s="69"/>
      <c r="H34" s="69"/>
      <c r="I34" s="69"/>
      <c r="J34" s="68">
        <f t="shared" si="31"/>
        <v>2</v>
      </c>
      <c r="K34" s="68">
        <v>2</v>
      </c>
      <c r="L34" s="68"/>
      <c r="M34" s="68"/>
      <c r="N34" s="68"/>
      <c r="O34" s="68"/>
      <c r="P34" s="68"/>
      <c r="Q34" s="75"/>
      <c r="R34" s="75"/>
      <c r="S34" s="76"/>
      <c r="T34" s="76"/>
      <c r="U34" s="76"/>
      <c r="V34" s="76"/>
      <c r="W34" s="68" t="s">
        <v>51</v>
      </c>
      <c r="X34" s="68">
        <f t="shared" si="33"/>
        <v>3</v>
      </c>
      <c r="Y34" s="68"/>
      <c r="Z34" s="68">
        <v>3</v>
      </c>
      <c r="AA34" s="68"/>
      <c r="AB34" s="68"/>
      <c r="AC34" s="68"/>
      <c r="AD34" s="68"/>
      <c r="AE34" s="75"/>
      <c r="AF34" s="75"/>
      <c r="AG34" s="76"/>
      <c r="AH34" s="76"/>
      <c r="AI34" s="76"/>
      <c r="AJ34" s="76"/>
      <c r="AK34" s="68" t="s">
        <v>51</v>
      </c>
      <c r="AL34" s="68">
        <f t="shared" si="47"/>
        <v>1</v>
      </c>
      <c r="AM34" s="68">
        <f t="shared" si="35"/>
        <v>-2</v>
      </c>
      <c r="AN34" s="68">
        <f t="shared" si="36"/>
        <v>3</v>
      </c>
      <c r="AO34" s="68">
        <f t="shared" si="37"/>
        <v>0</v>
      </c>
      <c r="AP34" s="68">
        <f t="shared" si="38"/>
        <v>0</v>
      </c>
      <c r="AQ34" s="68">
        <f t="shared" si="39"/>
        <v>0</v>
      </c>
      <c r="AR34" s="68">
        <f t="shared" si="40"/>
        <v>0</v>
      </c>
      <c r="AS34" s="75">
        <f t="shared" si="41"/>
        <v>0</v>
      </c>
      <c r="AT34" s="75">
        <f t="shared" si="42"/>
        <v>0</v>
      </c>
      <c r="AU34" s="76">
        <f t="shared" si="43"/>
        <v>0</v>
      </c>
      <c r="AV34" s="76">
        <f t="shared" si="44"/>
        <v>0</v>
      </c>
      <c r="AW34" s="76">
        <f t="shared" si="45"/>
        <v>0</v>
      </c>
      <c r="AX34" s="76">
        <f t="shared" si="46"/>
        <v>0</v>
      </c>
    </row>
    <row r="35" spans="1:50" s="16" customFormat="1" ht="20.5" customHeight="1">
      <c r="A35" s="68" t="s">
        <v>52</v>
      </c>
      <c r="B35" s="69"/>
      <c r="C35" s="69"/>
      <c r="D35" s="69"/>
      <c r="E35" s="69"/>
      <c r="F35" s="69"/>
      <c r="G35" s="69"/>
      <c r="H35" s="69"/>
      <c r="I35" s="69"/>
      <c r="J35" s="68">
        <f t="shared" si="31"/>
        <v>2</v>
      </c>
      <c r="K35" s="68">
        <v>1</v>
      </c>
      <c r="L35" s="68">
        <v>1</v>
      </c>
      <c r="M35" s="68"/>
      <c r="N35" s="68"/>
      <c r="O35" s="68"/>
      <c r="P35" s="68"/>
      <c r="Q35" s="75"/>
      <c r="R35" s="75"/>
      <c r="S35" s="76"/>
      <c r="T35" s="76"/>
      <c r="U35" s="76"/>
      <c r="V35" s="76"/>
      <c r="W35" s="68" t="s">
        <v>52</v>
      </c>
      <c r="X35" s="68">
        <f t="shared" si="33"/>
        <v>3</v>
      </c>
      <c r="Y35" s="68">
        <v>2</v>
      </c>
      <c r="Z35" s="68">
        <v>1</v>
      </c>
      <c r="AA35" s="68"/>
      <c r="AB35" s="68"/>
      <c r="AC35" s="68"/>
      <c r="AD35" s="68"/>
      <c r="AE35" s="75"/>
      <c r="AF35" s="75"/>
      <c r="AG35" s="76"/>
      <c r="AH35" s="76"/>
      <c r="AI35" s="76"/>
      <c r="AJ35" s="76"/>
      <c r="AK35" s="68" t="s">
        <v>52</v>
      </c>
      <c r="AL35" s="68">
        <f t="shared" si="47"/>
        <v>1</v>
      </c>
      <c r="AM35" s="68">
        <f t="shared" si="35"/>
        <v>1</v>
      </c>
      <c r="AN35" s="68">
        <f t="shared" si="36"/>
        <v>0</v>
      </c>
      <c r="AO35" s="68">
        <f t="shared" si="37"/>
        <v>0</v>
      </c>
      <c r="AP35" s="68">
        <f t="shared" si="38"/>
        <v>0</v>
      </c>
      <c r="AQ35" s="68">
        <f t="shared" si="39"/>
        <v>0</v>
      </c>
      <c r="AR35" s="68">
        <f t="shared" si="40"/>
        <v>0</v>
      </c>
      <c r="AS35" s="75">
        <f t="shared" si="41"/>
        <v>0</v>
      </c>
      <c r="AT35" s="75">
        <f t="shared" si="42"/>
        <v>0</v>
      </c>
      <c r="AU35" s="76">
        <f t="shared" si="43"/>
        <v>0</v>
      </c>
      <c r="AV35" s="76">
        <f t="shared" si="44"/>
        <v>0</v>
      </c>
      <c r="AW35" s="76">
        <f t="shared" si="45"/>
        <v>0</v>
      </c>
      <c r="AX35" s="76">
        <f t="shared" si="46"/>
        <v>0</v>
      </c>
    </row>
    <row r="36" spans="1:50" s="16" customFormat="1" ht="20.5" customHeight="1">
      <c r="A36" s="70" t="s">
        <v>53</v>
      </c>
      <c r="B36" s="71"/>
      <c r="C36" s="71"/>
      <c r="D36" s="71"/>
      <c r="E36" s="71"/>
      <c r="F36" s="71"/>
      <c r="G36" s="71"/>
      <c r="H36" s="71"/>
      <c r="I36" s="71"/>
      <c r="J36" s="70">
        <f t="shared" si="31"/>
        <v>2</v>
      </c>
      <c r="K36" s="70">
        <v>2</v>
      </c>
      <c r="L36" s="70"/>
      <c r="M36" s="70"/>
      <c r="N36" s="70"/>
      <c r="O36" s="70"/>
      <c r="P36" s="70"/>
      <c r="Q36" s="77"/>
      <c r="R36" s="77"/>
      <c r="S36" s="78"/>
      <c r="T36" s="78"/>
      <c r="U36" s="78"/>
      <c r="V36" s="78"/>
      <c r="W36" s="70" t="s">
        <v>53</v>
      </c>
      <c r="X36" s="70">
        <f t="shared" si="33"/>
        <v>4</v>
      </c>
      <c r="Y36" s="70">
        <v>3</v>
      </c>
      <c r="Z36" s="70">
        <v>1</v>
      </c>
      <c r="AA36" s="70"/>
      <c r="AB36" s="70"/>
      <c r="AC36" s="70"/>
      <c r="AD36" s="70"/>
      <c r="AE36" s="77"/>
      <c r="AF36" s="77"/>
      <c r="AG36" s="78"/>
      <c r="AH36" s="78"/>
      <c r="AI36" s="78"/>
      <c r="AJ36" s="78"/>
      <c r="AK36" s="70" t="s">
        <v>53</v>
      </c>
      <c r="AL36" s="70">
        <f t="shared" si="47"/>
        <v>2</v>
      </c>
      <c r="AM36" s="70">
        <f t="shared" si="35"/>
        <v>1</v>
      </c>
      <c r="AN36" s="70">
        <f t="shared" si="36"/>
        <v>1</v>
      </c>
      <c r="AO36" s="70">
        <f t="shared" si="37"/>
        <v>0</v>
      </c>
      <c r="AP36" s="70">
        <f t="shared" si="38"/>
        <v>0</v>
      </c>
      <c r="AQ36" s="70">
        <f t="shared" si="39"/>
        <v>0</v>
      </c>
      <c r="AR36" s="70">
        <f t="shared" si="40"/>
        <v>0</v>
      </c>
      <c r="AS36" s="77">
        <f t="shared" si="41"/>
        <v>0</v>
      </c>
      <c r="AT36" s="77">
        <f t="shared" si="42"/>
        <v>0</v>
      </c>
      <c r="AU36" s="78">
        <f t="shared" si="43"/>
        <v>0</v>
      </c>
      <c r="AV36" s="78">
        <f t="shared" si="44"/>
        <v>0</v>
      </c>
      <c r="AW36" s="78">
        <f t="shared" si="45"/>
        <v>0</v>
      </c>
      <c r="AX36" s="78">
        <f t="shared" si="46"/>
        <v>0</v>
      </c>
    </row>
    <row r="37" spans="1:50" s="16" customFormat="1" ht="20.5" customHeight="1">
      <c r="A37" s="72" t="s">
        <v>175</v>
      </c>
      <c r="B37" s="55"/>
      <c r="C37" s="55"/>
      <c r="D37" s="55"/>
      <c r="E37" s="55"/>
      <c r="F37" s="55"/>
      <c r="G37" s="55"/>
      <c r="H37" s="55"/>
      <c r="I37" s="55"/>
      <c r="J37" s="72">
        <f t="shared" si="31"/>
        <v>10</v>
      </c>
      <c r="K37" s="72">
        <f t="shared" ref="K37:V37" si="48">SUM(K38:K41)</f>
        <v>6</v>
      </c>
      <c r="L37" s="72">
        <f t="shared" si="48"/>
        <v>4</v>
      </c>
      <c r="M37" s="72">
        <f t="shared" si="48"/>
        <v>0</v>
      </c>
      <c r="N37" s="72">
        <f t="shared" si="48"/>
        <v>0</v>
      </c>
      <c r="O37" s="72">
        <f t="shared" si="48"/>
        <v>0</v>
      </c>
      <c r="P37" s="72">
        <f t="shared" si="48"/>
        <v>0</v>
      </c>
      <c r="Q37" s="79">
        <f t="shared" si="48"/>
        <v>0</v>
      </c>
      <c r="R37" s="79">
        <f t="shared" si="48"/>
        <v>0</v>
      </c>
      <c r="S37" s="79">
        <f t="shared" si="48"/>
        <v>0</v>
      </c>
      <c r="T37" s="79">
        <f t="shared" si="48"/>
        <v>0</v>
      </c>
      <c r="U37" s="79">
        <f t="shared" si="48"/>
        <v>0</v>
      </c>
      <c r="V37" s="79">
        <f t="shared" si="48"/>
        <v>0</v>
      </c>
      <c r="W37" s="72" t="s">
        <v>175</v>
      </c>
      <c r="X37" s="72">
        <f t="shared" si="33"/>
        <v>22</v>
      </c>
      <c r="Y37" s="72">
        <f t="shared" ref="Y37:AJ37" si="49">SUM(Y38:Y41)</f>
        <v>14</v>
      </c>
      <c r="Z37" s="72">
        <f t="shared" si="49"/>
        <v>8</v>
      </c>
      <c r="AA37" s="72">
        <f t="shared" si="49"/>
        <v>0</v>
      </c>
      <c r="AB37" s="72">
        <f t="shared" si="49"/>
        <v>0</v>
      </c>
      <c r="AC37" s="72">
        <f t="shared" si="49"/>
        <v>0</v>
      </c>
      <c r="AD37" s="72">
        <f t="shared" si="49"/>
        <v>0</v>
      </c>
      <c r="AE37" s="79">
        <f t="shared" si="49"/>
        <v>0</v>
      </c>
      <c r="AF37" s="79">
        <f t="shared" si="49"/>
        <v>0</v>
      </c>
      <c r="AG37" s="79">
        <f t="shared" si="49"/>
        <v>0</v>
      </c>
      <c r="AH37" s="79">
        <f t="shared" si="49"/>
        <v>0</v>
      </c>
      <c r="AI37" s="79">
        <f t="shared" si="49"/>
        <v>0</v>
      </c>
      <c r="AJ37" s="79">
        <f t="shared" si="49"/>
        <v>0</v>
      </c>
      <c r="AK37" s="72" t="s">
        <v>175</v>
      </c>
      <c r="AL37" s="72">
        <f t="shared" si="47"/>
        <v>12</v>
      </c>
      <c r="AM37" s="72">
        <f t="shared" si="35"/>
        <v>8</v>
      </c>
      <c r="AN37" s="72">
        <f t="shared" si="36"/>
        <v>4</v>
      </c>
      <c r="AO37" s="72">
        <f t="shared" si="37"/>
        <v>0</v>
      </c>
      <c r="AP37" s="72">
        <f t="shared" si="38"/>
        <v>0</v>
      </c>
      <c r="AQ37" s="72">
        <f t="shared" si="39"/>
        <v>0</v>
      </c>
      <c r="AR37" s="72">
        <f t="shared" si="40"/>
        <v>0</v>
      </c>
      <c r="AS37" s="79">
        <f t="shared" si="41"/>
        <v>0</v>
      </c>
      <c r="AT37" s="79">
        <f t="shared" si="42"/>
        <v>0</v>
      </c>
      <c r="AU37" s="79">
        <f t="shared" si="43"/>
        <v>0</v>
      </c>
      <c r="AV37" s="79">
        <f t="shared" si="44"/>
        <v>0</v>
      </c>
      <c r="AW37" s="79">
        <f t="shared" si="45"/>
        <v>0</v>
      </c>
      <c r="AX37" s="79">
        <f t="shared" si="46"/>
        <v>0</v>
      </c>
    </row>
    <row r="38" spans="1:50" s="16" customFormat="1" ht="20.5" customHeight="1">
      <c r="A38" s="73" t="s">
        <v>50</v>
      </c>
      <c r="B38" s="74"/>
      <c r="C38" s="74"/>
      <c r="D38" s="74"/>
      <c r="E38" s="74"/>
      <c r="F38" s="74"/>
      <c r="G38" s="74"/>
      <c r="H38" s="74"/>
      <c r="I38" s="74"/>
      <c r="J38" s="73">
        <f t="shared" si="31"/>
        <v>4</v>
      </c>
      <c r="K38" s="73">
        <v>3</v>
      </c>
      <c r="L38" s="73">
        <v>1</v>
      </c>
      <c r="M38" s="73"/>
      <c r="N38" s="73"/>
      <c r="O38" s="73"/>
      <c r="P38" s="73"/>
      <c r="Q38" s="80"/>
      <c r="R38" s="80"/>
      <c r="S38" s="81"/>
      <c r="T38" s="81"/>
      <c r="U38" s="81"/>
      <c r="V38" s="81"/>
      <c r="W38" s="73" t="s">
        <v>50</v>
      </c>
      <c r="X38" s="73">
        <f t="shared" si="33"/>
        <v>13</v>
      </c>
      <c r="Y38" s="73">
        <v>8</v>
      </c>
      <c r="Z38" s="73">
        <v>5</v>
      </c>
      <c r="AA38" s="73"/>
      <c r="AB38" s="73"/>
      <c r="AC38" s="73"/>
      <c r="AD38" s="73"/>
      <c r="AE38" s="80"/>
      <c r="AF38" s="80"/>
      <c r="AG38" s="81"/>
      <c r="AH38" s="81"/>
      <c r="AI38" s="81"/>
      <c r="AJ38" s="81"/>
      <c r="AK38" s="73" t="s">
        <v>50</v>
      </c>
      <c r="AL38" s="73">
        <f t="shared" si="47"/>
        <v>9</v>
      </c>
      <c r="AM38" s="73">
        <f t="shared" si="35"/>
        <v>5</v>
      </c>
      <c r="AN38" s="73">
        <f t="shared" si="36"/>
        <v>4</v>
      </c>
      <c r="AO38" s="73">
        <f t="shared" si="37"/>
        <v>0</v>
      </c>
      <c r="AP38" s="73">
        <f t="shared" si="38"/>
        <v>0</v>
      </c>
      <c r="AQ38" s="73">
        <f t="shared" si="39"/>
        <v>0</v>
      </c>
      <c r="AR38" s="73">
        <f t="shared" si="40"/>
        <v>0</v>
      </c>
      <c r="AS38" s="80">
        <f t="shared" si="41"/>
        <v>0</v>
      </c>
      <c r="AT38" s="80">
        <f t="shared" si="42"/>
        <v>0</v>
      </c>
      <c r="AU38" s="81">
        <f t="shared" si="43"/>
        <v>0</v>
      </c>
      <c r="AV38" s="81">
        <f t="shared" si="44"/>
        <v>0</v>
      </c>
      <c r="AW38" s="81">
        <f t="shared" si="45"/>
        <v>0</v>
      </c>
      <c r="AX38" s="81">
        <f t="shared" si="46"/>
        <v>0</v>
      </c>
    </row>
    <row r="39" spans="1:50" s="16" customFormat="1" ht="20.5" customHeight="1">
      <c r="A39" s="68" t="s">
        <v>51</v>
      </c>
      <c r="B39" s="69"/>
      <c r="C39" s="69"/>
      <c r="D39" s="69"/>
      <c r="E39" s="69"/>
      <c r="F39" s="69"/>
      <c r="G39" s="69"/>
      <c r="H39" s="69"/>
      <c r="I39" s="69"/>
      <c r="J39" s="68">
        <f t="shared" si="31"/>
        <v>5</v>
      </c>
      <c r="K39" s="68">
        <v>2</v>
      </c>
      <c r="L39" s="68">
        <v>3</v>
      </c>
      <c r="M39" s="68"/>
      <c r="N39" s="68"/>
      <c r="O39" s="68"/>
      <c r="P39" s="68"/>
      <c r="Q39" s="75"/>
      <c r="R39" s="75"/>
      <c r="S39" s="76"/>
      <c r="T39" s="76"/>
      <c r="U39" s="76"/>
      <c r="V39" s="76"/>
      <c r="W39" s="68" t="s">
        <v>51</v>
      </c>
      <c r="X39" s="68">
        <f t="shared" si="33"/>
        <v>1</v>
      </c>
      <c r="Y39" s="68"/>
      <c r="Z39" s="68">
        <v>1</v>
      </c>
      <c r="AA39" s="68"/>
      <c r="AB39" s="68"/>
      <c r="AC39" s="68"/>
      <c r="AD39" s="68"/>
      <c r="AE39" s="75"/>
      <c r="AF39" s="75"/>
      <c r="AG39" s="76"/>
      <c r="AH39" s="76"/>
      <c r="AI39" s="76"/>
      <c r="AJ39" s="76"/>
      <c r="AK39" s="68" t="s">
        <v>51</v>
      </c>
      <c r="AL39" s="68">
        <f t="shared" si="47"/>
        <v>-4</v>
      </c>
      <c r="AM39" s="68">
        <f t="shared" si="35"/>
        <v>-2</v>
      </c>
      <c r="AN39" s="68">
        <f t="shared" si="36"/>
        <v>-2</v>
      </c>
      <c r="AO39" s="68">
        <f t="shared" si="37"/>
        <v>0</v>
      </c>
      <c r="AP39" s="68">
        <f t="shared" si="38"/>
        <v>0</v>
      </c>
      <c r="AQ39" s="68">
        <f t="shared" si="39"/>
        <v>0</v>
      </c>
      <c r="AR39" s="68">
        <f t="shared" si="40"/>
        <v>0</v>
      </c>
      <c r="AS39" s="75">
        <f t="shared" si="41"/>
        <v>0</v>
      </c>
      <c r="AT39" s="75">
        <f t="shared" si="42"/>
        <v>0</v>
      </c>
      <c r="AU39" s="76">
        <f t="shared" si="43"/>
        <v>0</v>
      </c>
      <c r="AV39" s="76">
        <f t="shared" si="44"/>
        <v>0</v>
      </c>
      <c r="AW39" s="76">
        <f t="shared" si="45"/>
        <v>0</v>
      </c>
      <c r="AX39" s="76">
        <f t="shared" si="46"/>
        <v>0</v>
      </c>
    </row>
    <row r="40" spans="1:50" s="16" customFormat="1" ht="20.5" customHeight="1">
      <c r="A40" s="68" t="s">
        <v>52</v>
      </c>
      <c r="B40" s="69"/>
      <c r="C40" s="69"/>
      <c r="D40" s="69"/>
      <c r="E40" s="69"/>
      <c r="F40" s="69"/>
      <c r="G40" s="69"/>
      <c r="H40" s="69"/>
      <c r="I40" s="69"/>
      <c r="J40" s="68">
        <f t="shared" si="31"/>
        <v>1</v>
      </c>
      <c r="K40" s="68">
        <v>1</v>
      </c>
      <c r="L40" s="68"/>
      <c r="M40" s="68"/>
      <c r="N40" s="68"/>
      <c r="O40" s="68"/>
      <c r="P40" s="68"/>
      <c r="Q40" s="75"/>
      <c r="R40" s="75"/>
      <c r="S40" s="76"/>
      <c r="T40" s="76"/>
      <c r="U40" s="76"/>
      <c r="V40" s="76"/>
      <c r="W40" s="68" t="s">
        <v>52</v>
      </c>
      <c r="X40" s="68">
        <f t="shared" si="33"/>
        <v>5</v>
      </c>
      <c r="Y40" s="68">
        <v>4</v>
      </c>
      <c r="Z40" s="68">
        <v>1</v>
      </c>
      <c r="AA40" s="68"/>
      <c r="AB40" s="68"/>
      <c r="AC40" s="68"/>
      <c r="AD40" s="68"/>
      <c r="AE40" s="75"/>
      <c r="AF40" s="75"/>
      <c r="AG40" s="76"/>
      <c r="AH40" s="76"/>
      <c r="AI40" s="76"/>
      <c r="AJ40" s="76"/>
      <c r="AK40" s="68" t="s">
        <v>52</v>
      </c>
      <c r="AL40" s="68">
        <f t="shared" si="47"/>
        <v>4</v>
      </c>
      <c r="AM40" s="68">
        <f t="shared" si="35"/>
        <v>3</v>
      </c>
      <c r="AN40" s="68">
        <f t="shared" si="36"/>
        <v>1</v>
      </c>
      <c r="AO40" s="68">
        <f t="shared" si="37"/>
        <v>0</v>
      </c>
      <c r="AP40" s="68">
        <f t="shared" si="38"/>
        <v>0</v>
      </c>
      <c r="AQ40" s="68">
        <f t="shared" si="39"/>
        <v>0</v>
      </c>
      <c r="AR40" s="68">
        <f t="shared" si="40"/>
        <v>0</v>
      </c>
      <c r="AS40" s="75">
        <f t="shared" si="41"/>
        <v>0</v>
      </c>
      <c r="AT40" s="75">
        <f t="shared" si="42"/>
        <v>0</v>
      </c>
      <c r="AU40" s="76">
        <f t="shared" si="43"/>
        <v>0</v>
      </c>
      <c r="AV40" s="76">
        <f t="shared" si="44"/>
        <v>0</v>
      </c>
      <c r="AW40" s="76">
        <f t="shared" si="45"/>
        <v>0</v>
      </c>
      <c r="AX40" s="76">
        <f t="shared" si="46"/>
        <v>0</v>
      </c>
    </row>
    <row r="41" spans="1:50" s="16" customFormat="1" ht="20.5" customHeight="1">
      <c r="A41" s="70" t="s">
        <v>53</v>
      </c>
      <c r="B41" s="71"/>
      <c r="C41" s="71"/>
      <c r="D41" s="71"/>
      <c r="E41" s="71"/>
      <c r="F41" s="71"/>
      <c r="G41" s="71"/>
      <c r="H41" s="71"/>
      <c r="I41" s="71"/>
      <c r="J41" s="70">
        <f t="shared" si="31"/>
        <v>0</v>
      </c>
      <c r="K41" s="70"/>
      <c r="L41" s="70"/>
      <c r="M41" s="70"/>
      <c r="N41" s="70"/>
      <c r="O41" s="70"/>
      <c r="P41" s="70"/>
      <c r="Q41" s="77"/>
      <c r="R41" s="77"/>
      <c r="S41" s="78"/>
      <c r="T41" s="78"/>
      <c r="U41" s="78"/>
      <c r="V41" s="78"/>
      <c r="W41" s="70" t="s">
        <v>53</v>
      </c>
      <c r="X41" s="70">
        <f t="shared" si="33"/>
        <v>3</v>
      </c>
      <c r="Y41" s="70">
        <v>2</v>
      </c>
      <c r="Z41" s="70">
        <v>1</v>
      </c>
      <c r="AA41" s="70"/>
      <c r="AB41" s="70"/>
      <c r="AC41" s="70"/>
      <c r="AD41" s="70"/>
      <c r="AE41" s="77"/>
      <c r="AF41" s="77"/>
      <c r="AG41" s="78"/>
      <c r="AH41" s="78"/>
      <c r="AI41" s="78"/>
      <c r="AJ41" s="78"/>
      <c r="AK41" s="70" t="s">
        <v>53</v>
      </c>
      <c r="AL41" s="70">
        <f t="shared" si="47"/>
        <v>3</v>
      </c>
      <c r="AM41" s="70">
        <f t="shared" si="35"/>
        <v>2</v>
      </c>
      <c r="AN41" s="70">
        <f t="shared" si="36"/>
        <v>1</v>
      </c>
      <c r="AO41" s="70">
        <f t="shared" si="37"/>
        <v>0</v>
      </c>
      <c r="AP41" s="70">
        <f t="shared" si="38"/>
        <v>0</v>
      </c>
      <c r="AQ41" s="70">
        <f t="shared" si="39"/>
        <v>0</v>
      </c>
      <c r="AR41" s="70">
        <f t="shared" si="40"/>
        <v>0</v>
      </c>
      <c r="AS41" s="77">
        <f t="shared" si="41"/>
        <v>0</v>
      </c>
      <c r="AT41" s="77">
        <f t="shared" si="42"/>
        <v>0</v>
      </c>
      <c r="AU41" s="78">
        <f t="shared" si="43"/>
        <v>0</v>
      </c>
      <c r="AV41" s="78">
        <f t="shared" si="44"/>
        <v>0</v>
      </c>
      <c r="AW41" s="78">
        <f t="shared" si="45"/>
        <v>0</v>
      </c>
      <c r="AX41" s="78">
        <f t="shared" si="46"/>
        <v>0</v>
      </c>
    </row>
    <row r="42" spans="1:50" s="23" customFormat="1" ht="20.5" customHeight="1">
      <c r="A42" s="72" t="s">
        <v>15</v>
      </c>
      <c r="B42" s="55"/>
      <c r="C42" s="55"/>
      <c r="D42" s="55"/>
      <c r="E42" s="55"/>
      <c r="F42" s="55"/>
      <c r="G42" s="55"/>
      <c r="H42" s="55"/>
      <c r="I42" s="55"/>
      <c r="J42" s="72">
        <f t="shared" si="31"/>
        <v>14</v>
      </c>
      <c r="K42" s="72">
        <f t="shared" ref="K42:V42" si="50">SUM(K43:K47)</f>
        <v>12</v>
      </c>
      <c r="L42" s="72">
        <f t="shared" si="50"/>
        <v>2</v>
      </c>
      <c r="M42" s="72">
        <f t="shared" si="50"/>
        <v>0</v>
      </c>
      <c r="N42" s="72">
        <f t="shared" si="50"/>
        <v>0</v>
      </c>
      <c r="O42" s="72">
        <f t="shared" si="50"/>
        <v>0</v>
      </c>
      <c r="P42" s="72">
        <f t="shared" si="50"/>
        <v>0</v>
      </c>
      <c r="Q42" s="79">
        <f t="shared" si="50"/>
        <v>0</v>
      </c>
      <c r="R42" s="79">
        <f t="shared" si="50"/>
        <v>0</v>
      </c>
      <c r="S42" s="79">
        <f t="shared" si="50"/>
        <v>0</v>
      </c>
      <c r="T42" s="79">
        <f t="shared" si="50"/>
        <v>0</v>
      </c>
      <c r="U42" s="79">
        <f t="shared" si="50"/>
        <v>0</v>
      </c>
      <c r="V42" s="79">
        <f t="shared" si="50"/>
        <v>0</v>
      </c>
      <c r="W42" s="72" t="s">
        <v>15</v>
      </c>
      <c r="X42" s="72">
        <f t="shared" si="33"/>
        <v>82</v>
      </c>
      <c r="Y42" s="72">
        <f t="shared" ref="Y42:AJ42" si="51">SUM(Y43:Y47)</f>
        <v>81</v>
      </c>
      <c r="Z42" s="72">
        <f t="shared" si="51"/>
        <v>1</v>
      </c>
      <c r="AA42" s="72">
        <f t="shared" si="51"/>
        <v>0</v>
      </c>
      <c r="AB42" s="72">
        <f t="shared" si="51"/>
        <v>0</v>
      </c>
      <c r="AC42" s="72">
        <f t="shared" si="51"/>
        <v>0</v>
      </c>
      <c r="AD42" s="72">
        <f t="shared" si="51"/>
        <v>0</v>
      </c>
      <c r="AE42" s="79">
        <f t="shared" si="51"/>
        <v>0</v>
      </c>
      <c r="AF42" s="79">
        <f t="shared" si="51"/>
        <v>0</v>
      </c>
      <c r="AG42" s="79">
        <f t="shared" si="51"/>
        <v>0</v>
      </c>
      <c r="AH42" s="79">
        <f t="shared" si="51"/>
        <v>0</v>
      </c>
      <c r="AI42" s="79">
        <f t="shared" si="51"/>
        <v>0</v>
      </c>
      <c r="AJ42" s="79">
        <f t="shared" si="51"/>
        <v>0</v>
      </c>
      <c r="AK42" s="72" t="s">
        <v>15</v>
      </c>
      <c r="AL42" s="72">
        <f t="shared" si="47"/>
        <v>68</v>
      </c>
      <c r="AM42" s="72">
        <f t="shared" si="35"/>
        <v>69</v>
      </c>
      <c r="AN42" s="72">
        <f t="shared" si="36"/>
        <v>-1</v>
      </c>
      <c r="AO42" s="72">
        <f t="shared" si="37"/>
        <v>0</v>
      </c>
      <c r="AP42" s="72">
        <f t="shared" si="38"/>
        <v>0</v>
      </c>
      <c r="AQ42" s="72">
        <f t="shared" si="39"/>
        <v>0</v>
      </c>
      <c r="AR42" s="72">
        <f t="shared" si="40"/>
        <v>0</v>
      </c>
      <c r="AS42" s="79">
        <f t="shared" si="41"/>
        <v>0</v>
      </c>
      <c r="AT42" s="79">
        <f t="shared" si="42"/>
        <v>0</v>
      </c>
      <c r="AU42" s="79">
        <f t="shared" si="43"/>
        <v>0</v>
      </c>
      <c r="AV42" s="79">
        <f t="shared" si="44"/>
        <v>0</v>
      </c>
      <c r="AW42" s="79">
        <f t="shared" si="45"/>
        <v>0</v>
      </c>
      <c r="AX42" s="79">
        <f t="shared" si="46"/>
        <v>0</v>
      </c>
    </row>
    <row r="43" spans="1:50" s="16" customFormat="1" ht="20.5" customHeight="1">
      <c r="A43" s="68">
        <v>1</v>
      </c>
      <c r="B43" s="69"/>
      <c r="C43" s="69"/>
      <c r="D43" s="69"/>
      <c r="E43" s="69"/>
      <c r="F43" s="69"/>
      <c r="G43" s="69"/>
      <c r="H43" s="69"/>
      <c r="I43" s="69"/>
      <c r="J43" s="68">
        <f t="shared" si="31"/>
        <v>4</v>
      </c>
      <c r="K43" s="68">
        <v>4</v>
      </c>
      <c r="L43" s="68"/>
      <c r="M43" s="68"/>
      <c r="N43" s="68"/>
      <c r="O43" s="68"/>
      <c r="P43" s="68"/>
      <c r="Q43" s="75"/>
      <c r="R43" s="75"/>
      <c r="S43" s="76"/>
      <c r="T43" s="76"/>
      <c r="U43" s="76"/>
      <c r="V43" s="76"/>
      <c r="W43" s="68">
        <v>1</v>
      </c>
      <c r="X43" s="68">
        <f t="shared" ref="X43:X56" si="52">SUM(Y43:AK43)</f>
        <v>48</v>
      </c>
      <c r="Y43" s="162">
        <v>46</v>
      </c>
      <c r="Z43" s="68">
        <v>1</v>
      </c>
      <c r="AA43" s="68"/>
      <c r="AB43" s="68"/>
      <c r="AC43" s="68"/>
      <c r="AD43" s="68"/>
      <c r="AE43" s="75"/>
      <c r="AF43" s="75"/>
      <c r="AG43" s="76"/>
      <c r="AH43" s="76"/>
      <c r="AI43" s="76"/>
      <c r="AJ43" s="76"/>
      <c r="AK43" s="68">
        <v>1</v>
      </c>
      <c r="AL43" s="68">
        <f t="shared" si="47"/>
        <v>44</v>
      </c>
      <c r="AM43" s="162">
        <f t="shared" si="35"/>
        <v>42</v>
      </c>
      <c r="AN43" s="68">
        <f t="shared" si="36"/>
        <v>1</v>
      </c>
      <c r="AO43" s="68">
        <f t="shared" si="37"/>
        <v>0</v>
      </c>
      <c r="AP43" s="68">
        <f t="shared" si="38"/>
        <v>0</v>
      </c>
      <c r="AQ43" s="68">
        <f t="shared" si="39"/>
        <v>0</v>
      </c>
      <c r="AR43" s="68">
        <f t="shared" si="40"/>
        <v>0</v>
      </c>
      <c r="AS43" s="75">
        <f t="shared" si="41"/>
        <v>0</v>
      </c>
      <c r="AT43" s="75">
        <f t="shared" si="42"/>
        <v>0</v>
      </c>
      <c r="AU43" s="76">
        <f t="shared" si="43"/>
        <v>0</v>
      </c>
      <c r="AV43" s="76">
        <f t="shared" si="44"/>
        <v>0</v>
      </c>
      <c r="AW43" s="76">
        <f t="shared" si="45"/>
        <v>0</v>
      </c>
      <c r="AX43" s="76">
        <f t="shared" si="46"/>
        <v>0</v>
      </c>
    </row>
    <row r="44" spans="1:50" s="16" customFormat="1" ht="20.5" customHeight="1">
      <c r="A44" s="68">
        <v>2</v>
      </c>
      <c r="B44" s="69"/>
      <c r="C44" s="69"/>
      <c r="D44" s="69"/>
      <c r="E44" s="69"/>
      <c r="F44" s="69"/>
      <c r="G44" s="69"/>
      <c r="H44" s="69"/>
      <c r="I44" s="69"/>
      <c r="J44" s="68">
        <f t="shared" ref="J44:J56" si="53">SUM(K44:V44)</f>
        <v>4</v>
      </c>
      <c r="K44" s="68">
        <v>4</v>
      </c>
      <c r="L44" s="68"/>
      <c r="M44" s="68"/>
      <c r="N44" s="68"/>
      <c r="O44" s="68"/>
      <c r="P44" s="68"/>
      <c r="Q44" s="75"/>
      <c r="R44" s="75"/>
      <c r="S44" s="76"/>
      <c r="T44" s="76"/>
      <c r="U44" s="76"/>
      <c r="V44" s="76"/>
      <c r="W44" s="68">
        <v>2</v>
      </c>
      <c r="X44" s="68">
        <f t="shared" si="52"/>
        <v>7</v>
      </c>
      <c r="Y44" s="68">
        <v>5</v>
      </c>
      <c r="Z44" s="68"/>
      <c r="AA44" s="68"/>
      <c r="AB44" s="68"/>
      <c r="AC44" s="68"/>
      <c r="AD44" s="68"/>
      <c r="AE44" s="75"/>
      <c r="AF44" s="75"/>
      <c r="AG44" s="76"/>
      <c r="AH44" s="76"/>
      <c r="AI44" s="76"/>
      <c r="AJ44" s="76"/>
      <c r="AK44" s="68">
        <v>2</v>
      </c>
      <c r="AL44" s="68">
        <f t="shared" si="47"/>
        <v>3</v>
      </c>
      <c r="AM44" s="68">
        <f t="shared" si="35"/>
        <v>1</v>
      </c>
      <c r="AN44" s="68">
        <f t="shared" si="36"/>
        <v>0</v>
      </c>
      <c r="AO44" s="68">
        <f t="shared" si="37"/>
        <v>0</v>
      </c>
      <c r="AP44" s="68">
        <f t="shared" si="38"/>
        <v>0</v>
      </c>
      <c r="AQ44" s="68">
        <f t="shared" si="39"/>
        <v>0</v>
      </c>
      <c r="AR44" s="68">
        <f t="shared" si="40"/>
        <v>0</v>
      </c>
      <c r="AS44" s="75">
        <f t="shared" si="41"/>
        <v>0</v>
      </c>
      <c r="AT44" s="75">
        <f t="shared" si="42"/>
        <v>0</v>
      </c>
      <c r="AU44" s="76">
        <f t="shared" si="43"/>
        <v>0</v>
      </c>
      <c r="AV44" s="76">
        <f t="shared" si="44"/>
        <v>0</v>
      </c>
      <c r="AW44" s="76">
        <f t="shared" si="45"/>
        <v>0</v>
      </c>
      <c r="AX44" s="76">
        <f t="shared" si="46"/>
        <v>0</v>
      </c>
    </row>
    <row r="45" spans="1:50" s="16" customFormat="1" ht="20.5" customHeight="1">
      <c r="A45" s="68">
        <v>3</v>
      </c>
      <c r="B45" s="69"/>
      <c r="C45" s="69"/>
      <c r="D45" s="69"/>
      <c r="E45" s="69"/>
      <c r="F45" s="69"/>
      <c r="G45" s="69"/>
      <c r="H45" s="69"/>
      <c r="I45" s="69"/>
      <c r="J45" s="68">
        <f t="shared" si="53"/>
        <v>2</v>
      </c>
      <c r="K45" s="68">
        <v>1</v>
      </c>
      <c r="L45" s="68">
        <v>1</v>
      </c>
      <c r="M45" s="68"/>
      <c r="N45" s="68"/>
      <c r="O45" s="68"/>
      <c r="P45" s="68"/>
      <c r="Q45" s="75"/>
      <c r="R45" s="75"/>
      <c r="S45" s="76"/>
      <c r="T45" s="76"/>
      <c r="U45" s="76"/>
      <c r="V45" s="76"/>
      <c r="W45" s="68">
        <v>3</v>
      </c>
      <c r="X45" s="68">
        <f t="shared" si="52"/>
        <v>14</v>
      </c>
      <c r="Y45" s="68">
        <v>11</v>
      </c>
      <c r="Z45" s="68"/>
      <c r="AA45" s="68"/>
      <c r="AB45" s="68"/>
      <c r="AC45" s="68"/>
      <c r="AD45" s="68"/>
      <c r="AE45" s="75"/>
      <c r="AF45" s="75"/>
      <c r="AG45" s="76"/>
      <c r="AH45" s="76"/>
      <c r="AI45" s="76"/>
      <c r="AJ45" s="76"/>
      <c r="AK45" s="68">
        <v>3</v>
      </c>
      <c r="AL45" s="68">
        <f t="shared" si="47"/>
        <v>12</v>
      </c>
      <c r="AM45" s="68">
        <f t="shared" si="35"/>
        <v>10</v>
      </c>
      <c r="AN45" s="68">
        <f t="shared" si="36"/>
        <v>-1</v>
      </c>
      <c r="AO45" s="68">
        <f t="shared" si="37"/>
        <v>0</v>
      </c>
      <c r="AP45" s="68">
        <f t="shared" si="38"/>
        <v>0</v>
      </c>
      <c r="AQ45" s="68">
        <f t="shared" si="39"/>
        <v>0</v>
      </c>
      <c r="AR45" s="68">
        <f t="shared" si="40"/>
        <v>0</v>
      </c>
      <c r="AS45" s="75">
        <f t="shared" si="41"/>
        <v>0</v>
      </c>
      <c r="AT45" s="75">
        <f t="shared" si="42"/>
        <v>0</v>
      </c>
      <c r="AU45" s="76">
        <f t="shared" si="43"/>
        <v>0</v>
      </c>
      <c r="AV45" s="76">
        <f t="shared" si="44"/>
        <v>0</v>
      </c>
      <c r="AW45" s="76">
        <f t="shared" si="45"/>
        <v>0</v>
      </c>
      <c r="AX45" s="76">
        <f t="shared" si="46"/>
        <v>0</v>
      </c>
    </row>
    <row r="46" spans="1:50" s="16" customFormat="1" ht="20.5" customHeight="1">
      <c r="A46" s="68">
        <v>4</v>
      </c>
      <c r="B46" s="69"/>
      <c r="C46" s="69"/>
      <c r="D46" s="69"/>
      <c r="E46" s="69"/>
      <c r="F46" s="69"/>
      <c r="G46" s="69"/>
      <c r="H46" s="69"/>
      <c r="I46" s="69"/>
      <c r="J46" s="68">
        <f t="shared" si="53"/>
        <v>3</v>
      </c>
      <c r="K46" s="68">
        <v>3</v>
      </c>
      <c r="L46" s="68"/>
      <c r="M46" s="68"/>
      <c r="N46" s="68"/>
      <c r="O46" s="68"/>
      <c r="P46" s="68"/>
      <c r="Q46" s="75"/>
      <c r="R46" s="75"/>
      <c r="S46" s="76"/>
      <c r="T46" s="76"/>
      <c r="U46" s="76"/>
      <c r="V46" s="76"/>
      <c r="W46" s="68">
        <v>4</v>
      </c>
      <c r="X46" s="68">
        <f t="shared" si="52"/>
        <v>13</v>
      </c>
      <c r="Y46" s="68">
        <v>9</v>
      </c>
      <c r="Z46" s="68"/>
      <c r="AA46" s="68"/>
      <c r="AB46" s="68"/>
      <c r="AC46" s="68"/>
      <c r="AD46" s="68"/>
      <c r="AE46" s="75"/>
      <c r="AF46" s="75"/>
      <c r="AG46" s="76"/>
      <c r="AH46" s="76"/>
      <c r="AI46" s="76"/>
      <c r="AJ46" s="76"/>
      <c r="AK46" s="68">
        <v>4</v>
      </c>
      <c r="AL46" s="68">
        <f t="shared" si="47"/>
        <v>10</v>
      </c>
      <c r="AM46" s="68">
        <f t="shared" si="35"/>
        <v>6</v>
      </c>
      <c r="AN46" s="68">
        <f t="shared" si="36"/>
        <v>0</v>
      </c>
      <c r="AO46" s="68">
        <f t="shared" si="37"/>
        <v>0</v>
      </c>
      <c r="AP46" s="68">
        <f t="shared" si="38"/>
        <v>0</v>
      </c>
      <c r="AQ46" s="68">
        <f t="shared" si="39"/>
        <v>0</v>
      </c>
      <c r="AR46" s="68">
        <f t="shared" si="40"/>
        <v>0</v>
      </c>
      <c r="AS46" s="75">
        <f t="shared" si="41"/>
        <v>0</v>
      </c>
      <c r="AT46" s="75">
        <f t="shared" si="42"/>
        <v>0</v>
      </c>
      <c r="AU46" s="76">
        <f t="shared" si="43"/>
        <v>0</v>
      </c>
      <c r="AV46" s="76">
        <f t="shared" si="44"/>
        <v>0</v>
      </c>
      <c r="AW46" s="76">
        <f t="shared" si="45"/>
        <v>0</v>
      </c>
      <c r="AX46" s="76">
        <f t="shared" si="46"/>
        <v>0</v>
      </c>
    </row>
    <row r="47" spans="1:50" s="16" customFormat="1" ht="20.5" customHeight="1">
      <c r="A47" s="70">
        <v>5</v>
      </c>
      <c r="B47" s="71"/>
      <c r="C47" s="71"/>
      <c r="D47" s="71"/>
      <c r="E47" s="71"/>
      <c r="F47" s="71"/>
      <c r="G47" s="71"/>
      <c r="H47" s="71"/>
      <c r="I47" s="71"/>
      <c r="J47" s="70">
        <f t="shared" si="53"/>
        <v>1</v>
      </c>
      <c r="K47" s="70"/>
      <c r="L47" s="70">
        <v>1</v>
      </c>
      <c r="M47" s="70"/>
      <c r="N47" s="70"/>
      <c r="O47" s="70"/>
      <c r="P47" s="70"/>
      <c r="Q47" s="77"/>
      <c r="R47" s="77"/>
      <c r="S47" s="78"/>
      <c r="T47" s="78"/>
      <c r="U47" s="78"/>
      <c r="V47" s="78"/>
      <c r="W47" s="70">
        <v>5</v>
      </c>
      <c r="X47" s="70">
        <f t="shared" si="52"/>
        <v>15</v>
      </c>
      <c r="Y47" s="70">
        <v>10</v>
      </c>
      <c r="Z47" s="70"/>
      <c r="AA47" s="70"/>
      <c r="AB47" s="70"/>
      <c r="AC47" s="70"/>
      <c r="AD47" s="70"/>
      <c r="AE47" s="77"/>
      <c r="AF47" s="77"/>
      <c r="AG47" s="78"/>
      <c r="AH47" s="78"/>
      <c r="AI47" s="78"/>
      <c r="AJ47" s="78"/>
      <c r="AK47" s="70">
        <v>5</v>
      </c>
      <c r="AL47" s="70">
        <f t="shared" si="47"/>
        <v>14</v>
      </c>
      <c r="AM47" s="70">
        <f t="shared" si="35"/>
        <v>10</v>
      </c>
      <c r="AN47" s="70">
        <f t="shared" si="36"/>
        <v>-1</v>
      </c>
      <c r="AO47" s="70">
        <f t="shared" si="37"/>
        <v>0</v>
      </c>
      <c r="AP47" s="70">
        <f t="shared" si="38"/>
        <v>0</v>
      </c>
      <c r="AQ47" s="70">
        <f t="shared" si="39"/>
        <v>0</v>
      </c>
      <c r="AR47" s="70">
        <f t="shared" si="40"/>
        <v>0</v>
      </c>
      <c r="AS47" s="77">
        <f t="shared" si="41"/>
        <v>0</v>
      </c>
      <c r="AT47" s="77">
        <f t="shared" si="42"/>
        <v>0</v>
      </c>
      <c r="AU47" s="78">
        <f t="shared" si="43"/>
        <v>0</v>
      </c>
      <c r="AV47" s="78">
        <f t="shared" si="44"/>
        <v>0</v>
      </c>
      <c r="AW47" s="78">
        <f t="shared" si="45"/>
        <v>0</v>
      </c>
      <c r="AX47" s="78">
        <f t="shared" si="46"/>
        <v>0</v>
      </c>
    </row>
    <row r="48" spans="1:50" s="16" customFormat="1" ht="20.5" customHeight="1">
      <c r="A48" s="72" t="s">
        <v>16</v>
      </c>
      <c r="B48" s="55"/>
      <c r="C48" s="55"/>
      <c r="D48" s="55"/>
      <c r="E48" s="55"/>
      <c r="F48" s="55"/>
      <c r="G48" s="55"/>
      <c r="H48" s="55"/>
      <c r="I48" s="55"/>
      <c r="J48" s="72">
        <f>SUM(K48:V48)</f>
        <v>10</v>
      </c>
      <c r="K48" s="72">
        <f t="shared" ref="K48:V48" si="54">SUM(K49:K52)</f>
        <v>8</v>
      </c>
      <c r="L48" s="72">
        <f t="shared" si="54"/>
        <v>2</v>
      </c>
      <c r="M48" s="72">
        <f t="shared" si="54"/>
        <v>0</v>
      </c>
      <c r="N48" s="72">
        <f t="shared" si="54"/>
        <v>0</v>
      </c>
      <c r="O48" s="72">
        <f t="shared" si="54"/>
        <v>0</v>
      </c>
      <c r="P48" s="72">
        <f t="shared" si="54"/>
        <v>0</v>
      </c>
      <c r="Q48" s="79">
        <f t="shared" si="54"/>
        <v>0</v>
      </c>
      <c r="R48" s="79">
        <f t="shared" si="54"/>
        <v>0</v>
      </c>
      <c r="S48" s="79">
        <f t="shared" si="54"/>
        <v>0</v>
      </c>
      <c r="T48" s="79">
        <f t="shared" si="54"/>
        <v>0</v>
      </c>
      <c r="U48" s="79">
        <f t="shared" si="54"/>
        <v>0</v>
      </c>
      <c r="V48" s="79">
        <f t="shared" si="54"/>
        <v>0</v>
      </c>
      <c r="W48" s="72" t="s">
        <v>16</v>
      </c>
      <c r="X48" s="72">
        <f>SUM(Y48:AK48)</f>
        <v>50</v>
      </c>
      <c r="Y48" s="72">
        <f t="shared" ref="Y48:AJ48" si="55">SUM(Y49:Y52)</f>
        <v>45</v>
      </c>
      <c r="Z48" s="72">
        <f t="shared" si="55"/>
        <v>5</v>
      </c>
      <c r="AA48" s="72">
        <f t="shared" si="55"/>
        <v>0</v>
      </c>
      <c r="AB48" s="72">
        <f t="shared" si="55"/>
        <v>0</v>
      </c>
      <c r="AC48" s="72">
        <f t="shared" si="55"/>
        <v>0</v>
      </c>
      <c r="AD48" s="72">
        <f t="shared" si="55"/>
        <v>0</v>
      </c>
      <c r="AE48" s="79">
        <f t="shared" si="55"/>
        <v>0</v>
      </c>
      <c r="AF48" s="79">
        <f t="shared" si="55"/>
        <v>0</v>
      </c>
      <c r="AG48" s="79">
        <f t="shared" si="55"/>
        <v>0</v>
      </c>
      <c r="AH48" s="79">
        <f t="shared" si="55"/>
        <v>0</v>
      </c>
      <c r="AI48" s="79">
        <f t="shared" si="55"/>
        <v>0</v>
      </c>
      <c r="AJ48" s="79">
        <f t="shared" si="55"/>
        <v>0</v>
      </c>
      <c r="AK48" s="72" t="s">
        <v>16</v>
      </c>
      <c r="AL48" s="72">
        <f t="shared" si="47"/>
        <v>40</v>
      </c>
      <c r="AM48" s="72">
        <f t="shared" si="35"/>
        <v>37</v>
      </c>
      <c r="AN48" s="72">
        <f t="shared" si="36"/>
        <v>3</v>
      </c>
      <c r="AO48" s="72">
        <f t="shared" si="37"/>
        <v>0</v>
      </c>
      <c r="AP48" s="72">
        <f t="shared" si="38"/>
        <v>0</v>
      </c>
      <c r="AQ48" s="72">
        <f t="shared" si="39"/>
        <v>0</v>
      </c>
      <c r="AR48" s="72">
        <f t="shared" si="40"/>
        <v>0</v>
      </c>
      <c r="AS48" s="79">
        <f t="shared" si="41"/>
        <v>0</v>
      </c>
      <c r="AT48" s="79">
        <f t="shared" si="42"/>
        <v>0</v>
      </c>
      <c r="AU48" s="79">
        <f t="shared" si="43"/>
        <v>0</v>
      </c>
      <c r="AV48" s="79">
        <f t="shared" si="44"/>
        <v>0</v>
      </c>
      <c r="AW48" s="79">
        <f t="shared" si="45"/>
        <v>0</v>
      </c>
      <c r="AX48" s="79">
        <f t="shared" si="46"/>
        <v>0</v>
      </c>
    </row>
    <row r="49" spans="1:50" s="16" customFormat="1" ht="20.5" customHeight="1">
      <c r="A49" s="73">
        <v>6</v>
      </c>
      <c r="B49" s="74"/>
      <c r="C49" s="74"/>
      <c r="D49" s="74"/>
      <c r="E49" s="74"/>
      <c r="F49" s="74"/>
      <c r="G49" s="74"/>
      <c r="H49" s="74"/>
      <c r="I49" s="74"/>
      <c r="J49" s="73">
        <f t="shared" si="53"/>
        <v>5</v>
      </c>
      <c r="K49" s="73">
        <v>5</v>
      </c>
      <c r="L49" s="73"/>
      <c r="M49" s="73"/>
      <c r="N49" s="73"/>
      <c r="O49" s="73"/>
      <c r="P49" s="73"/>
      <c r="Q49" s="80"/>
      <c r="R49" s="80"/>
      <c r="S49" s="81"/>
      <c r="T49" s="81"/>
      <c r="U49" s="81"/>
      <c r="V49" s="81"/>
      <c r="W49" s="73">
        <v>6</v>
      </c>
      <c r="X49" s="73">
        <f t="shared" si="52"/>
        <v>53</v>
      </c>
      <c r="Y49" s="163">
        <v>45</v>
      </c>
      <c r="Z49" s="73">
        <v>2</v>
      </c>
      <c r="AA49" s="73"/>
      <c r="AB49" s="73"/>
      <c r="AC49" s="73"/>
      <c r="AD49" s="73"/>
      <c r="AE49" s="80"/>
      <c r="AF49" s="80"/>
      <c r="AG49" s="81"/>
      <c r="AH49" s="81"/>
      <c r="AI49" s="81"/>
      <c r="AJ49" s="81"/>
      <c r="AK49" s="73">
        <v>6</v>
      </c>
      <c r="AL49" s="73">
        <f t="shared" si="47"/>
        <v>48</v>
      </c>
      <c r="AM49" s="163">
        <f t="shared" si="35"/>
        <v>40</v>
      </c>
      <c r="AN49" s="73">
        <f t="shared" si="36"/>
        <v>2</v>
      </c>
      <c r="AO49" s="73">
        <f t="shared" si="37"/>
        <v>0</v>
      </c>
      <c r="AP49" s="73">
        <f t="shared" si="38"/>
        <v>0</v>
      </c>
      <c r="AQ49" s="73">
        <f t="shared" si="39"/>
        <v>0</v>
      </c>
      <c r="AR49" s="73">
        <f t="shared" si="40"/>
        <v>0</v>
      </c>
      <c r="AS49" s="80">
        <f t="shared" si="41"/>
        <v>0</v>
      </c>
      <c r="AT49" s="80">
        <f t="shared" si="42"/>
        <v>0</v>
      </c>
      <c r="AU49" s="81">
        <f t="shared" si="43"/>
        <v>0</v>
      </c>
      <c r="AV49" s="81">
        <f t="shared" si="44"/>
        <v>0</v>
      </c>
      <c r="AW49" s="81">
        <f t="shared" si="45"/>
        <v>0</v>
      </c>
      <c r="AX49" s="81">
        <f t="shared" si="46"/>
        <v>0</v>
      </c>
    </row>
    <row r="50" spans="1:50" s="16" customFormat="1" ht="20.5" customHeight="1">
      <c r="A50" s="68">
        <v>7</v>
      </c>
      <c r="B50" s="69"/>
      <c r="C50" s="69"/>
      <c r="D50" s="69"/>
      <c r="E50" s="69"/>
      <c r="F50" s="69"/>
      <c r="G50" s="69"/>
      <c r="H50" s="69"/>
      <c r="I50" s="69"/>
      <c r="J50" s="68">
        <f t="shared" si="53"/>
        <v>4</v>
      </c>
      <c r="K50" s="68">
        <v>3</v>
      </c>
      <c r="L50" s="68">
        <v>1</v>
      </c>
      <c r="M50" s="68"/>
      <c r="N50" s="68"/>
      <c r="O50" s="68"/>
      <c r="P50" s="68"/>
      <c r="Q50" s="75"/>
      <c r="R50" s="75"/>
      <c r="S50" s="76"/>
      <c r="T50" s="76"/>
      <c r="U50" s="76"/>
      <c r="V50" s="76"/>
      <c r="W50" s="68">
        <v>7</v>
      </c>
      <c r="X50" s="68">
        <f t="shared" si="52"/>
        <v>8</v>
      </c>
      <c r="Y50" s="68"/>
      <c r="Z50" s="68">
        <v>1</v>
      </c>
      <c r="AA50" s="68"/>
      <c r="AB50" s="68"/>
      <c r="AC50" s="68"/>
      <c r="AD50" s="68"/>
      <c r="AE50" s="75"/>
      <c r="AF50" s="75"/>
      <c r="AG50" s="76"/>
      <c r="AH50" s="76"/>
      <c r="AI50" s="76"/>
      <c r="AJ50" s="76"/>
      <c r="AK50" s="68">
        <v>7</v>
      </c>
      <c r="AL50" s="68">
        <f t="shared" si="47"/>
        <v>4</v>
      </c>
      <c r="AM50" s="68">
        <f t="shared" si="35"/>
        <v>-3</v>
      </c>
      <c r="AN50" s="68">
        <f t="shared" si="36"/>
        <v>0</v>
      </c>
      <c r="AO50" s="68">
        <f t="shared" si="37"/>
        <v>0</v>
      </c>
      <c r="AP50" s="68">
        <f t="shared" si="38"/>
        <v>0</v>
      </c>
      <c r="AQ50" s="68">
        <f t="shared" si="39"/>
        <v>0</v>
      </c>
      <c r="AR50" s="68">
        <f t="shared" si="40"/>
        <v>0</v>
      </c>
      <c r="AS50" s="75">
        <f t="shared" si="41"/>
        <v>0</v>
      </c>
      <c r="AT50" s="75">
        <f t="shared" si="42"/>
        <v>0</v>
      </c>
      <c r="AU50" s="76">
        <f t="shared" si="43"/>
        <v>0</v>
      </c>
      <c r="AV50" s="76">
        <f t="shared" si="44"/>
        <v>0</v>
      </c>
      <c r="AW50" s="76">
        <f t="shared" si="45"/>
        <v>0</v>
      </c>
      <c r="AX50" s="76">
        <f t="shared" si="46"/>
        <v>0</v>
      </c>
    </row>
    <row r="51" spans="1:50" s="16" customFormat="1" ht="20.5" customHeight="1">
      <c r="A51" s="68">
        <v>8</v>
      </c>
      <c r="B51" s="69"/>
      <c r="C51" s="69"/>
      <c r="D51" s="69"/>
      <c r="E51" s="69"/>
      <c r="F51" s="69"/>
      <c r="G51" s="69"/>
      <c r="H51" s="69"/>
      <c r="I51" s="69"/>
      <c r="J51" s="68">
        <f t="shared" si="53"/>
        <v>1</v>
      </c>
      <c r="K51" s="68"/>
      <c r="L51" s="68">
        <v>1</v>
      </c>
      <c r="M51" s="68"/>
      <c r="N51" s="68"/>
      <c r="O51" s="68"/>
      <c r="P51" s="68"/>
      <c r="Q51" s="75"/>
      <c r="R51" s="75"/>
      <c r="S51" s="76"/>
      <c r="T51" s="76"/>
      <c r="U51" s="76"/>
      <c r="V51" s="76"/>
      <c r="W51" s="68">
        <v>8</v>
      </c>
      <c r="X51" s="68">
        <f t="shared" si="52"/>
        <v>10</v>
      </c>
      <c r="Y51" s="68"/>
      <c r="Z51" s="68">
        <v>2</v>
      </c>
      <c r="AA51" s="68"/>
      <c r="AB51" s="68"/>
      <c r="AC51" s="68"/>
      <c r="AD51" s="68"/>
      <c r="AE51" s="75"/>
      <c r="AF51" s="75"/>
      <c r="AG51" s="76"/>
      <c r="AH51" s="76"/>
      <c r="AI51" s="76"/>
      <c r="AJ51" s="76"/>
      <c r="AK51" s="68">
        <v>8</v>
      </c>
      <c r="AL51" s="68">
        <f t="shared" si="47"/>
        <v>9</v>
      </c>
      <c r="AM51" s="68">
        <f t="shared" si="35"/>
        <v>0</v>
      </c>
      <c r="AN51" s="68">
        <f t="shared" si="36"/>
        <v>1</v>
      </c>
      <c r="AO51" s="68">
        <f t="shared" si="37"/>
        <v>0</v>
      </c>
      <c r="AP51" s="68">
        <f t="shared" si="38"/>
        <v>0</v>
      </c>
      <c r="AQ51" s="68">
        <f t="shared" si="39"/>
        <v>0</v>
      </c>
      <c r="AR51" s="68">
        <f t="shared" si="40"/>
        <v>0</v>
      </c>
      <c r="AS51" s="75">
        <f t="shared" si="41"/>
        <v>0</v>
      </c>
      <c r="AT51" s="75">
        <f t="shared" si="42"/>
        <v>0</v>
      </c>
      <c r="AU51" s="76">
        <f t="shared" si="43"/>
        <v>0</v>
      </c>
      <c r="AV51" s="76">
        <f t="shared" si="44"/>
        <v>0</v>
      </c>
      <c r="AW51" s="76">
        <f t="shared" si="45"/>
        <v>0</v>
      </c>
      <c r="AX51" s="76">
        <f t="shared" si="46"/>
        <v>0</v>
      </c>
    </row>
    <row r="52" spans="1:50" s="16" customFormat="1" ht="20.5" customHeight="1">
      <c r="A52" s="70">
        <v>9</v>
      </c>
      <c r="B52" s="71"/>
      <c r="C52" s="71"/>
      <c r="D52" s="71"/>
      <c r="E52" s="71"/>
      <c r="F52" s="71"/>
      <c r="G52" s="71"/>
      <c r="H52" s="71"/>
      <c r="I52" s="71"/>
      <c r="J52" s="70">
        <f t="shared" si="53"/>
        <v>0</v>
      </c>
      <c r="K52" s="70"/>
      <c r="L52" s="70"/>
      <c r="M52" s="70"/>
      <c r="N52" s="70"/>
      <c r="O52" s="70"/>
      <c r="P52" s="70"/>
      <c r="Q52" s="77"/>
      <c r="R52" s="77"/>
      <c r="S52" s="78"/>
      <c r="T52" s="78"/>
      <c r="U52" s="78"/>
      <c r="V52" s="78"/>
      <c r="W52" s="70">
        <v>9</v>
      </c>
      <c r="X52" s="70">
        <f t="shared" si="52"/>
        <v>9</v>
      </c>
      <c r="Y52" s="70"/>
      <c r="Z52" s="70">
        <v>0</v>
      </c>
      <c r="AA52" s="70"/>
      <c r="AB52" s="70"/>
      <c r="AC52" s="70"/>
      <c r="AD52" s="70"/>
      <c r="AE52" s="77"/>
      <c r="AF52" s="77"/>
      <c r="AG52" s="78"/>
      <c r="AH52" s="78"/>
      <c r="AI52" s="78"/>
      <c r="AJ52" s="78"/>
      <c r="AK52" s="70">
        <v>9</v>
      </c>
      <c r="AL52" s="70">
        <f t="shared" si="47"/>
        <v>9</v>
      </c>
      <c r="AM52" s="70">
        <f t="shared" si="35"/>
        <v>0</v>
      </c>
      <c r="AN52" s="70">
        <f t="shared" si="36"/>
        <v>0</v>
      </c>
      <c r="AO52" s="70">
        <f t="shared" si="37"/>
        <v>0</v>
      </c>
      <c r="AP52" s="70">
        <f t="shared" si="38"/>
        <v>0</v>
      </c>
      <c r="AQ52" s="70">
        <f t="shared" si="39"/>
        <v>0</v>
      </c>
      <c r="AR52" s="70">
        <f t="shared" si="40"/>
        <v>0</v>
      </c>
      <c r="AS52" s="77">
        <f t="shared" si="41"/>
        <v>0</v>
      </c>
      <c r="AT52" s="77">
        <f t="shared" si="42"/>
        <v>0</v>
      </c>
      <c r="AU52" s="78">
        <f t="shared" si="43"/>
        <v>0</v>
      </c>
      <c r="AV52" s="78">
        <f t="shared" si="44"/>
        <v>0</v>
      </c>
      <c r="AW52" s="78">
        <f t="shared" si="45"/>
        <v>0</v>
      </c>
      <c r="AX52" s="78">
        <f t="shared" si="46"/>
        <v>0</v>
      </c>
    </row>
    <row r="53" spans="1:50" s="16" customFormat="1" ht="20.5" customHeight="1">
      <c r="A53" s="72" t="s">
        <v>17</v>
      </c>
      <c r="B53" s="55"/>
      <c r="C53" s="55"/>
      <c r="D53" s="55"/>
      <c r="E53" s="55"/>
      <c r="F53" s="55"/>
      <c r="G53" s="55"/>
      <c r="H53" s="55"/>
      <c r="I53" s="55"/>
      <c r="J53" s="72">
        <f>SUM(K53:V53)</f>
        <v>7</v>
      </c>
      <c r="K53" s="72">
        <f t="shared" ref="K53:V53" si="56">SUM(K54:K56)</f>
        <v>5</v>
      </c>
      <c r="L53" s="72">
        <f t="shared" si="56"/>
        <v>2</v>
      </c>
      <c r="M53" s="72">
        <f t="shared" si="56"/>
        <v>0</v>
      </c>
      <c r="N53" s="72">
        <f t="shared" si="56"/>
        <v>0</v>
      </c>
      <c r="O53" s="72">
        <f t="shared" si="56"/>
        <v>0</v>
      </c>
      <c r="P53" s="72">
        <f t="shared" si="56"/>
        <v>0</v>
      </c>
      <c r="Q53" s="79">
        <f t="shared" si="56"/>
        <v>0</v>
      </c>
      <c r="R53" s="79">
        <f t="shared" si="56"/>
        <v>0</v>
      </c>
      <c r="S53" s="79">
        <f t="shared" si="56"/>
        <v>0</v>
      </c>
      <c r="T53" s="79">
        <f t="shared" si="56"/>
        <v>0</v>
      </c>
      <c r="U53" s="79">
        <f t="shared" si="56"/>
        <v>0</v>
      </c>
      <c r="V53" s="79">
        <f t="shared" si="56"/>
        <v>0</v>
      </c>
      <c r="W53" s="72" t="s">
        <v>17</v>
      </c>
      <c r="X53" s="72">
        <f>SUM(Y53:AK53)</f>
        <v>1</v>
      </c>
      <c r="Y53" s="72">
        <f t="shared" ref="Y53:AJ53" si="57">SUM(Y54:Y56)</f>
        <v>0</v>
      </c>
      <c r="Z53" s="72">
        <f t="shared" si="57"/>
        <v>1</v>
      </c>
      <c r="AA53" s="72">
        <f t="shared" si="57"/>
        <v>0</v>
      </c>
      <c r="AB53" s="72">
        <f t="shared" si="57"/>
        <v>0</v>
      </c>
      <c r="AC53" s="72">
        <f t="shared" si="57"/>
        <v>0</v>
      </c>
      <c r="AD53" s="72">
        <f t="shared" si="57"/>
        <v>0</v>
      </c>
      <c r="AE53" s="79">
        <f t="shared" si="57"/>
        <v>0</v>
      </c>
      <c r="AF53" s="79">
        <f t="shared" si="57"/>
        <v>0</v>
      </c>
      <c r="AG53" s="79">
        <f t="shared" si="57"/>
        <v>0</v>
      </c>
      <c r="AH53" s="79">
        <f t="shared" si="57"/>
        <v>0</v>
      </c>
      <c r="AI53" s="79">
        <f t="shared" si="57"/>
        <v>0</v>
      </c>
      <c r="AJ53" s="79">
        <f t="shared" si="57"/>
        <v>0</v>
      </c>
      <c r="AK53" s="72" t="s">
        <v>17</v>
      </c>
      <c r="AL53" s="72">
        <f t="shared" si="47"/>
        <v>-6</v>
      </c>
      <c r="AM53" s="72">
        <f t="shared" si="35"/>
        <v>-5</v>
      </c>
      <c r="AN53" s="72">
        <f t="shared" si="36"/>
        <v>-1</v>
      </c>
      <c r="AO53" s="72">
        <f t="shared" si="37"/>
        <v>0</v>
      </c>
      <c r="AP53" s="72">
        <f t="shared" si="38"/>
        <v>0</v>
      </c>
      <c r="AQ53" s="72">
        <f t="shared" si="39"/>
        <v>0</v>
      </c>
      <c r="AR53" s="72">
        <f t="shared" si="40"/>
        <v>0</v>
      </c>
      <c r="AS53" s="79">
        <f t="shared" si="41"/>
        <v>0</v>
      </c>
      <c r="AT53" s="79">
        <f t="shared" si="42"/>
        <v>0</v>
      </c>
      <c r="AU53" s="79">
        <f t="shared" si="43"/>
        <v>0</v>
      </c>
      <c r="AV53" s="79">
        <f t="shared" si="44"/>
        <v>0</v>
      </c>
      <c r="AW53" s="79">
        <f t="shared" si="45"/>
        <v>0</v>
      </c>
      <c r="AX53" s="79">
        <f t="shared" si="46"/>
        <v>0</v>
      </c>
    </row>
    <row r="54" spans="1:50" s="16" customFormat="1" ht="20.5" customHeight="1">
      <c r="A54" s="73">
        <v>10</v>
      </c>
      <c r="B54" s="74"/>
      <c r="C54" s="74"/>
      <c r="D54" s="74"/>
      <c r="E54" s="74"/>
      <c r="F54" s="74"/>
      <c r="G54" s="74"/>
      <c r="H54" s="74"/>
      <c r="I54" s="74"/>
      <c r="J54" s="73">
        <f t="shared" si="53"/>
        <v>4</v>
      </c>
      <c r="K54" s="73">
        <v>4</v>
      </c>
      <c r="L54" s="73"/>
      <c r="M54" s="73"/>
      <c r="N54" s="73"/>
      <c r="O54" s="73"/>
      <c r="P54" s="73"/>
      <c r="Q54" s="80"/>
      <c r="R54" s="80"/>
      <c r="S54" s="81"/>
      <c r="T54" s="81"/>
      <c r="U54" s="81"/>
      <c r="V54" s="81"/>
      <c r="W54" s="73">
        <v>10</v>
      </c>
      <c r="X54" s="73">
        <f t="shared" si="52"/>
        <v>10</v>
      </c>
      <c r="Y54" s="73"/>
      <c r="Z54" s="73"/>
      <c r="AA54" s="73"/>
      <c r="AB54" s="73"/>
      <c r="AC54" s="73"/>
      <c r="AD54" s="73"/>
      <c r="AE54" s="80"/>
      <c r="AF54" s="80"/>
      <c r="AG54" s="81"/>
      <c r="AH54" s="81"/>
      <c r="AI54" s="81"/>
      <c r="AJ54" s="81"/>
      <c r="AK54" s="73">
        <v>10</v>
      </c>
      <c r="AL54" s="73">
        <f t="shared" si="47"/>
        <v>6</v>
      </c>
      <c r="AM54" s="73">
        <f t="shared" si="35"/>
        <v>-4</v>
      </c>
      <c r="AN54" s="73">
        <f t="shared" si="36"/>
        <v>0</v>
      </c>
      <c r="AO54" s="73">
        <f t="shared" si="37"/>
        <v>0</v>
      </c>
      <c r="AP54" s="73">
        <f t="shared" si="38"/>
        <v>0</v>
      </c>
      <c r="AQ54" s="73">
        <f t="shared" si="39"/>
        <v>0</v>
      </c>
      <c r="AR54" s="73">
        <f t="shared" si="40"/>
        <v>0</v>
      </c>
      <c r="AS54" s="80">
        <f t="shared" si="41"/>
        <v>0</v>
      </c>
      <c r="AT54" s="80">
        <f t="shared" si="42"/>
        <v>0</v>
      </c>
      <c r="AU54" s="81">
        <f t="shared" si="43"/>
        <v>0</v>
      </c>
      <c r="AV54" s="81">
        <f t="shared" si="44"/>
        <v>0</v>
      </c>
      <c r="AW54" s="81">
        <f t="shared" si="45"/>
        <v>0</v>
      </c>
      <c r="AX54" s="81">
        <f t="shared" si="46"/>
        <v>0</v>
      </c>
    </row>
    <row r="55" spans="1:50" s="16" customFormat="1" ht="20.5" customHeight="1">
      <c r="A55" s="68">
        <v>11</v>
      </c>
      <c r="B55" s="69"/>
      <c r="C55" s="69"/>
      <c r="D55" s="69"/>
      <c r="E55" s="69"/>
      <c r="F55" s="69"/>
      <c r="G55" s="69"/>
      <c r="H55" s="69"/>
      <c r="I55" s="69"/>
      <c r="J55" s="68">
        <f t="shared" si="53"/>
        <v>3</v>
      </c>
      <c r="K55" s="68">
        <v>1</v>
      </c>
      <c r="L55" s="68">
        <v>2</v>
      </c>
      <c r="M55" s="68"/>
      <c r="N55" s="68"/>
      <c r="O55" s="68"/>
      <c r="P55" s="68"/>
      <c r="Q55" s="75"/>
      <c r="R55" s="75"/>
      <c r="S55" s="76"/>
      <c r="T55" s="76"/>
      <c r="U55" s="76"/>
      <c r="V55" s="76"/>
      <c r="W55" s="68">
        <v>11</v>
      </c>
      <c r="X55" s="68">
        <f t="shared" si="52"/>
        <v>12</v>
      </c>
      <c r="Y55" s="68"/>
      <c r="Z55" s="68">
        <v>1</v>
      </c>
      <c r="AA55" s="68"/>
      <c r="AB55" s="68"/>
      <c r="AC55" s="68"/>
      <c r="AD55" s="68"/>
      <c r="AE55" s="75"/>
      <c r="AF55" s="75"/>
      <c r="AG55" s="76"/>
      <c r="AH55" s="76"/>
      <c r="AI55" s="76"/>
      <c r="AJ55" s="76"/>
      <c r="AK55" s="68">
        <v>11</v>
      </c>
      <c r="AL55" s="68">
        <f t="shared" si="47"/>
        <v>9</v>
      </c>
      <c r="AM55" s="68">
        <f t="shared" si="35"/>
        <v>-1</v>
      </c>
      <c r="AN55" s="68">
        <f t="shared" si="36"/>
        <v>-1</v>
      </c>
      <c r="AO55" s="68">
        <f t="shared" si="37"/>
        <v>0</v>
      </c>
      <c r="AP55" s="68">
        <f t="shared" si="38"/>
        <v>0</v>
      </c>
      <c r="AQ55" s="68">
        <f t="shared" si="39"/>
        <v>0</v>
      </c>
      <c r="AR55" s="68">
        <f t="shared" si="40"/>
        <v>0</v>
      </c>
      <c r="AS55" s="75">
        <f t="shared" si="41"/>
        <v>0</v>
      </c>
      <c r="AT55" s="75">
        <f t="shared" si="42"/>
        <v>0</v>
      </c>
      <c r="AU55" s="76">
        <f t="shared" si="43"/>
        <v>0</v>
      </c>
      <c r="AV55" s="76">
        <f t="shared" si="44"/>
        <v>0</v>
      </c>
      <c r="AW55" s="76">
        <f t="shared" si="45"/>
        <v>0</v>
      </c>
      <c r="AX55" s="76">
        <f t="shared" si="46"/>
        <v>0</v>
      </c>
    </row>
    <row r="56" spans="1:50" s="16" customFormat="1" ht="20.5" customHeight="1">
      <c r="A56" s="156">
        <v>12</v>
      </c>
      <c r="B56" s="98"/>
      <c r="C56" s="98"/>
      <c r="D56" s="98"/>
      <c r="E56" s="98"/>
      <c r="F56" s="98"/>
      <c r="G56" s="98"/>
      <c r="H56" s="98"/>
      <c r="I56" s="98"/>
      <c r="J56" s="156">
        <f t="shared" si="53"/>
        <v>0</v>
      </c>
      <c r="K56" s="156"/>
      <c r="L56" s="156"/>
      <c r="M56" s="156"/>
      <c r="N56" s="156"/>
      <c r="O56" s="156"/>
      <c r="P56" s="156"/>
      <c r="Q56" s="157"/>
      <c r="R56" s="157"/>
      <c r="S56" s="158"/>
      <c r="T56" s="158"/>
      <c r="U56" s="158"/>
      <c r="V56" s="158"/>
      <c r="W56" s="156">
        <v>12</v>
      </c>
      <c r="X56" s="156">
        <f t="shared" si="52"/>
        <v>12</v>
      </c>
      <c r="Y56" s="156"/>
      <c r="Z56" s="156"/>
      <c r="AA56" s="156"/>
      <c r="AB56" s="156"/>
      <c r="AC56" s="156"/>
      <c r="AD56" s="156"/>
      <c r="AE56" s="157"/>
      <c r="AF56" s="157"/>
      <c r="AG56" s="158"/>
      <c r="AH56" s="78"/>
      <c r="AI56" s="78"/>
      <c r="AJ56" s="78"/>
      <c r="AK56" s="156">
        <v>12</v>
      </c>
      <c r="AL56" s="156">
        <f t="shared" si="47"/>
        <v>12</v>
      </c>
      <c r="AM56" s="156">
        <f t="shared" si="35"/>
        <v>0</v>
      </c>
      <c r="AN56" s="156">
        <f t="shared" si="36"/>
        <v>0</v>
      </c>
      <c r="AO56" s="156">
        <f t="shared" si="37"/>
        <v>0</v>
      </c>
      <c r="AP56" s="156">
        <f t="shared" si="38"/>
        <v>0</v>
      </c>
      <c r="AQ56" s="156">
        <f t="shared" si="39"/>
        <v>0</v>
      </c>
      <c r="AR56" s="156">
        <f t="shared" si="40"/>
        <v>0</v>
      </c>
      <c r="AS56" s="157">
        <f t="shared" si="41"/>
        <v>0</v>
      </c>
      <c r="AT56" s="157">
        <f t="shared" si="42"/>
        <v>0</v>
      </c>
      <c r="AU56" s="158">
        <f t="shared" si="43"/>
        <v>0</v>
      </c>
      <c r="AV56" s="78">
        <f t="shared" si="44"/>
        <v>0</v>
      </c>
      <c r="AW56" s="78">
        <f t="shared" si="45"/>
        <v>0</v>
      </c>
      <c r="AX56" s="78">
        <f t="shared" si="46"/>
        <v>0</v>
      </c>
    </row>
    <row r="58" spans="1:50" s="47" customFormat="1" ht="26">
      <c r="A58" s="54" t="s">
        <v>145</v>
      </c>
      <c r="B58" s="91"/>
      <c r="C58" s="91"/>
      <c r="D58" s="91"/>
      <c r="E58" s="91"/>
      <c r="F58" s="91"/>
      <c r="G58" s="91"/>
      <c r="H58" s="91"/>
      <c r="I58" s="91"/>
      <c r="J58" s="92" t="s">
        <v>144</v>
      </c>
      <c r="K58" s="93" t="str">
        <f t="shared" ref="K58:V58" si="58">K31</f>
        <v>8/2026</v>
      </c>
      <c r="L58" s="93" t="str">
        <f t="shared" si="58"/>
        <v>9/2026</v>
      </c>
      <c r="M58" s="93" t="str">
        <f t="shared" si="58"/>
        <v>10/2026</v>
      </c>
      <c r="N58" s="93" t="str">
        <f t="shared" si="58"/>
        <v>11/2026</v>
      </c>
      <c r="O58" s="93" t="str">
        <f t="shared" si="58"/>
        <v>12/2026</v>
      </c>
      <c r="P58" s="93" t="str">
        <f t="shared" si="58"/>
        <v>1/2027</v>
      </c>
      <c r="Q58" s="93" t="str">
        <f t="shared" si="58"/>
        <v>2/2027</v>
      </c>
      <c r="R58" s="93" t="str">
        <f t="shared" si="58"/>
        <v>3/2027</v>
      </c>
      <c r="S58" s="93" t="str">
        <f t="shared" si="58"/>
        <v>4/2027</v>
      </c>
      <c r="T58" s="93" t="str">
        <f t="shared" si="58"/>
        <v>5/2027</v>
      </c>
      <c r="U58" s="93" t="str">
        <f t="shared" si="58"/>
        <v>6/2026</v>
      </c>
      <c r="V58" s="93" t="str">
        <f t="shared" si="58"/>
        <v>7/2026</v>
      </c>
      <c r="W58" s="48"/>
      <c r="X58" s="48"/>
      <c r="Y58" s="48"/>
      <c r="Z58" s="48"/>
      <c r="AA58" s="48"/>
    </row>
    <row r="59" spans="1:50" s="16" customFormat="1" ht="21" customHeight="1">
      <c r="A59" s="95" t="s">
        <v>140</v>
      </c>
      <c r="B59" s="95"/>
      <c r="C59" s="95"/>
      <c r="D59" s="95"/>
      <c r="E59" s="95"/>
      <c r="F59" s="95"/>
      <c r="G59" s="95"/>
      <c r="H59" s="95"/>
      <c r="I59" s="95"/>
      <c r="J59" s="95">
        <f t="shared" ref="J59:J64" si="59">SUM(K59:S59)</f>
        <v>7</v>
      </c>
      <c r="K59" s="95">
        <v>2</v>
      </c>
      <c r="L59" s="96">
        <v>5</v>
      </c>
      <c r="M59" s="96"/>
      <c r="N59" s="96"/>
      <c r="O59" s="96"/>
      <c r="P59" s="96"/>
      <c r="Q59" s="96"/>
      <c r="R59" s="96"/>
      <c r="S59" s="96"/>
      <c r="T59" s="96"/>
      <c r="U59" s="96"/>
      <c r="V59" s="96"/>
      <c r="W59" s="87"/>
      <c r="X59" s="87"/>
      <c r="Y59" s="87"/>
      <c r="Z59" s="87"/>
      <c r="AA59" s="87"/>
    </row>
    <row r="60" spans="1:50" s="16" customFormat="1" ht="21" customHeight="1">
      <c r="A60" s="69" t="s">
        <v>141</v>
      </c>
      <c r="B60" s="69"/>
      <c r="C60" s="69"/>
      <c r="D60" s="69"/>
      <c r="E60" s="69"/>
      <c r="F60" s="69"/>
      <c r="G60" s="69"/>
      <c r="H60" s="69"/>
      <c r="I60" s="69"/>
      <c r="J60" s="69">
        <f t="shared" si="59"/>
        <v>1</v>
      </c>
      <c r="K60" s="69">
        <v>1</v>
      </c>
      <c r="L60" s="97"/>
      <c r="M60" s="97"/>
      <c r="N60" s="97"/>
      <c r="O60" s="97"/>
      <c r="P60" s="97"/>
      <c r="Q60" s="97"/>
      <c r="R60" s="97"/>
      <c r="S60" s="97"/>
      <c r="T60" s="97"/>
      <c r="U60" s="97"/>
      <c r="V60" s="97"/>
      <c r="W60" s="87"/>
      <c r="X60" s="87"/>
      <c r="Y60" s="87"/>
      <c r="Z60" s="87"/>
      <c r="AA60" s="87"/>
    </row>
    <row r="61" spans="1:50" s="16" customFormat="1" ht="21" customHeight="1">
      <c r="A61" s="69" t="s">
        <v>143</v>
      </c>
      <c r="B61" s="69"/>
      <c r="C61" s="69"/>
      <c r="D61" s="69"/>
      <c r="E61" s="69"/>
      <c r="F61" s="69"/>
      <c r="G61" s="69"/>
      <c r="H61" s="69"/>
      <c r="I61" s="69"/>
      <c r="J61" s="69">
        <f t="shared" si="59"/>
        <v>10</v>
      </c>
      <c r="K61" s="69">
        <f>3+4</f>
        <v>7</v>
      </c>
      <c r="L61" s="97">
        <v>3</v>
      </c>
      <c r="M61" s="97"/>
      <c r="N61" s="97"/>
      <c r="O61" s="97"/>
      <c r="P61" s="97"/>
      <c r="Q61" s="97"/>
      <c r="R61" s="97"/>
      <c r="S61" s="97"/>
      <c r="T61" s="97"/>
      <c r="U61" s="97"/>
      <c r="V61" s="97"/>
      <c r="W61" s="87"/>
      <c r="X61" s="87"/>
      <c r="Y61" s="87"/>
      <c r="Z61" s="87"/>
      <c r="AA61" s="87"/>
    </row>
    <row r="62" spans="1:50" s="16" customFormat="1" ht="21" customHeight="1">
      <c r="A62" s="69" t="s">
        <v>172</v>
      </c>
      <c r="B62" s="69"/>
      <c r="C62" s="69"/>
      <c r="D62" s="69"/>
      <c r="E62" s="69"/>
      <c r="F62" s="69"/>
      <c r="G62" s="69"/>
      <c r="H62" s="69"/>
      <c r="I62" s="69"/>
      <c r="J62" s="69">
        <f t="shared" si="59"/>
        <v>21</v>
      </c>
      <c r="K62" s="69">
        <f>16+3</f>
        <v>19</v>
      </c>
      <c r="L62" s="97">
        <v>2</v>
      </c>
      <c r="M62" s="97"/>
      <c r="N62" s="97"/>
      <c r="O62" s="97"/>
      <c r="P62" s="97"/>
      <c r="Q62" s="97"/>
      <c r="R62" s="97"/>
      <c r="S62" s="97"/>
      <c r="T62" s="97"/>
      <c r="U62" s="97"/>
      <c r="V62" s="97"/>
      <c r="W62" s="87"/>
      <c r="X62" s="87"/>
      <c r="Y62" s="87"/>
      <c r="Z62" s="87"/>
      <c r="AA62" s="87"/>
    </row>
    <row r="63" spans="1:50" s="16" customFormat="1" ht="21" customHeight="1">
      <c r="A63" s="69" t="s">
        <v>173</v>
      </c>
      <c r="B63" s="69"/>
      <c r="C63" s="69"/>
      <c r="D63" s="69"/>
      <c r="E63" s="69"/>
      <c r="F63" s="69"/>
      <c r="G63" s="69"/>
      <c r="H63" s="69"/>
      <c r="I63" s="69"/>
      <c r="J63" s="69">
        <f t="shared" si="59"/>
        <v>0</v>
      </c>
      <c r="K63" s="69"/>
      <c r="L63" s="97"/>
      <c r="M63" s="97"/>
      <c r="N63" s="97"/>
      <c r="O63" s="97"/>
      <c r="P63" s="97"/>
      <c r="Q63" s="97"/>
      <c r="R63" s="97"/>
      <c r="S63" s="97"/>
      <c r="T63" s="97"/>
      <c r="U63" s="97"/>
      <c r="V63" s="97"/>
      <c r="W63" s="87"/>
      <c r="X63" s="87"/>
      <c r="Y63" s="87"/>
      <c r="Z63" s="87"/>
      <c r="AA63" s="87"/>
    </row>
    <row r="64" spans="1:50" s="16" customFormat="1" ht="21" customHeight="1">
      <c r="A64" s="98" t="s">
        <v>142</v>
      </c>
      <c r="B64" s="98"/>
      <c r="C64" s="98"/>
      <c r="D64" s="98"/>
      <c r="E64" s="98"/>
      <c r="F64" s="98"/>
      <c r="G64" s="98"/>
      <c r="H64" s="98"/>
      <c r="I64" s="98"/>
      <c r="J64" s="98">
        <f t="shared" si="59"/>
        <v>14</v>
      </c>
      <c r="K64" s="98">
        <v>12</v>
      </c>
      <c r="L64" s="99">
        <v>2</v>
      </c>
      <c r="M64" s="99"/>
      <c r="N64" s="99"/>
      <c r="O64" s="99"/>
      <c r="P64" s="99"/>
      <c r="Q64" s="99"/>
      <c r="R64" s="99"/>
      <c r="S64" s="99"/>
      <c r="T64" s="99"/>
      <c r="U64" s="99"/>
      <c r="V64" s="99"/>
      <c r="W64" s="87"/>
      <c r="X64" s="87"/>
      <c r="Y64" s="87"/>
      <c r="Z64" s="87"/>
      <c r="AA64" s="87"/>
    </row>
    <row r="65" spans="1:27" s="16" customFormat="1" ht="21" customHeight="1">
      <c r="A65" s="55" t="s">
        <v>138</v>
      </c>
      <c r="B65" s="55"/>
      <c r="C65" s="55"/>
      <c r="D65" s="55"/>
      <c r="E65" s="55"/>
      <c r="F65" s="55"/>
      <c r="G65" s="55"/>
      <c r="H65" s="55"/>
      <c r="I65" s="55"/>
      <c r="J65" s="55">
        <f>SUM(J59:J64)</f>
        <v>53</v>
      </c>
      <c r="K65" s="55">
        <f t="shared" ref="K65:S65" si="60">SUM(K59:K64)</f>
        <v>41</v>
      </c>
      <c r="L65" s="100">
        <f t="shared" si="60"/>
        <v>12</v>
      </c>
      <c r="M65" s="100">
        <f t="shared" si="60"/>
        <v>0</v>
      </c>
      <c r="N65" s="100">
        <f t="shared" si="60"/>
        <v>0</v>
      </c>
      <c r="O65" s="100">
        <f t="shared" si="60"/>
        <v>0</v>
      </c>
      <c r="P65" s="100">
        <f t="shared" si="60"/>
        <v>0</v>
      </c>
      <c r="Q65" s="100">
        <f t="shared" si="60"/>
        <v>0</v>
      </c>
      <c r="R65" s="100">
        <f t="shared" si="60"/>
        <v>0</v>
      </c>
      <c r="S65" s="100">
        <f t="shared" si="60"/>
        <v>0</v>
      </c>
      <c r="T65" s="100">
        <f>SUM(T59:T64)</f>
        <v>0</v>
      </c>
      <c r="U65" s="100">
        <f>SUM(U59:U64)</f>
        <v>0</v>
      </c>
      <c r="V65" s="100">
        <f>SUM(V59:V64)</f>
        <v>0</v>
      </c>
      <c r="W65" s="88"/>
      <c r="X65" s="88"/>
      <c r="Y65" s="88"/>
      <c r="Z65" s="88"/>
      <c r="AA65" s="88"/>
    </row>
    <row r="66" spans="1:27" s="89" customFormat="1" ht="21" customHeight="1">
      <c r="A66" s="94" t="s">
        <v>174</v>
      </c>
      <c r="B66" s="94"/>
      <c r="C66" s="94"/>
      <c r="D66" s="94"/>
      <c r="E66" s="94"/>
      <c r="F66" s="94"/>
      <c r="G66" s="94"/>
      <c r="H66" s="94"/>
      <c r="I66" s="94"/>
      <c r="J66" s="94">
        <f t="shared" ref="J66:V66" si="61">J65-J37-J32-J53-J48-J42</f>
        <v>0</v>
      </c>
      <c r="K66" s="94">
        <f t="shared" si="61"/>
        <v>0</v>
      </c>
      <c r="L66" s="94">
        <f t="shared" si="61"/>
        <v>0</v>
      </c>
      <c r="M66" s="94">
        <f t="shared" si="61"/>
        <v>0</v>
      </c>
      <c r="N66" s="94">
        <f t="shared" si="61"/>
        <v>0</v>
      </c>
      <c r="O66" s="94">
        <f t="shared" si="61"/>
        <v>0</v>
      </c>
      <c r="P66" s="94">
        <f t="shared" si="61"/>
        <v>0</v>
      </c>
      <c r="Q66" s="94">
        <f t="shared" si="61"/>
        <v>0</v>
      </c>
      <c r="R66" s="94">
        <f t="shared" si="61"/>
        <v>0</v>
      </c>
      <c r="S66" s="94">
        <f t="shared" si="61"/>
        <v>0</v>
      </c>
      <c r="T66" s="94">
        <f t="shared" si="61"/>
        <v>0</v>
      </c>
      <c r="U66" s="94">
        <f t="shared" si="61"/>
        <v>0</v>
      </c>
      <c r="V66" s="94">
        <f t="shared" si="61"/>
        <v>0</v>
      </c>
      <c r="W66" s="90"/>
      <c r="X66" s="90"/>
      <c r="Y66" s="90"/>
      <c r="Z66" s="90"/>
      <c r="AA66" s="90"/>
    </row>
    <row r="67" spans="1:27" ht="17.5" customHeight="1"/>
    <row r="68" spans="1:27" s="18" customFormat="1" ht="17.5" customHeight="1">
      <c r="A68" s="18" t="s">
        <v>480</v>
      </c>
      <c r="U68" s="159"/>
      <c r="W68" s="160"/>
      <c r="X68" s="160"/>
      <c r="Y68" s="160"/>
      <c r="Z68" s="160"/>
      <c r="AA68" s="160"/>
    </row>
    <row r="69" spans="1:27" ht="17.5" customHeight="1">
      <c r="A69" s="15" t="s">
        <v>168</v>
      </c>
      <c r="J69" s="15">
        <f>SUM(K69:V69)</f>
        <v>12</v>
      </c>
      <c r="K69" s="15">
        <f>K32</f>
        <v>10</v>
      </c>
      <c r="L69" s="15">
        <f t="shared" ref="L69:V69" si="62">L32</f>
        <v>2</v>
      </c>
      <c r="M69" s="15">
        <f t="shared" si="62"/>
        <v>0</v>
      </c>
      <c r="N69" s="15">
        <f t="shared" si="62"/>
        <v>0</v>
      </c>
      <c r="O69" s="15">
        <f t="shared" si="62"/>
        <v>0</v>
      </c>
      <c r="P69" s="15">
        <f t="shared" si="62"/>
        <v>0</v>
      </c>
      <c r="Q69" s="15">
        <f t="shared" si="62"/>
        <v>0</v>
      </c>
      <c r="R69" s="15">
        <f t="shared" si="62"/>
        <v>0</v>
      </c>
      <c r="S69" s="15">
        <f t="shared" si="62"/>
        <v>0</v>
      </c>
      <c r="T69" s="15">
        <f t="shared" si="62"/>
        <v>0</v>
      </c>
      <c r="U69" s="15">
        <f t="shared" si="62"/>
        <v>0</v>
      </c>
      <c r="V69" s="15">
        <f t="shared" si="62"/>
        <v>0</v>
      </c>
    </row>
    <row r="70" spans="1:27" ht="17.5" customHeight="1">
      <c r="A70" s="15" t="s">
        <v>169</v>
      </c>
      <c r="J70" s="15">
        <f t="shared" ref="J70:J74" si="63">SUM(K70:V70)</f>
        <v>10</v>
      </c>
      <c r="K70" s="15">
        <f>K37</f>
        <v>6</v>
      </c>
      <c r="L70" s="15">
        <f t="shared" ref="L70:V70" si="64">L37</f>
        <v>4</v>
      </c>
      <c r="M70" s="15">
        <f t="shared" si="64"/>
        <v>0</v>
      </c>
      <c r="N70" s="15">
        <f t="shared" si="64"/>
        <v>0</v>
      </c>
      <c r="O70" s="15">
        <f t="shared" si="64"/>
        <v>0</v>
      </c>
      <c r="P70" s="15">
        <f t="shared" si="64"/>
        <v>0</v>
      </c>
      <c r="Q70" s="15">
        <f t="shared" si="64"/>
        <v>0</v>
      </c>
      <c r="R70" s="15">
        <f t="shared" si="64"/>
        <v>0</v>
      </c>
      <c r="S70" s="15">
        <f t="shared" si="64"/>
        <v>0</v>
      </c>
      <c r="T70" s="15">
        <f t="shared" si="64"/>
        <v>0</v>
      </c>
      <c r="U70" s="15">
        <f t="shared" si="64"/>
        <v>0</v>
      </c>
      <c r="V70" s="15">
        <f t="shared" si="64"/>
        <v>0</v>
      </c>
    </row>
    <row r="71" spans="1:27" ht="17.5" customHeight="1">
      <c r="A71" s="15" t="s">
        <v>15</v>
      </c>
      <c r="J71" s="15">
        <f t="shared" si="63"/>
        <v>14</v>
      </c>
      <c r="K71" s="15">
        <f>K42</f>
        <v>12</v>
      </c>
      <c r="L71" s="15">
        <f t="shared" ref="L71:V71" si="65">L42</f>
        <v>2</v>
      </c>
      <c r="M71" s="15">
        <f t="shared" si="65"/>
        <v>0</v>
      </c>
      <c r="N71" s="15">
        <f t="shared" si="65"/>
        <v>0</v>
      </c>
      <c r="O71" s="15">
        <f t="shared" si="65"/>
        <v>0</v>
      </c>
      <c r="P71" s="15">
        <f t="shared" si="65"/>
        <v>0</v>
      </c>
      <c r="Q71" s="15">
        <f t="shared" si="65"/>
        <v>0</v>
      </c>
      <c r="R71" s="15">
        <f t="shared" si="65"/>
        <v>0</v>
      </c>
      <c r="S71" s="15">
        <f t="shared" si="65"/>
        <v>0</v>
      </c>
      <c r="T71" s="15">
        <f t="shared" si="65"/>
        <v>0</v>
      </c>
      <c r="U71" s="15">
        <f t="shared" si="65"/>
        <v>0</v>
      </c>
      <c r="V71" s="15">
        <f t="shared" si="65"/>
        <v>0</v>
      </c>
    </row>
    <row r="72" spans="1:27" ht="17.5" customHeight="1">
      <c r="A72" s="15" t="s">
        <v>16</v>
      </c>
      <c r="J72" s="15">
        <f t="shared" si="63"/>
        <v>10</v>
      </c>
      <c r="K72" s="15">
        <f>K48</f>
        <v>8</v>
      </c>
      <c r="L72" s="15">
        <f t="shared" ref="L72:V72" si="66">L48</f>
        <v>2</v>
      </c>
      <c r="M72" s="15">
        <f t="shared" si="66"/>
        <v>0</v>
      </c>
      <c r="N72" s="15">
        <f t="shared" si="66"/>
        <v>0</v>
      </c>
      <c r="O72" s="15">
        <f t="shared" si="66"/>
        <v>0</v>
      </c>
      <c r="P72" s="15">
        <f t="shared" si="66"/>
        <v>0</v>
      </c>
      <c r="Q72" s="15">
        <f t="shared" si="66"/>
        <v>0</v>
      </c>
      <c r="R72" s="15">
        <f t="shared" si="66"/>
        <v>0</v>
      </c>
      <c r="S72" s="15">
        <f t="shared" si="66"/>
        <v>0</v>
      </c>
      <c r="T72" s="15">
        <f t="shared" si="66"/>
        <v>0</v>
      </c>
      <c r="U72" s="15">
        <f t="shared" si="66"/>
        <v>0</v>
      </c>
      <c r="V72" s="15">
        <f t="shared" si="66"/>
        <v>0</v>
      </c>
    </row>
    <row r="73" spans="1:27" ht="17.5" customHeight="1">
      <c r="A73" s="15" t="s">
        <v>17</v>
      </c>
      <c r="J73" s="15">
        <f t="shared" si="63"/>
        <v>7</v>
      </c>
      <c r="K73" s="15">
        <f>K53</f>
        <v>5</v>
      </c>
      <c r="L73" s="15">
        <f t="shared" ref="L73:V73" si="67">L53</f>
        <v>2</v>
      </c>
      <c r="M73" s="15">
        <f t="shared" si="67"/>
        <v>0</v>
      </c>
      <c r="N73" s="15">
        <f t="shared" si="67"/>
        <v>0</v>
      </c>
      <c r="O73" s="15">
        <f t="shared" si="67"/>
        <v>0</v>
      </c>
      <c r="P73" s="15">
        <f t="shared" si="67"/>
        <v>0</v>
      </c>
      <c r="Q73" s="15">
        <f t="shared" si="67"/>
        <v>0</v>
      </c>
      <c r="R73" s="15">
        <f t="shared" si="67"/>
        <v>0</v>
      </c>
      <c r="S73" s="15">
        <f t="shared" si="67"/>
        <v>0</v>
      </c>
      <c r="T73" s="15">
        <f t="shared" si="67"/>
        <v>0</v>
      </c>
      <c r="U73" s="15">
        <f t="shared" si="67"/>
        <v>0</v>
      </c>
      <c r="V73" s="15">
        <f t="shared" si="67"/>
        <v>0</v>
      </c>
    </row>
    <row r="74" spans="1:27" s="18" customFormat="1" ht="17.5" customHeight="1">
      <c r="A74" s="18" t="s">
        <v>43</v>
      </c>
      <c r="J74" s="18">
        <f t="shared" si="63"/>
        <v>53</v>
      </c>
      <c r="K74" s="18">
        <f>SUM(K69:K73)</f>
        <v>41</v>
      </c>
      <c r="L74" s="18">
        <f t="shared" ref="L74:V74" si="68">SUM(L69:L73)</f>
        <v>12</v>
      </c>
      <c r="M74" s="18">
        <f t="shared" si="68"/>
        <v>0</v>
      </c>
      <c r="N74" s="18">
        <f t="shared" si="68"/>
        <v>0</v>
      </c>
      <c r="O74" s="18">
        <f t="shared" si="68"/>
        <v>0</v>
      </c>
      <c r="P74" s="18">
        <f t="shared" si="68"/>
        <v>0</v>
      </c>
      <c r="Q74" s="18">
        <f t="shared" si="68"/>
        <v>0</v>
      </c>
      <c r="R74" s="18">
        <f t="shared" si="68"/>
        <v>0</v>
      </c>
      <c r="S74" s="18">
        <f t="shared" si="68"/>
        <v>0</v>
      </c>
      <c r="T74" s="18">
        <f t="shared" si="68"/>
        <v>0</v>
      </c>
      <c r="U74" s="18">
        <f t="shared" si="68"/>
        <v>0</v>
      </c>
      <c r="V74" s="18">
        <f t="shared" si="68"/>
        <v>0</v>
      </c>
      <c r="W74" s="160"/>
      <c r="X74" s="160"/>
      <c r="Y74" s="160"/>
      <c r="Z74" s="160"/>
      <c r="AA74" s="160"/>
    </row>
    <row r="75" spans="1:27" ht="17.5" customHeight="1">
      <c r="A75" s="15" t="s">
        <v>168</v>
      </c>
      <c r="K75" s="15">
        <f>K3</f>
        <v>353</v>
      </c>
      <c r="L75" s="15">
        <f>L3</f>
        <v>357</v>
      </c>
    </row>
    <row r="76" spans="1:27" ht="17.5" customHeight="1">
      <c r="A76" s="15" t="s">
        <v>169</v>
      </c>
      <c r="K76" s="15">
        <f>K8</f>
        <v>123</v>
      </c>
      <c r="L76" s="15">
        <f>L8</f>
        <v>129</v>
      </c>
    </row>
    <row r="77" spans="1:27" ht="17.5" customHeight="1">
      <c r="A77" s="15" t="s">
        <v>15</v>
      </c>
      <c r="K77" s="15">
        <f>K13</f>
        <v>897</v>
      </c>
      <c r="L77" s="15">
        <f>L13</f>
        <v>897</v>
      </c>
    </row>
    <row r="78" spans="1:27" ht="17.5" customHeight="1">
      <c r="A78" s="15" t="s">
        <v>16</v>
      </c>
      <c r="K78" s="15">
        <f>K19</f>
        <v>799</v>
      </c>
      <c r="L78" s="15">
        <f>L19</f>
        <v>799</v>
      </c>
    </row>
    <row r="79" spans="1:27">
      <c r="A79" s="15" t="s">
        <v>17</v>
      </c>
      <c r="K79" s="15">
        <f>K24</f>
        <v>444</v>
      </c>
      <c r="L79" s="15">
        <f>L24</f>
        <v>443</v>
      </c>
    </row>
    <row r="80" spans="1:27" s="18" customFormat="1" ht="13">
      <c r="A80" s="18" t="s">
        <v>43</v>
      </c>
      <c r="K80" s="18">
        <f>SUM(K75:K79)</f>
        <v>2616</v>
      </c>
      <c r="L80" s="18">
        <f>SUM(L75:L79)</f>
        <v>2625</v>
      </c>
      <c r="U80" s="159"/>
      <c r="W80" s="160"/>
      <c r="X80" s="160"/>
      <c r="Y80" s="160"/>
      <c r="Z80" s="160"/>
      <c r="AA80" s="160"/>
    </row>
    <row r="81" spans="1:22">
      <c r="A81" s="15" t="s">
        <v>168</v>
      </c>
      <c r="K81" s="161">
        <f>SUM($K69:K69)/$K75</f>
        <v>2.8328611898016998E-2</v>
      </c>
      <c r="L81" s="161">
        <f>SUM($K69:L69)/L75</f>
        <v>3.3613445378151259E-2</v>
      </c>
      <c r="M81" s="161" t="e">
        <f>SUM($K69:M69)/M75</f>
        <v>#DIV/0!</v>
      </c>
      <c r="N81" s="161" t="e">
        <f>SUM($K69:N69)/N75</f>
        <v>#DIV/0!</v>
      </c>
      <c r="O81" s="161" t="e">
        <f>SUM($K69:O69)/O75</f>
        <v>#DIV/0!</v>
      </c>
      <c r="P81" s="161" t="e">
        <f>SUM($K69:P69)/P75</f>
        <v>#DIV/0!</v>
      </c>
      <c r="Q81" s="161" t="e">
        <f>SUM($K69:Q69)/Q75</f>
        <v>#DIV/0!</v>
      </c>
      <c r="R81" s="161" t="e">
        <f>SUM($K69:R69)/R75</f>
        <v>#DIV/0!</v>
      </c>
      <c r="S81" s="161" t="e">
        <f>SUM($K69:S69)/S75</f>
        <v>#DIV/0!</v>
      </c>
      <c r="T81" s="161" t="e">
        <f>SUM($K69:T69)/T75</f>
        <v>#DIV/0!</v>
      </c>
      <c r="U81" s="161" t="e">
        <f>SUM($K69:U69)/U75</f>
        <v>#DIV/0!</v>
      </c>
      <c r="V81" s="161" t="e">
        <f>SUM($K69:V69)/V75</f>
        <v>#DIV/0!</v>
      </c>
    </row>
    <row r="82" spans="1:22">
      <c r="A82" s="15" t="s">
        <v>169</v>
      </c>
      <c r="K82" s="161">
        <f>SUM($K70:K70)/$K76</f>
        <v>4.878048780487805E-2</v>
      </c>
      <c r="L82" s="161">
        <f>SUM($K70:L70)/L76</f>
        <v>7.7519379844961239E-2</v>
      </c>
      <c r="M82" s="161" t="e">
        <f>SUM($K70:M70)/M76</f>
        <v>#DIV/0!</v>
      </c>
      <c r="N82" s="161" t="e">
        <f>SUM($K70:N70)/N76</f>
        <v>#DIV/0!</v>
      </c>
      <c r="O82" s="161" t="e">
        <f>SUM($K70:O70)/O76</f>
        <v>#DIV/0!</v>
      </c>
      <c r="P82" s="161" t="e">
        <f>SUM($K70:P70)/P76</f>
        <v>#DIV/0!</v>
      </c>
      <c r="Q82" s="161" t="e">
        <f>SUM($K70:Q70)/Q76</f>
        <v>#DIV/0!</v>
      </c>
      <c r="R82" s="161" t="e">
        <f>SUM($K70:R70)/R76</f>
        <v>#DIV/0!</v>
      </c>
      <c r="S82" s="161" t="e">
        <f>SUM($K70:S70)/S76</f>
        <v>#DIV/0!</v>
      </c>
      <c r="T82" s="161" t="e">
        <f>SUM($K70:T70)/T76</f>
        <v>#DIV/0!</v>
      </c>
      <c r="U82" s="161" t="e">
        <f>SUM($K70:U70)/U76</f>
        <v>#DIV/0!</v>
      </c>
      <c r="V82" s="161" t="e">
        <f>SUM($K70:V70)/V76</f>
        <v>#DIV/0!</v>
      </c>
    </row>
    <row r="83" spans="1:22">
      <c r="A83" s="15" t="s">
        <v>15</v>
      </c>
      <c r="K83" s="161">
        <f>SUM($K71:K71)/$K77</f>
        <v>1.3377926421404682E-2</v>
      </c>
      <c r="L83" s="161">
        <f>SUM($K71:L71)/L77</f>
        <v>1.560758082497213E-2</v>
      </c>
      <c r="M83" s="161" t="e">
        <f>SUM($K71:M71)/M77</f>
        <v>#DIV/0!</v>
      </c>
      <c r="N83" s="161" t="e">
        <f>SUM($K71:N71)/N77</f>
        <v>#DIV/0!</v>
      </c>
      <c r="O83" s="161" t="e">
        <f>SUM($K71:O71)/O77</f>
        <v>#DIV/0!</v>
      </c>
      <c r="P83" s="161" t="e">
        <f>SUM($K71:P71)/P77</f>
        <v>#DIV/0!</v>
      </c>
      <c r="Q83" s="161" t="e">
        <f>SUM($K71:Q71)/Q77</f>
        <v>#DIV/0!</v>
      </c>
      <c r="R83" s="161" t="e">
        <f>SUM($K71:R71)/R77</f>
        <v>#DIV/0!</v>
      </c>
      <c r="S83" s="161" t="e">
        <f>SUM($K71:S71)/S77</f>
        <v>#DIV/0!</v>
      </c>
      <c r="T83" s="161" t="e">
        <f>SUM($K71:T71)/T77</f>
        <v>#DIV/0!</v>
      </c>
      <c r="U83" s="161" t="e">
        <f>SUM($K71:U71)/U77</f>
        <v>#DIV/0!</v>
      </c>
      <c r="V83" s="161" t="e">
        <f>SUM($K71:V71)/V77</f>
        <v>#DIV/0!</v>
      </c>
    </row>
    <row r="84" spans="1:22">
      <c r="A84" s="15" t="s">
        <v>16</v>
      </c>
      <c r="K84" s="161">
        <f>SUM($K72:K72)/$K78</f>
        <v>1.0012515644555695E-2</v>
      </c>
      <c r="L84" s="161">
        <f>SUM($K72:L72)/L78</f>
        <v>1.2515644555694618E-2</v>
      </c>
      <c r="M84" s="161" t="e">
        <f>SUM($K72:M72)/M78</f>
        <v>#DIV/0!</v>
      </c>
      <c r="N84" s="161" t="e">
        <f>SUM($K72:N72)/N78</f>
        <v>#DIV/0!</v>
      </c>
      <c r="O84" s="161" t="e">
        <f>SUM($K72:O72)/O78</f>
        <v>#DIV/0!</v>
      </c>
      <c r="P84" s="161" t="e">
        <f>SUM($K72:P72)/P78</f>
        <v>#DIV/0!</v>
      </c>
      <c r="Q84" s="161" t="e">
        <f>SUM($K72:Q72)/Q78</f>
        <v>#DIV/0!</v>
      </c>
      <c r="R84" s="161" t="e">
        <f>SUM($K72:R72)/R78</f>
        <v>#DIV/0!</v>
      </c>
      <c r="S84" s="161" t="e">
        <f>SUM($K72:S72)/S78</f>
        <v>#DIV/0!</v>
      </c>
      <c r="T84" s="161" t="e">
        <f>SUM($K72:T72)/T78</f>
        <v>#DIV/0!</v>
      </c>
      <c r="U84" s="161" t="e">
        <f>SUM($K72:U72)/U78</f>
        <v>#DIV/0!</v>
      </c>
      <c r="V84" s="161" t="e">
        <f>SUM($K72:V72)/V78</f>
        <v>#DIV/0!</v>
      </c>
    </row>
    <row r="85" spans="1:22">
      <c r="A85" s="15" t="s">
        <v>17</v>
      </c>
      <c r="K85" s="161">
        <f>SUM($K73:K73)/$K79</f>
        <v>1.1261261261261261E-2</v>
      </c>
      <c r="L85" s="161">
        <f>SUM($K73:L73)/L79</f>
        <v>1.580135440180587E-2</v>
      </c>
      <c r="M85" s="161" t="e">
        <f>SUM($K73:M73)/M79</f>
        <v>#DIV/0!</v>
      </c>
      <c r="N85" s="161" t="e">
        <f>SUM($K73:N73)/N79</f>
        <v>#DIV/0!</v>
      </c>
      <c r="O85" s="161" t="e">
        <f>SUM($K73:O73)/O79</f>
        <v>#DIV/0!</v>
      </c>
      <c r="P85" s="161" t="e">
        <f>SUM($K73:P73)/P79</f>
        <v>#DIV/0!</v>
      </c>
      <c r="Q85" s="161" t="e">
        <f>SUM($K73:Q73)/Q79</f>
        <v>#DIV/0!</v>
      </c>
      <c r="R85" s="161" t="e">
        <f>SUM($K73:R73)/R79</f>
        <v>#DIV/0!</v>
      </c>
      <c r="S85" s="161" t="e">
        <f>SUM($K73:S73)/S79</f>
        <v>#DIV/0!</v>
      </c>
      <c r="T85" s="161" t="e">
        <f>SUM($K73:T73)/T79</f>
        <v>#DIV/0!</v>
      </c>
      <c r="U85" s="161" t="e">
        <f>SUM($K73:U73)/U79</f>
        <v>#DIV/0!</v>
      </c>
      <c r="V85" s="161" t="e">
        <f>SUM($K73:V73)/V79</f>
        <v>#DIV/0!</v>
      </c>
    </row>
    <row r="86" spans="1:22">
      <c r="A86" s="15" t="s">
        <v>43</v>
      </c>
      <c r="K86" s="161">
        <f>SUM($K74:K74)/$K80</f>
        <v>1.5672782874617736E-2</v>
      </c>
      <c r="L86" s="161">
        <f>SUM($K74:L74)/L80</f>
        <v>2.0190476190476189E-2</v>
      </c>
      <c r="M86" s="161" t="e">
        <f>SUM($K74:M74)/M80</f>
        <v>#DIV/0!</v>
      </c>
      <c r="N86" s="161" t="e">
        <f>SUM($K74:N74)/N80</f>
        <v>#DIV/0!</v>
      </c>
      <c r="O86" s="161" t="e">
        <f>SUM($K74:O74)/O80</f>
        <v>#DIV/0!</v>
      </c>
      <c r="P86" s="161" t="e">
        <f>SUM($K74:P74)/P80</f>
        <v>#DIV/0!</v>
      </c>
      <c r="Q86" s="161" t="e">
        <f>SUM($K74:Q74)/Q80</f>
        <v>#DIV/0!</v>
      </c>
      <c r="R86" s="161" t="e">
        <f>SUM($K74:R74)/R80</f>
        <v>#DIV/0!</v>
      </c>
      <c r="S86" s="161" t="e">
        <f>SUM($K74:S74)/S80</f>
        <v>#DIV/0!</v>
      </c>
      <c r="T86" s="161" t="e">
        <f>SUM($K74:T74)/T80</f>
        <v>#DIV/0!</v>
      </c>
      <c r="U86" s="161" t="e">
        <f>SUM($K74:U74)/U80</f>
        <v>#DIV/0!</v>
      </c>
      <c r="V86" s="161" t="e">
        <f>SUM($K74:V74)/V80</f>
        <v>#DIV/0!</v>
      </c>
    </row>
  </sheetData>
  <autoFilter ref="A31:P56" xr:uid="{0B8E7EAF-F4C5-4381-B5D0-8D71B5E17F51}"/>
  <phoneticPr fontId="1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C2FC-8C5F-414D-89DD-3F04A64B0F2B}">
  <dimension ref="A1:V80"/>
  <sheetViews>
    <sheetView topLeftCell="B17" zoomScale="70" zoomScaleNormal="70" workbookViewId="0">
      <selection activeCell="M12" sqref="M12"/>
    </sheetView>
  </sheetViews>
  <sheetFormatPr defaultColWidth="8.7265625" defaultRowHeight="11.5" outlineLevelCol="1"/>
  <cols>
    <col min="1" max="1" width="40" style="145" hidden="1" customWidth="1" outlineLevel="1"/>
    <col min="2" max="2" width="33.453125" style="145" bestFit="1" customWidth="1" collapsed="1"/>
    <col min="3" max="3" width="20.26953125" style="145" customWidth="1"/>
    <col min="4" max="4" width="10.81640625" style="179" customWidth="1"/>
    <col min="5" max="5" width="12.08984375" style="179" customWidth="1"/>
    <col min="6" max="6" width="12" style="145" customWidth="1"/>
    <col min="7" max="7" width="11.81640625" style="145" customWidth="1"/>
    <col min="8" max="8" width="11.54296875" style="145" customWidth="1"/>
    <col min="9" max="9" width="13.26953125" style="145" customWidth="1"/>
    <col min="10" max="10" width="12.81640625" style="145" customWidth="1"/>
    <col min="11" max="11" width="12.08984375" style="145" customWidth="1"/>
    <col min="12" max="12" width="11.26953125" style="145" customWidth="1"/>
    <col min="13" max="13" width="11" style="145" customWidth="1"/>
    <col min="14" max="14" width="11.453125" style="145" customWidth="1"/>
    <col min="15" max="15" width="8.453125" style="145" customWidth="1"/>
    <col min="16" max="16384" width="8.7265625" style="145"/>
  </cols>
  <sheetData>
    <row r="1" spans="1:22" ht="34.5">
      <c r="C1" s="168" t="s">
        <v>111</v>
      </c>
      <c r="D1" s="169" t="s">
        <v>113</v>
      </c>
      <c r="E1" s="169" t="s">
        <v>127</v>
      </c>
      <c r="F1" s="169" t="s">
        <v>981</v>
      </c>
      <c r="G1" s="169" t="s">
        <v>290</v>
      </c>
      <c r="H1" s="169" t="s">
        <v>312</v>
      </c>
      <c r="I1" s="169" t="s">
        <v>358</v>
      </c>
      <c r="J1" s="169" t="s">
        <v>982</v>
      </c>
      <c r="K1" s="169" t="s">
        <v>402</v>
      </c>
      <c r="L1" s="169" t="s">
        <v>983</v>
      </c>
      <c r="M1" s="169" t="s">
        <v>984</v>
      </c>
      <c r="N1" s="169" t="s">
        <v>985</v>
      </c>
      <c r="O1" s="169" t="s">
        <v>986</v>
      </c>
      <c r="P1" s="169" t="s">
        <v>987</v>
      </c>
      <c r="Q1" s="169" t="s">
        <v>988</v>
      </c>
      <c r="R1" s="169" t="s">
        <v>989</v>
      </c>
      <c r="S1" s="169" t="s">
        <v>990</v>
      </c>
      <c r="T1" s="169" t="s">
        <v>991</v>
      </c>
      <c r="U1" s="169" t="s">
        <v>992</v>
      </c>
      <c r="V1" s="169" t="s">
        <v>993</v>
      </c>
    </row>
    <row r="2" spans="1:22" ht="14" customHeight="1">
      <c r="C2" s="58" t="s">
        <v>114</v>
      </c>
      <c r="D2" s="59">
        <f>D51</f>
        <v>120</v>
      </c>
      <c r="E2" s="59">
        <f>E51</f>
        <v>77</v>
      </c>
      <c r="F2" s="59">
        <f>F51</f>
        <v>0</v>
      </c>
      <c r="G2" s="59">
        <f>G51</f>
        <v>0</v>
      </c>
      <c r="H2" s="59">
        <f t="shared" ref="H2:M2" si="0">H51</f>
        <v>0</v>
      </c>
      <c r="I2" s="59">
        <f t="shared" si="0"/>
        <v>0</v>
      </c>
      <c r="J2" s="59">
        <f t="shared" si="0"/>
        <v>0</v>
      </c>
      <c r="K2" s="59">
        <f t="shared" si="0"/>
        <v>0</v>
      </c>
      <c r="L2" s="59">
        <f t="shared" si="0"/>
        <v>0</v>
      </c>
      <c r="M2" s="59">
        <f t="shared" si="0"/>
        <v>0</v>
      </c>
      <c r="N2" s="61">
        <f>E2/$D2</f>
        <v>0.64166666666666672</v>
      </c>
      <c r="O2" s="61">
        <f t="shared" ref="O2:V5" si="1">F2/$D2</f>
        <v>0</v>
      </c>
      <c r="P2" s="61">
        <f t="shared" si="1"/>
        <v>0</v>
      </c>
      <c r="Q2" s="61">
        <f t="shared" si="1"/>
        <v>0</v>
      </c>
      <c r="R2" s="61">
        <f t="shared" si="1"/>
        <v>0</v>
      </c>
      <c r="S2" s="61">
        <f t="shared" si="1"/>
        <v>0</v>
      </c>
      <c r="T2" s="61">
        <f t="shared" si="1"/>
        <v>0</v>
      </c>
      <c r="U2" s="61">
        <f t="shared" si="1"/>
        <v>0</v>
      </c>
      <c r="V2" s="61">
        <f t="shared" si="1"/>
        <v>0</v>
      </c>
    </row>
    <row r="3" spans="1:22" ht="14" customHeight="1">
      <c r="C3" s="58" t="s">
        <v>115</v>
      </c>
      <c r="D3" s="59">
        <f>D58</f>
        <v>75</v>
      </c>
      <c r="E3" s="59">
        <f>E58</f>
        <v>70</v>
      </c>
      <c r="F3" s="59">
        <f>F58</f>
        <v>0</v>
      </c>
      <c r="G3" s="59">
        <f>G58</f>
        <v>0</v>
      </c>
      <c r="H3" s="59">
        <f t="shared" ref="H3:M3" si="2">H58</f>
        <v>0</v>
      </c>
      <c r="I3" s="59">
        <f t="shared" si="2"/>
        <v>0</v>
      </c>
      <c r="J3" s="59">
        <f t="shared" si="2"/>
        <v>0</v>
      </c>
      <c r="K3" s="59">
        <f t="shared" si="2"/>
        <v>0</v>
      </c>
      <c r="L3" s="59">
        <f t="shared" si="2"/>
        <v>0</v>
      </c>
      <c r="M3" s="59">
        <f t="shared" si="2"/>
        <v>0</v>
      </c>
      <c r="N3" s="61">
        <f t="shared" ref="N3:N5" si="3">E3/$D3</f>
        <v>0.93333333333333335</v>
      </c>
      <c r="O3" s="61">
        <f t="shared" si="1"/>
        <v>0</v>
      </c>
      <c r="P3" s="61">
        <f t="shared" si="1"/>
        <v>0</v>
      </c>
      <c r="Q3" s="61">
        <f t="shared" si="1"/>
        <v>0</v>
      </c>
      <c r="R3" s="61">
        <f t="shared" si="1"/>
        <v>0</v>
      </c>
      <c r="S3" s="61">
        <f t="shared" si="1"/>
        <v>0</v>
      </c>
      <c r="T3" s="61">
        <f t="shared" si="1"/>
        <v>0</v>
      </c>
      <c r="U3" s="61">
        <f t="shared" si="1"/>
        <v>0</v>
      </c>
      <c r="V3" s="61">
        <f t="shared" si="1"/>
        <v>0</v>
      </c>
    </row>
    <row r="4" spans="1:22" ht="14" customHeight="1">
      <c r="C4" s="58" t="s">
        <v>116</v>
      </c>
      <c r="D4" s="59">
        <f>D41</f>
        <v>300</v>
      </c>
      <c r="E4" s="59">
        <f>E41</f>
        <v>353</v>
      </c>
      <c r="F4" s="59">
        <f>F41</f>
        <v>0</v>
      </c>
      <c r="G4" s="59">
        <f>G41</f>
        <v>0</v>
      </c>
      <c r="H4" s="59">
        <f t="shared" ref="H4:M4" si="4">H41</f>
        <v>0</v>
      </c>
      <c r="I4" s="59">
        <f t="shared" si="4"/>
        <v>0</v>
      </c>
      <c r="J4" s="59">
        <f t="shared" si="4"/>
        <v>0</v>
      </c>
      <c r="K4" s="59">
        <f t="shared" si="4"/>
        <v>0</v>
      </c>
      <c r="L4" s="59">
        <f t="shared" si="4"/>
        <v>0</v>
      </c>
      <c r="M4" s="59">
        <f t="shared" si="4"/>
        <v>0</v>
      </c>
      <c r="N4" s="61">
        <f t="shared" si="3"/>
        <v>1.1766666666666667</v>
      </c>
      <c r="O4" s="61">
        <f t="shared" si="1"/>
        <v>0</v>
      </c>
      <c r="P4" s="61">
        <f t="shared" si="1"/>
        <v>0</v>
      </c>
      <c r="Q4" s="61">
        <f t="shared" si="1"/>
        <v>0</v>
      </c>
      <c r="R4" s="61">
        <f t="shared" si="1"/>
        <v>0</v>
      </c>
      <c r="S4" s="61">
        <f t="shared" si="1"/>
        <v>0</v>
      </c>
      <c r="T4" s="61">
        <f t="shared" si="1"/>
        <v>0</v>
      </c>
      <c r="U4" s="61">
        <f t="shared" si="1"/>
        <v>0</v>
      </c>
      <c r="V4" s="61">
        <f t="shared" si="1"/>
        <v>0</v>
      </c>
    </row>
    <row r="5" spans="1:22" ht="14" customHeight="1">
      <c r="C5" s="58" t="s">
        <v>118</v>
      </c>
      <c r="D5" s="60">
        <f>D19</f>
        <v>150</v>
      </c>
      <c r="E5" s="60">
        <f>E19</f>
        <v>96</v>
      </c>
      <c r="F5" s="60">
        <f>F19</f>
        <v>0</v>
      </c>
      <c r="G5" s="60">
        <f>G19</f>
        <v>0</v>
      </c>
      <c r="H5" s="60">
        <f t="shared" ref="H5:M5" si="5">H19</f>
        <v>0</v>
      </c>
      <c r="I5" s="60">
        <f t="shared" si="5"/>
        <v>0</v>
      </c>
      <c r="J5" s="60">
        <f t="shared" si="5"/>
        <v>0</v>
      </c>
      <c r="K5" s="60">
        <f t="shared" si="5"/>
        <v>0</v>
      </c>
      <c r="L5" s="60">
        <f t="shared" si="5"/>
        <v>0</v>
      </c>
      <c r="M5" s="60">
        <f t="shared" si="5"/>
        <v>0</v>
      </c>
      <c r="N5" s="61">
        <f t="shared" si="3"/>
        <v>0.64</v>
      </c>
      <c r="O5" s="61">
        <f t="shared" si="1"/>
        <v>0</v>
      </c>
      <c r="P5" s="61">
        <f t="shared" si="1"/>
        <v>0</v>
      </c>
      <c r="Q5" s="61">
        <f t="shared" si="1"/>
        <v>0</v>
      </c>
      <c r="R5" s="61">
        <f t="shared" si="1"/>
        <v>0</v>
      </c>
      <c r="S5" s="61">
        <f t="shared" si="1"/>
        <v>0</v>
      </c>
      <c r="T5" s="61">
        <f t="shared" si="1"/>
        <v>0</v>
      </c>
      <c r="U5" s="61">
        <f t="shared" si="1"/>
        <v>0</v>
      </c>
      <c r="V5" s="61">
        <f t="shared" si="1"/>
        <v>0</v>
      </c>
    </row>
    <row r="6" spans="1:22" ht="14" customHeight="1">
      <c r="N6" s="167"/>
    </row>
    <row r="8" spans="1:22" ht="28.5" customHeight="1">
      <c r="B8" s="170" t="s">
        <v>218</v>
      </c>
      <c r="C8" s="170" t="s">
        <v>217</v>
      </c>
      <c r="D8" s="170" t="s">
        <v>500</v>
      </c>
      <c r="E8" s="169" t="s">
        <v>127</v>
      </c>
      <c r="F8" s="169" t="s">
        <v>981</v>
      </c>
      <c r="G8" s="169" t="s">
        <v>290</v>
      </c>
      <c r="H8" s="169" t="s">
        <v>312</v>
      </c>
      <c r="I8" s="169" t="s">
        <v>358</v>
      </c>
      <c r="J8" s="169" t="s">
        <v>982</v>
      </c>
      <c r="K8" s="169" t="s">
        <v>402</v>
      </c>
      <c r="L8" s="169" t="s">
        <v>983</v>
      </c>
      <c r="M8" s="169" t="s">
        <v>984</v>
      </c>
      <c r="N8" s="170"/>
      <c r="O8" s="171"/>
    </row>
    <row r="9" spans="1:22" ht="16" customHeight="1">
      <c r="A9" s="145" t="s">
        <v>199</v>
      </c>
      <c r="B9" s="172" t="s">
        <v>516</v>
      </c>
      <c r="C9" s="172" t="s">
        <v>182</v>
      </c>
      <c r="D9" s="180">
        <v>15</v>
      </c>
      <c r="E9" s="180">
        <v>5</v>
      </c>
      <c r="F9" s="172"/>
      <c r="G9" s="172"/>
      <c r="H9" s="172"/>
      <c r="I9" s="172"/>
      <c r="J9" s="172"/>
      <c r="K9" s="172"/>
      <c r="L9" s="172"/>
      <c r="M9" s="172"/>
      <c r="N9" s="172"/>
    </row>
    <row r="10" spans="1:22" ht="16" customHeight="1">
      <c r="A10" s="145" t="s">
        <v>200</v>
      </c>
      <c r="B10" s="173" t="s">
        <v>219</v>
      </c>
      <c r="C10" s="173" t="s">
        <v>182</v>
      </c>
      <c r="D10" s="181">
        <v>15</v>
      </c>
      <c r="E10" s="181">
        <v>5</v>
      </c>
      <c r="F10" s="173"/>
      <c r="G10" s="173"/>
      <c r="H10" s="174"/>
      <c r="I10" s="173"/>
      <c r="J10" s="173"/>
      <c r="K10" s="173"/>
      <c r="L10" s="173"/>
      <c r="M10" s="173"/>
      <c r="N10" s="173"/>
    </row>
    <row r="11" spans="1:22" ht="16" customHeight="1">
      <c r="A11" s="145" t="s">
        <v>201</v>
      </c>
      <c r="B11" s="173" t="s">
        <v>517</v>
      </c>
      <c r="C11" s="173" t="s">
        <v>182</v>
      </c>
      <c r="D11" s="181">
        <v>15</v>
      </c>
      <c r="E11" s="181">
        <v>15</v>
      </c>
      <c r="F11" s="173"/>
      <c r="G11" s="173"/>
      <c r="H11" s="173"/>
      <c r="I11" s="173"/>
      <c r="J11" s="173"/>
      <c r="K11" s="173"/>
      <c r="L11" s="173"/>
      <c r="M11" s="173"/>
      <c r="N11" s="173"/>
    </row>
    <row r="12" spans="1:22" ht="16" customHeight="1">
      <c r="A12" s="145" t="s">
        <v>202</v>
      </c>
      <c r="B12" s="173" t="s">
        <v>518</v>
      </c>
      <c r="C12" s="173" t="s">
        <v>182</v>
      </c>
      <c r="D12" s="181">
        <v>15</v>
      </c>
      <c r="E12" s="181">
        <v>8</v>
      </c>
      <c r="F12" s="173"/>
      <c r="G12" s="173"/>
      <c r="H12" s="173"/>
      <c r="I12" s="173"/>
      <c r="J12" s="173"/>
      <c r="K12" s="173"/>
      <c r="L12" s="173"/>
      <c r="M12" s="173"/>
      <c r="N12" s="173"/>
    </row>
    <row r="13" spans="1:22" s="176" customFormat="1" ht="16" customHeight="1">
      <c r="B13" s="173" t="s">
        <v>220</v>
      </c>
      <c r="C13" s="173" t="s">
        <v>182</v>
      </c>
      <c r="D13" s="181">
        <v>15</v>
      </c>
      <c r="E13" s="181">
        <v>12</v>
      </c>
      <c r="F13" s="173"/>
      <c r="G13" s="173"/>
      <c r="H13" s="173"/>
      <c r="I13" s="173"/>
      <c r="J13" s="173"/>
      <c r="K13" s="173"/>
      <c r="L13" s="173"/>
      <c r="M13" s="173"/>
      <c r="N13" s="173"/>
    </row>
    <row r="14" spans="1:22" ht="16" customHeight="1">
      <c r="A14" s="145" t="s">
        <v>203</v>
      </c>
      <c r="B14" s="173" t="s">
        <v>519</v>
      </c>
      <c r="C14" s="173" t="s">
        <v>182</v>
      </c>
      <c r="D14" s="181">
        <v>15</v>
      </c>
      <c r="E14" s="181">
        <v>14</v>
      </c>
      <c r="F14" s="173"/>
      <c r="G14" s="173"/>
      <c r="H14" s="173"/>
      <c r="I14" s="173"/>
      <c r="J14" s="173"/>
      <c r="K14" s="173"/>
      <c r="L14" s="173"/>
      <c r="M14" s="173"/>
      <c r="N14" s="173"/>
    </row>
    <row r="15" spans="1:22" ht="16" customHeight="1">
      <c r="B15" s="173" t="s">
        <v>221</v>
      </c>
      <c r="C15" s="173" t="s">
        <v>182</v>
      </c>
      <c r="D15" s="181">
        <v>15</v>
      </c>
      <c r="E15" s="181">
        <v>5</v>
      </c>
      <c r="F15" s="173"/>
      <c r="G15" s="173"/>
      <c r="H15" s="173"/>
      <c r="I15" s="173"/>
      <c r="J15" s="173"/>
      <c r="K15" s="173"/>
      <c r="L15" s="173"/>
      <c r="M15" s="173"/>
      <c r="N15" s="173"/>
    </row>
    <row r="16" spans="1:22" ht="16" customHeight="1">
      <c r="A16" s="145" t="s">
        <v>204</v>
      </c>
      <c r="B16" s="173" t="s">
        <v>505</v>
      </c>
      <c r="C16" s="173" t="s">
        <v>182</v>
      </c>
      <c r="D16" s="181">
        <v>15</v>
      </c>
      <c r="E16" s="181">
        <v>15</v>
      </c>
      <c r="F16" s="173"/>
      <c r="G16" s="173"/>
      <c r="H16" s="173"/>
      <c r="I16" s="173"/>
      <c r="J16" s="173"/>
      <c r="K16" s="173"/>
      <c r="L16" s="173"/>
      <c r="M16" s="173"/>
      <c r="N16" s="173"/>
    </row>
    <row r="17" spans="1:15" ht="16" customHeight="1">
      <c r="A17" s="145" t="s">
        <v>205</v>
      </c>
      <c r="B17" s="173" t="s">
        <v>180</v>
      </c>
      <c r="C17" s="173" t="s">
        <v>182</v>
      </c>
      <c r="D17" s="181">
        <v>15</v>
      </c>
      <c r="E17" s="181">
        <v>9</v>
      </c>
      <c r="F17" s="173"/>
      <c r="G17" s="173"/>
      <c r="H17" s="173"/>
      <c r="I17" s="173"/>
      <c r="J17" s="173"/>
      <c r="K17" s="173"/>
      <c r="L17" s="173"/>
      <c r="M17" s="173"/>
      <c r="N17" s="173"/>
    </row>
    <row r="18" spans="1:15" ht="16" customHeight="1">
      <c r="A18" s="145" t="s">
        <v>206</v>
      </c>
      <c r="B18" s="178" t="s">
        <v>520</v>
      </c>
      <c r="C18" s="173" t="s">
        <v>182</v>
      </c>
      <c r="D18" s="182">
        <v>15</v>
      </c>
      <c r="E18" s="182">
        <v>8</v>
      </c>
      <c r="F18" s="178"/>
      <c r="G18" s="178"/>
      <c r="H18" s="178"/>
      <c r="I18" s="178"/>
      <c r="J18" s="178"/>
      <c r="K18" s="178"/>
      <c r="L18" s="178"/>
      <c r="M18" s="178"/>
      <c r="N18" s="178"/>
    </row>
    <row r="19" spans="1:15" s="176" customFormat="1" ht="14.5" customHeight="1">
      <c r="A19" s="176" t="s">
        <v>207</v>
      </c>
      <c r="B19" s="177"/>
      <c r="C19" s="177"/>
      <c r="D19" s="170">
        <f t="shared" ref="D19:M19" si="6">SUM(D9:D18)</f>
        <v>150</v>
      </c>
      <c r="E19" s="170">
        <f t="shared" si="6"/>
        <v>96</v>
      </c>
      <c r="F19" s="170">
        <f t="shared" si="6"/>
        <v>0</v>
      </c>
      <c r="G19" s="170">
        <f t="shared" si="6"/>
        <v>0</v>
      </c>
      <c r="H19" s="170">
        <f t="shared" si="6"/>
        <v>0</v>
      </c>
      <c r="I19" s="170">
        <f t="shared" si="6"/>
        <v>0</v>
      </c>
      <c r="J19" s="170">
        <f t="shared" si="6"/>
        <v>0</v>
      </c>
      <c r="K19" s="170">
        <f t="shared" si="6"/>
        <v>0</v>
      </c>
      <c r="L19" s="170">
        <f t="shared" si="6"/>
        <v>0</v>
      </c>
      <c r="M19" s="170">
        <f t="shared" si="6"/>
        <v>0</v>
      </c>
      <c r="N19" s="177"/>
    </row>
    <row r="20" spans="1:15" ht="28.5" customHeight="1">
      <c r="B20" s="170" t="s">
        <v>218</v>
      </c>
      <c r="C20" s="170" t="s">
        <v>217</v>
      </c>
      <c r="D20" s="170" t="s">
        <v>500</v>
      </c>
      <c r="E20" s="169" t="s">
        <v>127</v>
      </c>
      <c r="F20" s="169" t="s">
        <v>981</v>
      </c>
      <c r="G20" s="169" t="s">
        <v>290</v>
      </c>
      <c r="H20" s="169" t="s">
        <v>312</v>
      </c>
      <c r="I20" s="169" t="s">
        <v>358</v>
      </c>
      <c r="J20" s="169" t="s">
        <v>982</v>
      </c>
      <c r="K20" s="169" t="s">
        <v>402</v>
      </c>
      <c r="L20" s="169" t="s">
        <v>983</v>
      </c>
      <c r="M20" s="169" t="s">
        <v>984</v>
      </c>
      <c r="N20" s="170"/>
      <c r="O20" s="171"/>
    </row>
    <row r="21" spans="1:15" ht="15.5" customHeight="1">
      <c r="A21" s="145" t="s">
        <v>208</v>
      </c>
      <c r="B21" s="172" t="s">
        <v>501</v>
      </c>
      <c r="C21" s="172" t="s">
        <v>15</v>
      </c>
      <c r="D21" s="180">
        <v>15</v>
      </c>
      <c r="E21" s="180">
        <v>18</v>
      </c>
      <c r="F21" s="172"/>
      <c r="G21" s="172"/>
      <c r="H21" s="172"/>
      <c r="I21" s="172"/>
      <c r="J21" s="172"/>
      <c r="K21" s="172"/>
      <c r="L21" s="172"/>
      <c r="M21" s="172"/>
      <c r="N21" s="172"/>
    </row>
    <row r="22" spans="1:15" ht="15.5" customHeight="1">
      <c r="A22" s="145" t="s">
        <v>209</v>
      </c>
      <c r="B22" s="173" t="s">
        <v>219</v>
      </c>
      <c r="C22" s="173" t="s">
        <v>15</v>
      </c>
      <c r="D22" s="181">
        <v>15</v>
      </c>
      <c r="E22" s="181">
        <v>16</v>
      </c>
      <c r="F22" s="173"/>
      <c r="G22" s="173"/>
      <c r="H22" s="173"/>
      <c r="I22" s="173"/>
      <c r="J22" s="173"/>
      <c r="K22" s="173"/>
      <c r="L22" s="173"/>
      <c r="M22" s="173"/>
      <c r="N22" s="173"/>
    </row>
    <row r="23" spans="1:15" ht="15.5" customHeight="1">
      <c r="B23" s="173" t="s">
        <v>502</v>
      </c>
      <c r="C23" s="173" t="s">
        <v>15</v>
      </c>
      <c r="D23" s="181">
        <v>15</v>
      </c>
      <c r="E23" s="181">
        <v>20</v>
      </c>
      <c r="F23" s="173"/>
      <c r="G23" s="173"/>
      <c r="H23" s="173"/>
      <c r="I23" s="173"/>
      <c r="J23" s="173"/>
      <c r="K23" s="173"/>
      <c r="L23" s="173"/>
      <c r="M23" s="173"/>
      <c r="N23" s="173"/>
    </row>
    <row r="24" spans="1:15" ht="15.5" customHeight="1">
      <c r="B24" s="173" t="s">
        <v>503</v>
      </c>
      <c r="C24" s="173" t="s">
        <v>15</v>
      </c>
      <c r="D24" s="181">
        <v>15</v>
      </c>
      <c r="E24" s="181">
        <v>22</v>
      </c>
      <c r="F24" s="173"/>
      <c r="G24" s="173"/>
      <c r="H24" s="173"/>
      <c r="I24" s="173"/>
      <c r="J24" s="173"/>
      <c r="K24" s="173"/>
      <c r="L24" s="173"/>
      <c r="M24" s="173"/>
      <c r="N24" s="173"/>
    </row>
    <row r="25" spans="1:15" ht="15.5" customHeight="1">
      <c r="B25" s="173" t="s">
        <v>220</v>
      </c>
      <c r="C25" s="173" t="s">
        <v>15</v>
      </c>
      <c r="D25" s="181">
        <v>15</v>
      </c>
      <c r="E25" s="181">
        <v>30</v>
      </c>
      <c r="F25" s="173"/>
      <c r="G25" s="173"/>
      <c r="H25" s="173"/>
      <c r="I25" s="173"/>
      <c r="J25" s="173"/>
      <c r="K25" s="173"/>
      <c r="L25" s="173"/>
      <c r="M25" s="173"/>
      <c r="N25" s="173"/>
    </row>
    <row r="26" spans="1:15" ht="15.5" customHeight="1">
      <c r="B26" s="173" t="s">
        <v>504</v>
      </c>
      <c r="C26" s="173" t="s">
        <v>15</v>
      </c>
      <c r="D26" s="181">
        <v>15</v>
      </c>
      <c r="E26" s="181">
        <v>29</v>
      </c>
      <c r="F26" s="173"/>
      <c r="G26" s="173"/>
      <c r="H26" s="173"/>
      <c r="I26" s="173"/>
      <c r="J26" s="173"/>
      <c r="K26" s="173"/>
      <c r="L26" s="173"/>
      <c r="M26" s="173"/>
      <c r="N26" s="173"/>
    </row>
    <row r="27" spans="1:15" ht="15.5" customHeight="1">
      <c r="A27" s="145" t="s">
        <v>210</v>
      </c>
      <c r="B27" s="173" t="s">
        <v>221</v>
      </c>
      <c r="C27" s="173" t="s">
        <v>15</v>
      </c>
      <c r="D27" s="181">
        <v>15</v>
      </c>
      <c r="E27" s="181">
        <v>17</v>
      </c>
      <c r="F27" s="173"/>
      <c r="G27" s="173"/>
      <c r="H27" s="173"/>
      <c r="I27" s="173"/>
      <c r="J27" s="173"/>
      <c r="K27" s="173"/>
      <c r="L27" s="173"/>
      <c r="M27" s="173"/>
      <c r="N27" s="173"/>
    </row>
    <row r="28" spans="1:15" ht="15.5" customHeight="1">
      <c r="A28" s="145" t="s">
        <v>211</v>
      </c>
      <c r="B28" s="173" t="s">
        <v>223</v>
      </c>
      <c r="C28" s="173" t="s">
        <v>15</v>
      </c>
      <c r="D28" s="181">
        <v>15</v>
      </c>
      <c r="E28" s="181">
        <v>19</v>
      </c>
      <c r="F28" s="173"/>
      <c r="G28" s="173"/>
      <c r="H28" s="173"/>
      <c r="I28" s="173"/>
      <c r="J28" s="173"/>
      <c r="K28" s="173"/>
      <c r="L28" s="173"/>
      <c r="M28" s="173"/>
      <c r="N28" s="173"/>
    </row>
    <row r="29" spans="1:15" ht="15.5" customHeight="1">
      <c r="A29" s="145" t="s">
        <v>212</v>
      </c>
      <c r="B29" s="173" t="s">
        <v>505</v>
      </c>
      <c r="C29" s="173" t="s">
        <v>15</v>
      </c>
      <c r="D29" s="181">
        <v>15</v>
      </c>
      <c r="E29" s="181">
        <v>28</v>
      </c>
      <c r="F29" s="173"/>
      <c r="G29" s="173"/>
      <c r="H29" s="173"/>
      <c r="I29" s="173"/>
      <c r="J29" s="173"/>
      <c r="K29" s="173"/>
      <c r="L29" s="173"/>
      <c r="M29" s="173"/>
      <c r="N29" s="173"/>
    </row>
    <row r="30" spans="1:15" ht="15.5" customHeight="1">
      <c r="A30" s="145" t="s">
        <v>213</v>
      </c>
      <c r="B30" s="173" t="s">
        <v>506</v>
      </c>
      <c r="C30" s="173" t="s">
        <v>15</v>
      </c>
      <c r="D30" s="181">
        <v>15</v>
      </c>
      <c r="E30" s="181">
        <v>25</v>
      </c>
      <c r="F30" s="173"/>
      <c r="G30" s="173"/>
      <c r="H30" s="173"/>
      <c r="I30" s="173"/>
      <c r="J30" s="173"/>
      <c r="K30" s="173"/>
      <c r="L30" s="173"/>
      <c r="M30" s="173"/>
      <c r="N30" s="173"/>
    </row>
    <row r="31" spans="1:15" ht="15.5" customHeight="1">
      <c r="A31" s="145" t="s">
        <v>214</v>
      </c>
      <c r="B31" s="173" t="s">
        <v>507</v>
      </c>
      <c r="C31" s="173" t="s">
        <v>15</v>
      </c>
      <c r="D31" s="181">
        <v>15</v>
      </c>
      <c r="E31" s="181">
        <v>0</v>
      </c>
      <c r="F31" s="173"/>
      <c r="G31" s="173"/>
      <c r="H31" s="173"/>
      <c r="I31" s="173"/>
      <c r="J31" s="173"/>
      <c r="K31" s="173"/>
      <c r="L31" s="173"/>
      <c r="M31" s="173"/>
      <c r="N31" s="173"/>
    </row>
    <row r="32" spans="1:15" ht="15.5" customHeight="1">
      <c r="A32" s="145" t="s">
        <v>216</v>
      </c>
      <c r="B32" s="173" t="s">
        <v>508</v>
      </c>
      <c r="C32" s="173" t="s">
        <v>15</v>
      </c>
      <c r="D32" s="181">
        <v>15</v>
      </c>
      <c r="E32" s="181">
        <v>9</v>
      </c>
      <c r="F32" s="173"/>
      <c r="G32" s="173"/>
      <c r="H32" s="173"/>
      <c r="I32" s="173"/>
      <c r="J32" s="173"/>
      <c r="K32" s="173"/>
      <c r="L32" s="173"/>
      <c r="M32" s="173"/>
      <c r="N32" s="173"/>
    </row>
    <row r="33" spans="1:15" ht="15.5" customHeight="1">
      <c r="A33" s="145" t="s">
        <v>215</v>
      </c>
      <c r="B33" s="173" t="s">
        <v>180</v>
      </c>
      <c r="C33" s="173" t="s">
        <v>15</v>
      </c>
      <c r="D33" s="181">
        <v>15</v>
      </c>
      <c r="E33" s="181">
        <v>13</v>
      </c>
      <c r="F33" s="173"/>
      <c r="G33" s="173"/>
      <c r="H33" s="173"/>
      <c r="I33" s="173"/>
      <c r="J33" s="173"/>
      <c r="K33" s="173"/>
      <c r="L33" s="173"/>
      <c r="M33" s="173"/>
      <c r="N33" s="173"/>
    </row>
    <row r="34" spans="1:15" ht="15.5" customHeight="1">
      <c r="A34" s="145" t="s">
        <v>200</v>
      </c>
      <c r="B34" s="173" t="s">
        <v>509</v>
      </c>
      <c r="C34" s="173" t="s">
        <v>15</v>
      </c>
      <c r="D34" s="181">
        <v>15</v>
      </c>
      <c r="E34" s="181">
        <v>11</v>
      </c>
      <c r="F34" s="173"/>
      <c r="G34" s="173"/>
      <c r="H34" s="173"/>
      <c r="I34" s="173"/>
      <c r="J34" s="173"/>
      <c r="K34" s="173"/>
      <c r="L34" s="173"/>
      <c r="M34" s="173"/>
      <c r="N34" s="173"/>
    </row>
    <row r="35" spans="1:15" s="176" customFormat="1" ht="15.5" customHeight="1">
      <c r="B35" s="173" t="s">
        <v>510</v>
      </c>
      <c r="C35" s="173" t="s">
        <v>15</v>
      </c>
      <c r="D35" s="181">
        <v>15</v>
      </c>
      <c r="E35" s="181">
        <v>21</v>
      </c>
      <c r="F35" s="173"/>
      <c r="G35" s="173"/>
      <c r="H35" s="173"/>
      <c r="I35" s="173"/>
      <c r="J35" s="173"/>
      <c r="K35" s="173"/>
      <c r="L35" s="173"/>
      <c r="M35" s="173"/>
      <c r="N35" s="173"/>
    </row>
    <row r="36" spans="1:15" ht="15.5" customHeight="1">
      <c r="A36" s="145" t="s">
        <v>224</v>
      </c>
      <c r="B36" s="173" t="s">
        <v>511</v>
      </c>
      <c r="C36" s="173" t="s">
        <v>15</v>
      </c>
      <c r="D36" s="181">
        <v>15</v>
      </c>
      <c r="E36" s="181">
        <v>10</v>
      </c>
      <c r="F36" s="173"/>
      <c r="G36" s="173"/>
      <c r="H36" s="173"/>
      <c r="I36" s="173"/>
      <c r="J36" s="173"/>
      <c r="K36" s="173"/>
      <c r="L36" s="173"/>
      <c r="M36" s="173"/>
      <c r="N36" s="173"/>
    </row>
    <row r="37" spans="1:15" ht="15.5" customHeight="1">
      <c r="A37" s="145" t="s">
        <v>225</v>
      </c>
      <c r="B37" s="173" t="s">
        <v>512</v>
      </c>
      <c r="C37" s="173" t="s">
        <v>15</v>
      </c>
      <c r="D37" s="181">
        <v>15</v>
      </c>
      <c r="E37" s="181">
        <v>17</v>
      </c>
      <c r="F37" s="173"/>
      <c r="G37" s="173"/>
      <c r="H37" s="173"/>
      <c r="I37" s="173"/>
      <c r="J37" s="173"/>
      <c r="K37" s="173"/>
      <c r="L37" s="173"/>
      <c r="M37" s="173"/>
      <c r="N37" s="173"/>
    </row>
    <row r="38" spans="1:15" ht="15.5" customHeight="1">
      <c r="A38" s="145" t="s">
        <v>207</v>
      </c>
      <c r="B38" s="173" t="s">
        <v>513</v>
      </c>
      <c r="C38" s="173" t="s">
        <v>15</v>
      </c>
      <c r="D38" s="181">
        <v>15</v>
      </c>
      <c r="E38" s="181">
        <v>15</v>
      </c>
      <c r="F38" s="173"/>
      <c r="G38" s="173"/>
      <c r="H38" s="173"/>
      <c r="I38" s="173"/>
      <c r="J38" s="173"/>
      <c r="K38" s="173"/>
      <c r="L38" s="173"/>
      <c r="M38" s="173"/>
      <c r="N38" s="173"/>
    </row>
    <row r="39" spans="1:15" ht="15.5" customHeight="1">
      <c r="A39" s="145" t="s">
        <v>226</v>
      </c>
      <c r="B39" s="173" t="s">
        <v>514</v>
      </c>
      <c r="C39" s="173" t="s">
        <v>15</v>
      </c>
      <c r="D39" s="181">
        <v>15</v>
      </c>
      <c r="E39" s="181">
        <v>14</v>
      </c>
      <c r="F39" s="173"/>
      <c r="G39" s="173"/>
      <c r="H39" s="173"/>
      <c r="I39" s="173"/>
      <c r="J39" s="173"/>
      <c r="K39" s="173"/>
      <c r="L39" s="173"/>
      <c r="M39" s="173"/>
      <c r="N39" s="173"/>
    </row>
    <row r="40" spans="1:15" ht="15.5" customHeight="1">
      <c r="A40" s="145" t="s">
        <v>227</v>
      </c>
      <c r="B40" s="173" t="s">
        <v>515</v>
      </c>
      <c r="C40" s="173" t="s">
        <v>15</v>
      </c>
      <c r="D40" s="181">
        <v>15</v>
      </c>
      <c r="E40" s="181">
        <v>19</v>
      </c>
      <c r="F40" s="173"/>
      <c r="G40" s="173"/>
      <c r="H40" s="173"/>
      <c r="I40" s="173"/>
      <c r="J40" s="173"/>
      <c r="K40" s="173"/>
      <c r="L40" s="173"/>
      <c r="M40" s="173"/>
      <c r="N40" s="173"/>
    </row>
    <row r="41" spans="1:15" ht="15.5" customHeight="1">
      <c r="A41" s="145" t="s">
        <v>228</v>
      </c>
      <c r="B41" s="177"/>
      <c r="C41" s="177"/>
      <c r="D41" s="170">
        <f t="shared" ref="D41:N41" si="7">SUM(D21:D40)</f>
        <v>300</v>
      </c>
      <c r="E41" s="170">
        <f t="shared" si="7"/>
        <v>353</v>
      </c>
      <c r="F41" s="177">
        <f t="shared" si="7"/>
        <v>0</v>
      </c>
      <c r="G41" s="177">
        <f t="shared" si="7"/>
        <v>0</v>
      </c>
      <c r="H41" s="177">
        <f t="shared" si="7"/>
        <v>0</v>
      </c>
      <c r="I41" s="177">
        <f t="shared" si="7"/>
        <v>0</v>
      </c>
      <c r="J41" s="177">
        <f t="shared" si="7"/>
        <v>0</v>
      </c>
      <c r="K41" s="177">
        <f t="shared" si="7"/>
        <v>0</v>
      </c>
      <c r="L41" s="177">
        <f t="shared" si="7"/>
        <v>0</v>
      </c>
      <c r="M41" s="177">
        <f t="shared" si="7"/>
        <v>0</v>
      </c>
      <c r="N41" s="177">
        <f t="shared" si="7"/>
        <v>0</v>
      </c>
    </row>
    <row r="42" spans="1:15" ht="28.5" customHeight="1">
      <c r="B42" s="170" t="s">
        <v>218</v>
      </c>
      <c r="C42" s="170" t="s">
        <v>217</v>
      </c>
      <c r="D42" s="170" t="s">
        <v>500</v>
      </c>
      <c r="E42" s="169" t="s">
        <v>127</v>
      </c>
      <c r="F42" s="169" t="s">
        <v>981</v>
      </c>
      <c r="G42" s="169" t="s">
        <v>290</v>
      </c>
      <c r="H42" s="169" t="s">
        <v>312</v>
      </c>
      <c r="I42" s="169" t="s">
        <v>358</v>
      </c>
      <c r="J42" s="169" t="s">
        <v>982</v>
      </c>
      <c r="K42" s="169" t="s">
        <v>402</v>
      </c>
      <c r="L42" s="169" t="s">
        <v>983</v>
      </c>
      <c r="M42" s="169" t="s">
        <v>984</v>
      </c>
      <c r="N42" s="170"/>
      <c r="O42" s="171"/>
    </row>
    <row r="43" spans="1:15" ht="17" customHeight="1">
      <c r="A43" s="145" t="s">
        <v>229</v>
      </c>
      <c r="B43" s="172" t="s">
        <v>233</v>
      </c>
      <c r="C43" s="172" t="s">
        <v>117</v>
      </c>
      <c r="D43" s="180">
        <v>15</v>
      </c>
      <c r="E43" s="180">
        <v>7</v>
      </c>
      <c r="F43" s="172"/>
      <c r="G43" s="172"/>
      <c r="H43" s="172"/>
      <c r="I43" s="172"/>
      <c r="J43" s="172"/>
      <c r="K43" s="172"/>
      <c r="L43" s="172"/>
      <c r="M43" s="172"/>
      <c r="N43" s="172"/>
    </row>
    <row r="44" spans="1:15" ht="17" customHeight="1">
      <c r="A44" s="145" t="s">
        <v>230</v>
      </c>
      <c r="B44" s="173" t="s">
        <v>496</v>
      </c>
      <c r="C44" s="173" t="s">
        <v>117</v>
      </c>
      <c r="D44" s="181">
        <v>15</v>
      </c>
      <c r="E44" s="181">
        <v>10</v>
      </c>
      <c r="F44" s="173"/>
      <c r="G44" s="173"/>
      <c r="H44" s="173"/>
      <c r="I44" s="173"/>
      <c r="J44" s="173"/>
      <c r="K44" s="173"/>
      <c r="L44" s="173"/>
      <c r="M44" s="173"/>
      <c r="N44" s="173"/>
    </row>
    <row r="45" spans="1:15" s="176" customFormat="1" ht="17" customHeight="1">
      <c r="B45" s="173" t="s">
        <v>497</v>
      </c>
      <c r="C45" s="173" t="s">
        <v>117</v>
      </c>
      <c r="D45" s="181">
        <v>15</v>
      </c>
      <c r="E45" s="181">
        <v>16</v>
      </c>
      <c r="F45" s="173"/>
      <c r="G45" s="173"/>
      <c r="H45" s="173"/>
      <c r="I45" s="173"/>
      <c r="J45" s="173"/>
      <c r="K45" s="173"/>
      <c r="L45" s="173"/>
      <c r="M45" s="173"/>
      <c r="N45" s="173"/>
    </row>
    <row r="46" spans="1:15" ht="17" customHeight="1">
      <c r="A46" s="145" t="s">
        <v>234</v>
      </c>
      <c r="B46" s="173" t="s">
        <v>222</v>
      </c>
      <c r="C46" s="173" t="s">
        <v>117</v>
      </c>
      <c r="D46" s="181">
        <v>15</v>
      </c>
      <c r="E46" s="181">
        <v>11</v>
      </c>
      <c r="F46" s="173"/>
      <c r="G46" s="173"/>
      <c r="H46" s="173"/>
      <c r="I46" s="173"/>
      <c r="J46" s="173"/>
      <c r="K46" s="173"/>
      <c r="L46" s="173"/>
      <c r="M46" s="173"/>
      <c r="N46" s="173"/>
    </row>
    <row r="47" spans="1:15" ht="17" customHeight="1">
      <c r="A47" s="145" t="s">
        <v>235</v>
      </c>
      <c r="B47" s="173" t="s">
        <v>232</v>
      </c>
      <c r="C47" s="173" t="s">
        <v>117</v>
      </c>
      <c r="D47" s="181">
        <v>15</v>
      </c>
      <c r="E47" s="197">
        <v>0</v>
      </c>
      <c r="F47" s="173"/>
      <c r="G47" s="173"/>
      <c r="H47" s="173"/>
      <c r="I47" s="173"/>
      <c r="J47" s="173"/>
      <c r="K47" s="173"/>
      <c r="L47" s="173"/>
      <c r="M47" s="173"/>
      <c r="N47" s="173"/>
    </row>
    <row r="48" spans="1:15" ht="17" customHeight="1">
      <c r="B48" s="173" t="s">
        <v>498</v>
      </c>
      <c r="C48" s="173" t="s">
        <v>117</v>
      </c>
      <c r="D48" s="181">
        <v>15</v>
      </c>
      <c r="E48" s="181">
        <v>10</v>
      </c>
      <c r="F48" s="173"/>
      <c r="G48" s="173"/>
      <c r="H48" s="173"/>
      <c r="I48" s="173"/>
      <c r="J48" s="173"/>
      <c r="K48" s="173"/>
      <c r="L48" s="173"/>
      <c r="M48" s="173"/>
      <c r="N48" s="173"/>
    </row>
    <row r="49" spans="1:15" ht="17" customHeight="1">
      <c r="B49" s="173" t="s">
        <v>499</v>
      </c>
      <c r="C49" s="173" t="s">
        <v>117</v>
      </c>
      <c r="D49" s="181">
        <v>15</v>
      </c>
      <c r="E49" s="181">
        <v>16</v>
      </c>
      <c r="F49" s="173"/>
      <c r="G49" s="173"/>
      <c r="H49" s="173"/>
      <c r="I49" s="173"/>
      <c r="J49" s="173"/>
      <c r="K49" s="173"/>
      <c r="L49" s="173"/>
      <c r="M49" s="173"/>
      <c r="N49" s="173"/>
    </row>
    <row r="50" spans="1:15" ht="17" customHeight="1">
      <c r="A50" s="145" t="s">
        <v>236</v>
      </c>
      <c r="B50" s="178" t="s">
        <v>231</v>
      </c>
      <c r="C50" s="178" t="s">
        <v>117</v>
      </c>
      <c r="D50" s="182">
        <v>15</v>
      </c>
      <c r="E50" s="182">
        <v>7</v>
      </c>
      <c r="F50" s="178"/>
      <c r="G50" s="178"/>
      <c r="H50" s="178"/>
      <c r="I50" s="178"/>
      <c r="J50" s="178"/>
      <c r="K50" s="178"/>
      <c r="L50" s="178"/>
      <c r="M50" s="178"/>
      <c r="N50" s="178"/>
    </row>
    <row r="51" spans="1:15" s="176" customFormat="1" ht="17" customHeight="1">
      <c r="B51" s="177"/>
      <c r="C51" s="177"/>
      <c r="D51" s="170">
        <f>SUM(D43:D50)</f>
        <v>120</v>
      </c>
      <c r="E51" s="170">
        <f t="shared" ref="E51:N51" si="8">SUM(E43:E50)</f>
        <v>77</v>
      </c>
      <c r="F51" s="177">
        <f t="shared" si="8"/>
        <v>0</v>
      </c>
      <c r="G51" s="177">
        <f t="shared" si="8"/>
        <v>0</v>
      </c>
      <c r="H51" s="177">
        <f t="shared" si="8"/>
        <v>0</v>
      </c>
      <c r="I51" s="177">
        <f t="shared" si="8"/>
        <v>0</v>
      </c>
      <c r="J51" s="177">
        <f t="shared" si="8"/>
        <v>0</v>
      </c>
      <c r="K51" s="177">
        <f t="shared" si="8"/>
        <v>0</v>
      </c>
      <c r="L51" s="177">
        <f t="shared" si="8"/>
        <v>0</v>
      </c>
      <c r="M51" s="177">
        <f t="shared" si="8"/>
        <v>0</v>
      </c>
      <c r="N51" s="177">
        <f t="shared" si="8"/>
        <v>0</v>
      </c>
    </row>
    <row r="52" spans="1:15" ht="28.5" customHeight="1">
      <c r="B52" s="170" t="s">
        <v>218</v>
      </c>
      <c r="C52" s="170" t="s">
        <v>217</v>
      </c>
      <c r="D52" s="170" t="s">
        <v>500</v>
      </c>
      <c r="E52" s="169" t="s">
        <v>127</v>
      </c>
      <c r="F52" s="169" t="s">
        <v>981</v>
      </c>
      <c r="G52" s="169" t="s">
        <v>290</v>
      </c>
      <c r="H52" s="169" t="s">
        <v>312</v>
      </c>
      <c r="I52" s="169" t="s">
        <v>358</v>
      </c>
      <c r="J52" s="169" t="s">
        <v>982</v>
      </c>
      <c r="K52" s="169" t="s">
        <v>402</v>
      </c>
      <c r="L52" s="169" t="s">
        <v>983</v>
      </c>
      <c r="M52" s="169" t="s">
        <v>984</v>
      </c>
      <c r="N52" s="170"/>
      <c r="O52" s="171"/>
    </row>
    <row r="53" spans="1:15" ht="17" customHeight="1">
      <c r="B53" s="172" t="s">
        <v>179</v>
      </c>
      <c r="C53" s="172" t="s">
        <v>115</v>
      </c>
      <c r="D53" s="180">
        <v>15</v>
      </c>
      <c r="E53" s="180">
        <v>8</v>
      </c>
      <c r="F53" s="172"/>
      <c r="G53" s="172"/>
      <c r="H53" s="172"/>
      <c r="I53" s="172"/>
      <c r="J53" s="172"/>
      <c r="K53" s="172"/>
      <c r="L53" s="172"/>
      <c r="M53" s="172"/>
      <c r="N53" s="172"/>
    </row>
    <row r="54" spans="1:15" ht="17" customHeight="1">
      <c r="B54" s="173" t="s">
        <v>495</v>
      </c>
      <c r="C54" s="173" t="s">
        <v>115</v>
      </c>
      <c r="D54" s="181">
        <v>15</v>
      </c>
      <c r="E54" s="181">
        <v>6</v>
      </c>
      <c r="F54" s="173"/>
      <c r="G54" s="173"/>
      <c r="H54" s="173"/>
      <c r="I54" s="173"/>
      <c r="J54" s="173"/>
      <c r="K54" s="173"/>
      <c r="L54" s="173"/>
      <c r="M54" s="173"/>
      <c r="N54" s="173"/>
    </row>
    <row r="55" spans="1:15" ht="17" customHeight="1">
      <c r="B55" s="178" t="s">
        <v>494</v>
      </c>
      <c r="C55" s="173" t="s">
        <v>115</v>
      </c>
      <c r="D55" s="182">
        <v>15</v>
      </c>
      <c r="E55" s="182">
        <v>16</v>
      </c>
      <c r="F55" s="178"/>
      <c r="G55" s="178"/>
      <c r="H55" s="178"/>
      <c r="I55" s="178"/>
      <c r="J55" s="178"/>
      <c r="K55" s="178"/>
      <c r="L55" s="178"/>
      <c r="M55" s="178"/>
      <c r="N55" s="178"/>
    </row>
    <row r="56" spans="1:15" ht="17" customHeight="1">
      <c r="B56" s="178" t="s">
        <v>181</v>
      </c>
      <c r="C56" s="173" t="s">
        <v>115</v>
      </c>
      <c r="D56" s="182">
        <v>15</v>
      </c>
      <c r="E56" s="182">
        <v>22</v>
      </c>
      <c r="F56" s="178"/>
      <c r="G56" s="178"/>
      <c r="H56" s="178"/>
      <c r="I56" s="178"/>
      <c r="J56" s="178"/>
      <c r="K56" s="178"/>
      <c r="L56" s="178"/>
      <c r="M56" s="178"/>
      <c r="N56" s="178"/>
    </row>
    <row r="57" spans="1:15" ht="17" customHeight="1">
      <c r="B57" s="175" t="s">
        <v>180</v>
      </c>
      <c r="C57" s="175" t="s">
        <v>115</v>
      </c>
      <c r="D57" s="183">
        <v>15</v>
      </c>
      <c r="E57" s="183">
        <v>18</v>
      </c>
      <c r="F57" s="175"/>
      <c r="G57" s="175"/>
      <c r="H57" s="175"/>
      <c r="I57" s="175"/>
      <c r="J57" s="175"/>
      <c r="K57" s="175"/>
      <c r="L57" s="175"/>
      <c r="M57" s="175"/>
      <c r="N57" s="175"/>
    </row>
    <row r="58" spans="1:15" ht="17" customHeight="1">
      <c r="B58" s="177"/>
      <c r="C58" s="177"/>
      <c r="D58" s="170">
        <f>SUM(D53:D57)</f>
        <v>75</v>
      </c>
      <c r="E58" s="170">
        <f t="shared" ref="E58:N58" si="9">SUM(E53:E57)</f>
        <v>70</v>
      </c>
      <c r="F58" s="177">
        <f t="shared" si="9"/>
        <v>0</v>
      </c>
      <c r="G58" s="177">
        <f t="shared" si="9"/>
        <v>0</v>
      </c>
      <c r="H58" s="177">
        <f t="shared" si="9"/>
        <v>0</v>
      </c>
      <c r="I58" s="177">
        <f t="shared" si="9"/>
        <v>0</v>
      </c>
      <c r="J58" s="177">
        <f t="shared" si="9"/>
        <v>0</v>
      </c>
      <c r="K58" s="177">
        <f t="shared" si="9"/>
        <v>0</v>
      </c>
      <c r="L58" s="177">
        <f t="shared" si="9"/>
        <v>0</v>
      </c>
      <c r="M58" s="177">
        <f t="shared" si="9"/>
        <v>0</v>
      </c>
      <c r="N58" s="177">
        <f t="shared" si="9"/>
        <v>0</v>
      </c>
    </row>
    <row r="70" spans="2:13" ht="14.5">
      <c r="B70" s="144"/>
      <c r="C70" s="144"/>
      <c r="D70" s="155"/>
      <c r="E70" s="155"/>
      <c r="I70" s="144"/>
      <c r="J70" s="144"/>
      <c r="L70" s="144"/>
      <c r="M70" s="144"/>
    </row>
    <row r="71" spans="2:13" ht="14.5">
      <c r="B71" s="144"/>
      <c r="C71" s="144"/>
      <c r="D71" s="155"/>
      <c r="E71" s="155"/>
    </row>
    <row r="72" spans="2:13" ht="14.5">
      <c r="B72" s="144"/>
      <c r="C72" s="144"/>
      <c r="D72" s="155"/>
      <c r="E72" s="155"/>
    </row>
    <row r="73" spans="2:13" ht="14.5">
      <c r="B73" s="144"/>
      <c r="C73" s="144"/>
      <c r="D73" s="155"/>
      <c r="E73" s="155"/>
    </row>
    <row r="74" spans="2:13" ht="14.5">
      <c r="B74" s="144"/>
      <c r="C74" s="144"/>
      <c r="D74" s="155"/>
    </row>
    <row r="75" spans="2:13" ht="14.5">
      <c r="B75" s="144"/>
      <c r="C75" s="144"/>
      <c r="D75" s="155"/>
    </row>
    <row r="76" spans="2:13" ht="14.5">
      <c r="B76" s="144"/>
      <c r="C76" s="144"/>
      <c r="D76" s="155"/>
    </row>
    <row r="77" spans="2:13" ht="14.5">
      <c r="B77" s="144"/>
      <c r="C77" s="144"/>
      <c r="D77" s="155"/>
    </row>
    <row r="78" spans="2:13" ht="14.5">
      <c r="B78" s="144"/>
      <c r="C78" s="144"/>
      <c r="D78" s="155"/>
    </row>
    <row r="79" spans="2:13" ht="14.5">
      <c r="B79" s="144"/>
      <c r="C79" s="144"/>
      <c r="D79" s="155"/>
    </row>
    <row r="80" spans="2:13" ht="14.5">
      <c r="B80" s="144"/>
      <c r="C80" s="144"/>
      <c r="D80" s="155"/>
    </row>
  </sheetData>
  <phoneticPr fontId="10"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C39E6-C4C0-4A2A-A8C2-D55965FCF44D}">
  <dimension ref="A1:AY289"/>
  <sheetViews>
    <sheetView topLeftCell="A35" zoomScale="40" zoomScaleNormal="40" workbookViewId="0">
      <selection activeCell="M12" sqref="M12"/>
    </sheetView>
  </sheetViews>
  <sheetFormatPr defaultColWidth="8.81640625" defaultRowHeight="14.5"/>
  <cols>
    <col min="1" max="1" width="8.36328125" style="134" bestFit="1" customWidth="1"/>
    <col min="2" max="3" width="9.453125" style="134" customWidth="1"/>
    <col min="4" max="4" width="11.6328125" style="134" bestFit="1" customWidth="1"/>
    <col min="5" max="5" width="10.08984375" style="134" bestFit="1" customWidth="1"/>
    <col min="6" max="6" width="7.453125" style="134" customWidth="1"/>
    <col min="7" max="7" width="17.26953125" style="134" customWidth="1"/>
    <col min="8" max="8" width="21.7265625" style="135" customWidth="1"/>
    <col min="9" max="9" width="28.7265625" style="135" bestFit="1" customWidth="1"/>
    <col min="10" max="10" width="15.453125" style="135" customWidth="1"/>
    <col min="11" max="11" width="28.1796875" style="135" bestFit="1" customWidth="1"/>
    <col min="12" max="12" width="21.453125" style="134" customWidth="1"/>
    <col min="13" max="13" width="13.453125" style="209" customWidth="1"/>
    <col min="14" max="14" width="5.26953125" style="1" customWidth="1"/>
    <col min="15" max="15" width="6.36328125" style="1" customWidth="1"/>
    <col min="16" max="16" width="47.1796875" style="1" bestFit="1" customWidth="1"/>
    <col min="17" max="17" width="16.1796875" style="1" bestFit="1" customWidth="1"/>
    <col min="18" max="18" width="32" style="1" bestFit="1" customWidth="1"/>
    <col min="19" max="19" width="11.81640625" style="1" bestFit="1" customWidth="1"/>
    <col min="20" max="20" width="1.81640625" style="1" customWidth="1"/>
    <col min="21" max="21" width="19.90625" style="1" bestFit="1" customWidth="1"/>
    <col min="22" max="22" width="11.81640625" style="1" bestFit="1" customWidth="1"/>
    <col min="23" max="23" width="26.7265625" style="1" bestFit="1" customWidth="1"/>
    <col min="24" max="24" width="2.7265625" style="1" customWidth="1"/>
    <col min="25" max="25" width="42.81640625" style="1" bestFit="1" customWidth="1"/>
    <col min="26" max="26" width="11.81640625" style="1" customWidth="1"/>
    <col min="27" max="27" width="2.453125" style="1" customWidth="1"/>
    <col min="28" max="28" width="17.6328125" style="1" bestFit="1" customWidth="1"/>
    <col min="29" max="29" width="11.81640625" style="1" bestFit="1" customWidth="1"/>
    <col min="30" max="30" width="26.7265625" style="1" bestFit="1" customWidth="1"/>
    <col min="31" max="31" width="2.7265625" style="1" customWidth="1"/>
    <col min="32" max="32" width="42.81640625" style="1" bestFit="1" customWidth="1"/>
    <col min="33" max="33" width="11.81640625" style="1" bestFit="1" customWidth="1"/>
    <col min="34" max="50" width="23.6328125" style="1" bestFit="1" customWidth="1"/>
    <col min="51" max="51" width="10.36328125" style="1" bestFit="1" customWidth="1"/>
    <col min="52" max="16384" width="8.81640625" style="1"/>
  </cols>
  <sheetData>
    <row r="1" spans="1:33" s="213" customFormat="1">
      <c r="A1" s="210" t="s">
        <v>0</v>
      </c>
      <c r="B1" s="210" t="s">
        <v>130</v>
      </c>
      <c r="C1" s="210" t="s">
        <v>35</v>
      </c>
      <c r="D1" s="210" t="s">
        <v>131</v>
      </c>
      <c r="E1" s="210" t="s">
        <v>23</v>
      </c>
      <c r="F1" s="210" t="s">
        <v>293</v>
      </c>
      <c r="G1" s="210" t="s">
        <v>132</v>
      </c>
      <c r="H1" s="211" t="s">
        <v>133</v>
      </c>
      <c r="I1" s="211" t="s">
        <v>134</v>
      </c>
      <c r="J1" s="211" t="s">
        <v>320</v>
      </c>
      <c r="K1" s="211" t="s">
        <v>321</v>
      </c>
      <c r="L1" s="210" t="s">
        <v>322</v>
      </c>
      <c r="M1" s="212" t="s">
        <v>833</v>
      </c>
      <c r="O1"/>
      <c r="P1" s="214"/>
      <c r="R1" s="214"/>
      <c r="S1" s="214"/>
      <c r="U1" s="214"/>
      <c r="V1" s="214"/>
      <c r="W1" s="214"/>
      <c r="Y1" s="214"/>
      <c r="Z1" s="214"/>
      <c r="AB1" s="214"/>
      <c r="AC1" s="214"/>
      <c r="AD1" s="214"/>
      <c r="AF1" s="214"/>
      <c r="AG1" s="214"/>
    </row>
    <row r="2" spans="1:33">
      <c r="A2" s="153">
        <v>1</v>
      </c>
      <c r="B2" s="153" t="s">
        <v>294</v>
      </c>
      <c r="C2" s="153">
        <v>2</v>
      </c>
      <c r="D2" s="153" t="s">
        <v>857</v>
      </c>
      <c r="E2" s="153" t="s">
        <v>1</v>
      </c>
      <c r="F2" s="153">
        <v>5</v>
      </c>
      <c r="G2" s="153" t="s">
        <v>858</v>
      </c>
      <c r="H2" s="154" t="s">
        <v>859</v>
      </c>
      <c r="I2" s="154" t="s">
        <v>860</v>
      </c>
      <c r="J2" s="154" t="s">
        <v>6</v>
      </c>
      <c r="K2" s="154"/>
      <c r="L2" s="153">
        <v>1</v>
      </c>
      <c r="M2" s="209">
        <v>8</v>
      </c>
      <c r="O2"/>
      <c r="P2" s="21" t="s">
        <v>120</v>
      </c>
      <c r="Q2" t="s">
        <v>1021</v>
      </c>
      <c r="R2" t="s">
        <v>1020</v>
      </c>
      <c r="S2"/>
      <c r="U2"/>
      <c r="V2"/>
      <c r="W2"/>
      <c r="Y2"/>
      <c r="Z2"/>
      <c r="AB2"/>
      <c r="AC2"/>
      <c r="AD2"/>
      <c r="AF2"/>
      <c r="AG2"/>
    </row>
    <row r="3" spans="1:33">
      <c r="A3" s="153">
        <v>2</v>
      </c>
      <c r="B3" s="153" t="s">
        <v>294</v>
      </c>
      <c r="C3" s="153">
        <v>2</v>
      </c>
      <c r="D3" s="153" t="s">
        <v>857</v>
      </c>
      <c r="E3" s="153" t="s">
        <v>1</v>
      </c>
      <c r="F3" s="153">
        <v>4</v>
      </c>
      <c r="G3" s="153" t="s">
        <v>861</v>
      </c>
      <c r="H3" s="154" t="s">
        <v>862</v>
      </c>
      <c r="I3" s="154" t="s">
        <v>863</v>
      </c>
      <c r="J3" s="154" t="s">
        <v>6</v>
      </c>
      <c r="K3" s="154"/>
      <c r="L3" s="153">
        <v>1</v>
      </c>
      <c r="M3" s="209">
        <v>8</v>
      </c>
      <c r="O3"/>
      <c r="P3" s="22" t="s">
        <v>928</v>
      </c>
      <c r="Q3">
        <v>3</v>
      </c>
      <c r="R3"/>
      <c r="S3"/>
      <c r="U3"/>
      <c r="V3"/>
      <c r="W3"/>
      <c r="Y3"/>
      <c r="Z3"/>
      <c r="AB3"/>
      <c r="AC3"/>
      <c r="AD3"/>
      <c r="AF3"/>
      <c r="AG3"/>
    </row>
    <row r="4" spans="1:33">
      <c r="A4" s="153">
        <v>3</v>
      </c>
      <c r="B4" s="153" t="s">
        <v>294</v>
      </c>
      <c r="C4" s="153">
        <v>2</v>
      </c>
      <c r="D4" s="153" t="s">
        <v>857</v>
      </c>
      <c r="E4" s="153" t="s">
        <v>1</v>
      </c>
      <c r="F4" s="153">
        <v>4</v>
      </c>
      <c r="G4" s="153" t="s">
        <v>864</v>
      </c>
      <c r="H4" s="154" t="s">
        <v>862</v>
      </c>
      <c r="I4" s="154" t="s">
        <v>865</v>
      </c>
      <c r="J4" s="154" t="s">
        <v>6</v>
      </c>
      <c r="K4" s="154"/>
      <c r="L4" s="153">
        <v>1</v>
      </c>
      <c r="M4" s="209">
        <v>8</v>
      </c>
      <c r="O4"/>
      <c r="P4" s="22" t="s">
        <v>862</v>
      </c>
      <c r="Q4">
        <v>6</v>
      </c>
      <c r="R4">
        <v>6</v>
      </c>
      <c r="S4"/>
      <c r="U4"/>
      <c r="V4"/>
      <c r="W4"/>
      <c r="Y4"/>
      <c r="Z4"/>
      <c r="AB4"/>
      <c r="AC4"/>
      <c r="AD4"/>
      <c r="AF4"/>
      <c r="AG4"/>
    </row>
    <row r="5" spans="1:33">
      <c r="A5" s="153">
        <v>4</v>
      </c>
      <c r="B5" s="153" t="s">
        <v>295</v>
      </c>
      <c r="C5" s="153">
        <v>6</v>
      </c>
      <c r="D5" s="153" t="s">
        <v>866</v>
      </c>
      <c r="E5" s="153" t="s">
        <v>1</v>
      </c>
      <c r="F5" s="153">
        <v>3</v>
      </c>
      <c r="G5" s="153" t="s">
        <v>867</v>
      </c>
      <c r="H5" s="154" t="s">
        <v>554</v>
      </c>
      <c r="I5" s="154" t="s">
        <v>868</v>
      </c>
      <c r="J5" s="154" t="s">
        <v>6</v>
      </c>
      <c r="K5" s="154"/>
      <c r="L5" s="153">
        <v>1</v>
      </c>
      <c r="M5" s="209">
        <v>8</v>
      </c>
      <c r="O5"/>
      <c r="P5" s="22" t="s">
        <v>872</v>
      </c>
      <c r="Q5">
        <v>1</v>
      </c>
      <c r="R5">
        <v>1</v>
      </c>
      <c r="S5"/>
      <c r="U5"/>
      <c r="V5"/>
      <c r="W5"/>
      <c r="Y5"/>
      <c r="Z5"/>
      <c r="AB5"/>
      <c r="AC5"/>
      <c r="AD5"/>
      <c r="AF5"/>
      <c r="AG5"/>
    </row>
    <row r="6" spans="1:33">
      <c r="A6" s="153">
        <v>5</v>
      </c>
      <c r="B6" s="153" t="s">
        <v>296</v>
      </c>
      <c r="C6" s="153">
        <v>5</v>
      </c>
      <c r="D6" s="153" t="s">
        <v>869</v>
      </c>
      <c r="E6" s="153" t="s">
        <v>1</v>
      </c>
      <c r="F6" s="153">
        <v>3</v>
      </c>
      <c r="G6" s="153" t="s">
        <v>557</v>
      </c>
      <c r="H6" s="154" t="s">
        <v>554</v>
      </c>
      <c r="I6" s="154" t="s">
        <v>868</v>
      </c>
      <c r="J6" s="154" t="s">
        <v>6</v>
      </c>
      <c r="K6" s="154"/>
      <c r="L6" s="153">
        <v>1</v>
      </c>
      <c r="M6" s="209">
        <v>8</v>
      </c>
      <c r="O6"/>
      <c r="P6" s="22" t="s">
        <v>859</v>
      </c>
      <c r="Q6">
        <v>2</v>
      </c>
      <c r="R6">
        <v>2</v>
      </c>
      <c r="S6"/>
      <c r="U6"/>
      <c r="V6"/>
      <c r="W6"/>
      <c r="Y6"/>
      <c r="Z6"/>
      <c r="AB6"/>
      <c r="AC6"/>
      <c r="AD6"/>
      <c r="AF6"/>
      <c r="AG6"/>
    </row>
    <row r="7" spans="1:33">
      <c r="A7" s="153">
        <v>6</v>
      </c>
      <c r="B7" s="153" t="s">
        <v>294</v>
      </c>
      <c r="C7" s="153">
        <v>4</v>
      </c>
      <c r="D7" s="153" t="s">
        <v>870</v>
      </c>
      <c r="E7" s="153" t="s">
        <v>1</v>
      </c>
      <c r="F7" s="153">
        <v>5</v>
      </c>
      <c r="G7" s="153" t="s">
        <v>858</v>
      </c>
      <c r="H7" s="154" t="s">
        <v>859</v>
      </c>
      <c r="I7" s="154" t="s">
        <v>860</v>
      </c>
      <c r="J7" s="154" t="s">
        <v>6</v>
      </c>
      <c r="K7" s="154"/>
      <c r="L7" s="153">
        <v>1</v>
      </c>
      <c r="M7" s="209">
        <v>8</v>
      </c>
      <c r="O7"/>
      <c r="P7" s="22" t="s">
        <v>877</v>
      </c>
      <c r="Q7">
        <v>2</v>
      </c>
      <c r="R7">
        <v>2</v>
      </c>
      <c r="S7"/>
      <c r="U7"/>
      <c r="V7"/>
      <c r="W7"/>
      <c r="Y7"/>
      <c r="Z7"/>
      <c r="AB7"/>
      <c r="AC7"/>
      <c r="AD7"/>
      <c r="AF7"/>
      <c r="AG7"/>
    </row>
    <row r="8" spans="1:33">
      <c r="A8" s="153">
        <v>7</v>
      </c>
      <c r="B8" s="153" t="s">
        <v>294</v>
      </c>
      <c r="C8" s="153">
        <v>4</v>
      </c>
      <c r="D8" s="153" t="s">
        <v>870</v>
      </c>
      <c r="E8" s="153" t="s">
        <v>1</v>
      </c>
      <c r="F8" s="153">
        <v>4</v>
      </c>
      <c r="G8" s="153" t="s">
        <v>871</v>
      </c>
      <c r="H8" s="154" t="s">
        <v>872</v>
      </c>
      <c r="I8" s="154" t="s">
        <v>873</v>
      </c>
      <c r="J8" s="154" t="s">
        <v>6</v>
      </c>
      <c r="K8" s="154"/>
      <c r="L8" s="153">
        <v>1</v>
      </c>
      <c r="M8" s="209">
        <v>8</v>
      </c>
      <c r="O8"/>
      <c r="P8" s="22" t="s">
        <v>547</v>
      </c>
      <c r="Q8">
        <v>1</v>
      </c>
      <c r="R8"/>
      <c r="S8"/>
      <c r="U8"/>
      <c r="V8"/>
      <c r="W8"/>
      <c r="Y8"/>
      <c r="Z8"/>
      <c r="AB8"/>
      <c r="AC8"/>
      <c r="AD8"/>
      <c r="AF8"/>
      <c r="AG8"/>
    </row>
    <row r="9" spans="1:33">
      <c r="A9" s="153">
        <v>8</v>
      </c>
      <c r="B9" s="153" t="s">
        <v>294</v>
      </c>
      <c r="C9" s="153">
        <v>4</v>
      </c>
      <c r="D9" s="153" t="s">
        <v>870</v>
      </c>
      <c r="E9" s="153" t="s">
        <v>1</v>
      </c>
      <c r="F9" s="153">
        <v>4</v>
      </c>
      <c r="G9" s="153" t="s">
        <v>861</v>
      </c>
      <c r="H9" s="154" t="s">
        <v>862</v>
      </c>
      <c r="I9" s="154" t="s">
        <v>863</v>
      </c>
      <c r="J9" s="154" t="s">
        <v>6</v>
      </c>
      <c r="K9" s="154"/>
      <c r="L9" s="153">
        <v>1</v>
      </c>
      <c r="M9" s="209">
        <v>8</v>
      </c>
      <c r="O9"/>
      <c r="P9" s="22" t="s">
        <v>955</v>
      </c>
      <c r="Q9">
        <v>1</v>
      </c>
      <c r="R9"/>
      <c r="S9"/>
      <c r="U9"/>
      <c r="V9"/>
      <c r="W9"/>
      <c r="Y9"/>
      <c r="Z9"/>
      <c r="AB9"/>
      <c r="AC9"/>
      <c r="AD9"/>
      <c r="AF9"/>
      <c r="AG9"/>
    </row>
    <row r="10" spans="1:33">
      <c r="A10" s="153">
        <v>9</v>
      </c>
      <c r="B10" s="153" t="s">
        <v>294</v>
      </c>
      <c r="C10" s="153">
        <v>4</v>
      </c>
      <c r="D10" s="153" t="s">
        <v>870</v>
      </c>
      <c r="E10" s="153" t="s">
        <v>1</v>
      </c>
      <c r="F10" s="153">
        <v>4</v>
      </c>
      <c r="G10" s="153" t="s">
        <v>864</v>
      </c>
      <c r="H10" s="154" t="s">
        <v>862</v>
      </c>
      <c r="I10" s="154" t="s">
        <v>865</v>
      </c>
      <c r="J10" s="154" t="s">
        <v>6</v>
      </c>
      <c r="K10" s="154"/>
      <c r="L10" s="153">
        <v>1</v>
      </c>
      <c r="M10" s="209">
        <v>8</v>
      </c>
      <c r="O10"/>
      <c r="P10" s="22" t="s">
        <v>976</v>
      </c>
      <c r="Q10">
        <v>1</v>
      </c>
      <c r="R10"/>
      <c r="S10"/>
      <c r="U10"/>
      <c r="V10"/>
      <c r="W10"/>
      <c r="Y10"/>
      <c r="Z10"/>
      <c r="AB10"/>
      <c r="AC10"/>
      <c r="AD10"/>
      <c r="AF10"/>
      <c r="AG10"/>
    </row>
    <row r="11" spans="1:33">
      <c r="A11" s="153">
        <v>10</v>
      </c>
      <c r="B11" s="153" t="s">
        <v>294</v>
      </c>
      <c r="C11" s="153">
        <v>3</v>
      </c>
      <c r="D11" s="153" t="s">
        <v>874</v>
      </c>
      <c r="E11" s="153" t="s">
        <v>1</v>
      </c>
      <c r="F11" s="153">
        <v>5</v>
      </c>
      <c r="G11" s="153" t="s">
        <v>875</v>
      </c>
      <c r="H11" s="154" t="s">
        <v>862</v>
      </c>
      <c r="I11" s="154" t="s">
        <v>865</v>
      </c>
      <c r="J11" s="154" t="s">
        <v>6</v>
      </c>
      <c r="K11" s="154"/>
      <c r="L11" s="153">
        <v>1</v>
      </c>
      <c r="M11" s="209">
        <v>8</v>
      </c>
      <c r="O11"/>
      <c r="P11" s="22" t="s">
        <v>412</v>
      </c>
      <c r="Q11">
        <v>1</v>
      </c>
      <c r="R11"/>
      <c r="S11"/>
      <c r="U11"/>
      <c r="V11"/>
      <c r="W11"/>
      <c r="Y11"/>
      <c r="Z11"/>
      <c r="AB11"/>
      <c r="AC11"/>
      <c r="AD11"/>
      <c r="AF11"/>
      <c r="AG11"/>
    </row>
    <row r="12" spans="1:33">
      <c r="A12" s="153">
        <v>11</v>
      </c>
      <c r="B12" s="153" t="s">
        <v>294</v>
      </c>
      <c r="C12" s="153">
        <v>3</v>
      </c>
      <c r="D12" s="153" t="s">
        <v>874</v>
      </c>
      <c r="E12" s="153" t="s">
        <v>1</v>
      </c>
      <c r="F12" s="153">
        <v>5</v>
      </c>
      <c r="G12" s="153" t="s">
        <v>876</v>
      </c>
      <c r="H12" s="154" t="s">
        <v>877</v>
      </c>
      <c r="I12" s="154" t="s">
        <v>878</v>
      </c>
      <c r="J12" s="154" t="s">
        <v>6</v>
      </c>
      <c r="K12" s="154"/>
      <c r="L12" s="153">
        <v>1</v>
      </c>
      <c r="M12" s="209">
        <v>8</v>
      </c>
      <c r="O12"/>
      <c r="P12" s="22" t="s">
        <v>10</v>
      </c>
      <c r="Q12">
        <v>2</v>
      </c>
      <c r="R12"/>
      <c r="S12"/>
      <c r="U12"/>
      <c r="V12"/>
      <c r="W12"/>
      <c r="Y12"/>
      <c r="Z12"/>
      <c r="AB12"/>
      <c r="AC12"/>
      <c r="AD12"/>
      <c r="AF12"/>
      <c r="AG12"/>
    </row>
    <row r="13" spans="1:33">
      <c r="A13" s="153">
        <v>12</v>
      </c>
      <c r="B13" s="153" t="s">
        <v>294</v>
      </c>
      <c r="C13" s="153">
        <v>3</v>
      </c>
      <c r="D13" s="153" t="s">
        <v>874</v>
      </c>
      <c r="E13" s="153" t="s">
        <v>1</v>
      </c>
      <c r="F13" s="153">
        <v>4</v>
      </c>
      <c r="G13" s="153" t="s">
        <v>879</v>
      </c>
      <c r="H13" s="154" t="s">
        <v>877</v>
      </c>
      <c r="I13" s="154" t="s">
        <v>860</v>
      </c>
      <c r="J13" s="154" t="s">
        <v>6</v>
      </c>
      <c r="K13" s="154"/>
      <c r="L13" s="153">
        <v>1</v>
      </c>
      <c r="M13" s="209">
        <v>8</v>
      </c>
      <c r="O13"/>
      <c r="P13" s="22" t="s">
        <v>891</v>
      </c>
      <c r="Q13">
        <v>1</v>
      </c>
      <c r="R13">
        <v>1</v>
      </c>
      <c r="S13"/>
      <c r="U13"/>
      <c r="V13"/>
      <c r="W13"/>
      <c r="Y13"/>
      <c r="Z13"/>
      <c r="AB13"/>
      <c r="AC13"/>
      <c r="AD13"/>
      <c r="AF13"/>
      <c r="AG13"/>
    </row>
    <row r="14" spans="1:33">
      <c r="A14" s="153">
        <v>13</v>
      </c>
      <c r="B14" s="153" t="s">
        <v>294</v>
      </c>
      <c r="C14" s="153">
        <v>3</v>
      </c>
      <c r="D14" s="153" t="s">
        <v>874</v>
      </c>
      <c r="E14" s="153" t="s">
        <v>1</v>
      </c>
      <c r="F14" s="153">
        <v>4</v>
      </c>
      <c r="G14" s="153" t="s">
        <v>880</v>
      </c>
      <c r="H14" s="154" t="s">
        <v>862</v>
      </c>
      <c r="I14" s="154" t="s">
        <v>863</v>
      </c>
      <c r="J14" s="154" t="s">
        <v>6</v>
      </c>
      <c r="K14" s="154"/>
      <c r="L14" s="153">
        <v>1</v>
      </c>
      <c r="M14" s="209">
        <v>8</v>
      </c>
      <c r="O14"/>
      <c r="P14" s="22" t="s">
        <v>905</v>
      </c>
      <c r="Q14">
        <v>3</v>
      </c>
      <c r="R14"/>
      <c r="S14"/>
      <c r="U14"/>
      <c r="V14"/>
      <c r="W14"/>
      <c r="Y14"/>
      <c r="Z14"/>
      <c r="AB14"/>
      <c r="AC14"/>
      <c r="AD14"/>
      <c r="AF14"/>
      <c r="AG14"/>
    </row>
    <row r="15" spans="1:33">
      <c r="A15" s="153">
        <v>14</v>
      </c>
      <c r="B15" s="153" t="s">
        <v>296</v>
      </c>
      <c r="C15" s="153">
        <v>2</v>
      </c>
      <c r="D15" s="153" t="s">
        <v>881</v>
      </c>
      <c r="E15" s="153" t="s">
        <v>5</v>
      </c>
      <c r="F15" s="153">
        <v>2</v>
      </c>
      <c r="G15" s="153" t="s">
        <v>882</v>
      </c>
      <c r="H15" s="154" t="s">
        <v>554</v>
      </c>
      <c r="I15" s="154" t="s">
        <v>883</v>
      </c>
      <c r="J15" s="154"/>
      <c r="K15" s="154"/>
      <c r="L15" s="153">
        <v>1</v>
      </c>
      <c r="M15" s="209">
        <v>8</v>
      </c>
      <c r="O15"/>
      <c r="P15" s="22" t="s">
        <v>566</v>
      </c>
      <c r="Q15">
        <v>1</v>
      </c>
      <c r="R15"/>
      <c r="S15"/>
      <c r="U15"/>
      <c r="V15"/>
      <c r="W15"/>
      <c r="Y15"/>
      <c r="Z15"/>
      <c r="AB15"/>
      <c r="AC15"/>
      <c r="AD15"/>
      <c r="AF15"/>
      <c r="AG15"/>
    </row>
    <row r="16" spans="1:33">
      <c r="A16" s="153">
        <v>15</v>
      </c>
      <c r="B16" s="153" t="s">
        <v>296</v>
      </c>
      <c r="C16" s="153">
        <v>2</v>
      </c>
      <c r="D16" s="153" t="s">
        <v>881</v>
      </c>
      <c r="E16" s="153" t="s">
        <v>5</v>
      </c>
      <c r="F16" s="153">
        <v>1</v>
      </c>
      <c r="G16" s="153" t="s">
        <v>553</v>
      </c>
      <c r="H16" s="154" t="s">
        <v>554</v>
      </c>
      <c r="I16" s="154" t="s">
        <v>883</v>
      </c>
      <c r="J16" s="154"/>
      <c r="K16" s="154"/>
      <c r="L16" s="153">
        <v>1</v>
      </c>
      <c r="M16" s="209">
        <v>8</v>
      </c>
      <c r="O16"/>
      <c r="P16" s="22" t="s">
        <v>973</v>
      </c>
      <c r="Q16">
        <v>3</v>
      </c>
      <c r="R16"/>
      <c r="S16"/>
      <c r="U16"/>
      <c r="V16"/>
      <c r="W16"/>
      <c r="Y16"/>
      <c r="Z16"/>
      <c r="AB16"/>
      <c r="AC16"/>
      <c r="AD16"/>
      <c r="AF16"/>
      <c r="AG16"/>
    </row>
    <row r="17" spans="1:51">
      <c r="A17" s="153">
        <v>16</v>
      </c>
      <c r="B17" s="153" t="s">
        <v>297</v>
      </c>
      <c r="C17" s="153">
        <v>3</v>
      </c>
      <c r="D17" s="153" t="s">
        <v>884</v>
      </c>
      <c r="E17" s="153" t="s">
        <v>1</v>
      </c>
      <c r="F17" s="153">
        <v>4</v>
      </c>
      <c r="G17" s="153" t="s">
        <v>885</v>
      </c>
      <c r="H17" s="154" t="s">
        <v>2</v>
      </c>
      <c r="I17" s="154" t="s">
        <v>479</v>
      </c>
      <c r="J17" s="154" t="s">
        <v>418</v>
      </c>
      <c r="K17" s="154"/>
      <c r="L17" s="153">
        <v>1</v>
      </c>
      <c r="M17" s="209">
        <v>8</v>
      </c>
      <c r="O17"/>
      <c r="P17" s="22" t="s">
        <v>13</v>
      </c>
      <c r="Q17">
        <v>1</v>
      </c>
      <c r="R17"/>
      <c r="S17"/>
      <c r="U17"/>
      <c r="V17"/>
      <c r="W17"/>
      <c r="Y17"/>
      <c r="Z17"/>
      <c r="AB17"/>
      <c r="AC17"/>
      <c r="AD17"/>
      <c r="AF17"/>
      <c r="AG17"/>
    </row>
    <row r="18" spans="1:51">
      <c r="A18" s="153">
        <v>17</v>
      </c>
      <c r="B18" s="153" t="s">
        <v>295</v>
      </c>
      <c r="C18" s="153">
        <v>6</v>
      </c>
      <c r="D18" s="153" t="s">
        <v>886</v>
      </c>
      <c r="E18" s="153" t="s">
        <v>1</v>
      </c>
      <c r="F18" s="153">
        <v>4</v>
      </c>
      <c r="G18" s="153" t="s">
        <v>561</v>
      </c>
      <c r="H18" s="154" t="s">
        <v>419</v>
      </c>
      <c r="I18" s="154" t="s">
        <v>887</v>
      </c>
      <c r="J18" s="154" t="s">
        <v>6</v>
      </c>
      <c r="K18" s="154"/>
      <c r="L18" s="153">
        <v>1</v>
      </c>
      <c r="M18" s="209">
        <v>8</v>
      </c>
      <c r="O18"/>
      <c r="P18" s="22" t="s">
        <v>554</v>
      </c>
      <c r="Q18">
        <v>12</v>
      </c>
      <c r="R18">
        <v>4</v>
      </c>
      <c r="S18"/>
      <c r="U18"/>
      <c r="V18"/>
      <c r="W18"/>
      <c r="Y18"/>
      <c r="Z18"/>
      <c r="AB18"/>
      <c r="AC18"/>
      <c r="AD18"/>
      <c r="AF18"/>
      <c r="AG18"/>
    </row>
    <row r="19" spans="1:51">
      <c r="A19" s="153">
        <v>18</v>
      </c>
      <c r="B19" s="153" t="s">
        <v>295</v>
      </c>
      <c r="C19" s="153">
        <v>6</v>
      </c>
      <c r="D19" s="153" t="s">
        <v>886</v>
      </c>
      <c r="E19" s="153" t="s">
        <v>1</v>
      </c>
      <c r="F19" s="153">
        <v>4</v>
      </c>
      <c r="G19" s="153" t="s">
        <v>888</v>
      </c>
      <c r="H19" s="154" t="s">
        <v>419</v>
      </c>
      <c r="I19" s="154" t="s">
        <v>889</v>
      </c>
      <c r="J19" s="154" t="s">
        <v>6</v>
      </c>
      <c r="K19" s="154"/>
      <c r="L19" s="153">
        <v>1</v>
      </c>
      <c r="M19" s="209">
        <v>8</v>
      </c>
      <c r="O19"/>
      <c r="P19" s="22" t="s">
        <v>419</v>
      </c>
      <c r="Q19">
        <v>4</v>
      </c>
      <c r="R19">
        <v>2</v>
      </c>
      <c r="S19"/>
      <c r="U19"/>
      <c r="V19"/>
      <c r="W19"/>
      <c r="Y19"/>
      <c r="Z19"/>
      <c r="AB19"/>
      <c r="AC19"/>
      <c r="AD19"/>
      <c r="AF19"/>
      <c r="AG19"/>
    </row>
    <row r="20" spans="1:51">
      <c r="A20" s="153">
        <v>19</v>
      </c>
      <c r="B20" s="153" t="s">
        <v>295</v>
      </c>
      <c r="C20" s="153">
        <v>6</v>
      </c>
      <c r="D20" s="153" t="s">
        <v>886</v>
      </c>
      <c r="E20" s="153" t="s">
        <v>1</v>
      </c>
      <c r="F20" s="153">
        <v>3</v>
      </c>
      <c r="G20" s="153" t="s">
        <v>890</v>
      </c>
      <c r="H20" s="154" t="s">
        <v>891</v>
      </c>
      <c r="I20" s="154" t="s">
        <v>889</v>
      </c>
      <c r="J20" s="154" t="s">
        <v>6</v>
      </c>
      <c r="K20" s="154"/>
      <c r="L20" s="153">
        <v>1</v>
      </c>
      <c r="M20" s="209">
        <v>8</v>
      </c>
      <c r="O20"/>
      <c r="P20" s="22" t="s">
        <v>945</v>
      </c>
      <c r="Q20">
        <v>4</v>
      </c>
      <c r="R20"/>
      <c r="S20"/>
      <c r="U20"/>
      <c r="V20"/>
      <c r="W20"/>
      <c r="Y20"/>
      <c r="Z20"/>
      <c r="AB20"/>
      <c r="AC20"/>
      <c r="AD20"/>
      <c r="AF20"/>
      <c r="AG20"/>
    </row>
    <row r="21" spans="1:51">
      <c r="A21" s="153">
        <v>20</v>
      </c>
      <c r="B21" s="184" t="s">
        <v>295</v>
      </c>
      <c r="C21" s="184">
        <v>4</v>
      </c>
      <c r="D21" s="184" t="s">
        <v>892</v>
      </c>
      <c r="E21" s="184" t="s">
        <v>1</v>
      </c>
      <c r="F21" s="184">
        <v>4</v>
      </c>
      <c r="G21" s="184" t="s">
        <v>893</v>
      </c>
      <c r="H21" t="s">
        <v>156</v>
      </c>
      <c r="I21" t="s">
        <v>545</v>
      </c>
      <c r="J21" t="s">
        <v>3</v>
      </c>
      <c r="K21" t="s">
        <v>158</v>
      </c>
      <c r="L21"/>
      <c r="M21" s="209">
        <v>8</v>
      </c>
      <c r="O21"/>
      <c r="P21" s="22" t="s">
        <v>156</v>
      </c>
      <c r="Q21">
        <v>8</v>
      </c>
      <c r="R21"/>
      <c r="S21"/>
      <c r="U21"/>
      <c r="V21"/>
      <c r="W21"/>
      <c r="Y21"/>
      <c r="Z21"/>
      <c r="AB21"/>
      <c r="AC21"/>
      <c r="AD21"/>
      <c r="AF21"/>
      <c r="AG21"/>
    </row>
    <row r="22" spans="1:51">
      <c r="A22" s="153">
        <v>21</v>
      </c>
      <c r="B22" s="184" t="s">
        <v>294</v>
      </c>
      <c r="C22" s="184">
        <v>4</v>
      </c>
      <c r="D22" s="184" t="s">
        <v>892</v>
      </c>
      <c r="E22" s="184" t="s">
        <v>1</v>
      </c>
      <c r="F22" s="184">
        <v>4</v>
      </c>
      <c r="G22" s="184" t="s">
        <v>894</v>
      </c>
      <c r="H22" t="s">
        <v>13</v>
      </c>
      <c r="I22" t="s">
        <v>416</v>
      </c>
      <c r="J22" t="s">
        <v>9</v>
      </c>
      <c r="K22" t="s">
        <v>564</v>
      </c>
      <c r="L22"/>
      <c r="M22" s="209">
        <v>8</v>
      </c>
      <c r="O22"/>
      <c r="P22" s="22" t="s">
        <v>12</v>
      </c>
      <c r="Q22">
        <v>26</v>
      </c>
      <c r="R22"/>
      <c r="S22"/>
      <c r="U22"/>
      <c r="V22"/>
      <c r="W22"/>
      <c r="Y22"/>
      <c r="Z22"/>
      <c r="AB22"/>
      <c r="AC22"/>
      <c r="AD22"/>
      <c r="AF22"/>
      <c r="AG22"/>
    </row>
    <row r="23" spans="1:51">
      <c r="A23" s="153">
        <v>22</v>
      </c>
      <c r="B23" s="184" t="s">
        <v>294</v>
      </c>
      <c r="C23" s="184">
        <v>4</v>
      </c>
      <c r="D23" s="184" t="s">
        <v>892</v>
      </c>
      <c r="E23" s="184" t="s">
        <v>1</v>
      </c>
      <c r="F23" s="184">
        <v>4</v>
      </c>
      <c r="G23" s="184" t="s">
        <v>895</v>
      </c>
      <c r="H23" t="s">
        <v>8</v>
      </c>
      <c r="I23" t="s">
        <v>896</v>
      </c>
      <c r="J23" t="s">
        <v>9</v>
      </c>
      <c r="K23" t="s">
        <v>897</v>
      </c>
      <c r="L23"/>
      <c r="M23" s="209">
        <v>8</v>
      </c>
      <c r="O23"/>
      <c r="P23" s="22" t="s">
        <v>2</v>
      </c>
      <c r="Q23">
        <v>3</v>
      </c>
      <c r="R23">
        <v>1</v>
      </c>
      <c r="S23"/>
      <c r="U23"/>
      <c r="V23"/>
      <c r="W23"/>
      <c r="Y23"/>
      <c r="Z23"/>
      <c r="AB23"/>
      <c r="AC23"/>
      <c r="AD23"/>
      <c r="AF23"/>
      <c r="AG23"/>
    </row>
    <row r="24" spans="1:51">
      <c r="A24" s="153">
        <v>23</v>
      </c>
      <c r="B24" s="184" t="s">
        <v>295</v>
      </c>
      <c r="C24" s="184">
        <v>4</v>
      </c>
      <c r="D24" s="184" t="s">
        <v>892</v>
      </c>
      <c r="E24" s="184" t="s">
        <v>1</v>
      </c>
      <c r="F24" s="184">
        <v>3</v>
      </c>
      <c r="G24" s="184" t="s">
        <v>893</v>
      </c>
      <c r="H24" t="s">
        <v>156</v>
      </c>
      <c r="I24" t="s">
        <v>545</v>
      </c>
      <c r="J24" t="s">
        <v>3</v>
      </c>
      <c r="K24" t="s">
        <v>158</v>
      </c>
      <c r="L24"/>
      <c r="M24" s="209">
        <v>8</v>
      </c>
      <c r="O24"/>
      <c r="P24" s="22" t="s">
        <v>11</v>
      </c>
      <c r="Q24">
        <v>12</v>
      </c>
      <c r="R24"/>
      <c r="S24"/>
      <c r="U24"/>
      <c r="V24"/>
      <c r="W24"/>
      <c r="Y24"/>
      <c r="Z24"/>
      <c r="AB24"/>
      <c r="AC24"/>
      <c r="AD24"/>
      <c r="AF24"/>
      <c r="AG24"/>
    </row>
    <row r="25" spans="1:51">
      <c r="A25" s="153">
        <v>24</v>
      </c>
      <c r="B25" s="184" t="s">
        <v>294</v>
      </c>
      <c r="C25" s="184">
        <v>4</v>
      </c>
      <c r="D25" s="184" t="s">
        <v>892</v>
      </c>
      <c r="E25" s="184" t="s">
        <v>1</v>
      </c>
      <c r="F25" s="184">
        <v>3</v>
      </c>
      <c r="G25" s="184" t="s">
        <v>894</v>
      </c>
      <c r="H25" t="s">
        <v>7</v>
      </c>
      <c r="I25" t="s">
        <v>416</v>
      </c>
      <c r="J25" t="s">
        <v>9</v>
      </c>
      <c r="K25" t="s">
        <v>564</v>
      </c>
      <c r="L25"/>
      <c r="M25" s="209">
        <v>8</v>
      </c>
      <c r="O25"/>
      <c r="P25" s="22" t="s">
        <v>8</v>
      </c>
      <c r="Q25">
        <v>16</v>
      </c>
      <c r="R25"/>
      <c r="S25"/>
      <c r="U25"/>
      <c r="V25"/>
      <c r="W25"/>
      <c r="Y25"/>
      <c r="Z25"/>
      <c r="AB25"/>
      <c r="AC25"/>
      <c r="AD25"/>
      <c r="AF25"/>
      <c r="AG25"/>
    </row>
    <row r="26" spans="1:51">
      <c r="A26" s="153">
        <v>25</v>
      </c>
      <c r="B26" s="184" t="s">
        <v>294</v>
      </c>
      <c r="C26" s="184">
        <v>4</v>
      </c>
      <c r="D26" s="184" t="s">
        <v>892</v>
      </c>
      <c r="E26" s="184" t="s">
        <v>1</v>
      </c>
      <c r="F26" s="184">
        <v>3</v>
      </c>
      <c r="G26" s="184" t="s">
        <v>895</v>
      </c>
      <c r="H26" t="s">
        <v>8</v>
      </c>
      <c r="I26" t="s">
        <v>896</v>
      </c>
      <c r="J26" t="s">
        <v>9</v>
      </c>
      <c r="K26" t="s">
        <v>898</v>
      </c>
      <c r="L26"/>
      <c r="M26" s="209">
        <v>8</v>
      </c>
      <c r="O26"/>
      <c r="P26" s="22" t="s">
        <v>414</v>
      </c>
      <c r="Q26">
        <v>2</v>
      </c>
      <c r="R26"/>
      <c r="S26"/>
      <c r="U26"/>
      <c r="V26"/>
      <c r="W26"/>
      <c r="Y26"/>
      <c r="Z26"/>
      <c r="AB26"/>
      <c r="AC26"/>
      <c r="AD26"/>
      <c r="AF26"/>
      <c r="AG26"/>
    </row>
    <row r="27" spans="1:51">
      <c r="A27" s="153">
        <v>26</v>
      </c>
      <c r="B27" s="184" t="s">
        <v>294</v>
      </c>
      <c r="C27" s="184">
        <v>4</v>
      </c>
      <c r="D27" s="184" t="s">
        <v>892</v>
      </c>
      <c r="E27" s="184" t="s">
        <v>1</v>
      </c>
      <c r="F27" s="184">
        <v>2</v>
      </c>
      <c r="G27" s="184" t="s">
        <v>894</v>
      </c>
      <c r="H27" t="s">
        <v>8</v>
      </c>
      <c r="I27" t="s">
        <v>416</v>
      </c>
      <c r="J27" t="s">
        <v>9</v>
      </c>
      <c r="K27" t="s">
        <v>241</v>
      </c>
      <c r="L27"/>
      <c r="M27" s="209">
        <v>8</v>
      </c>
      <c r="N27"/>
      <c r="O27"/>
      <c r="P27" s="22" t="s">
        <v>7</v>
      </c>
      <c r="Q27">
        <v>22</v>
      </c>
      <c r="R27"/>
      <c r="S27"/>
      <c r="U27"/>
      <c r="V27"/>
      <c r="W27"/>
      <c r="Y27"/>
      <c r="Z27"/>
      <c r="AB27"/>
      <c r="AC27"/>
      <c r="AD27"/>
      <c r="AF27"/>
      <c r="AG27"/>
    </row>
    <row r="28" spans="1:51">
      <c r="A28" s="153">
        <v>27</v>
      </c>
      <c r="B28" s="184" t="s">
        <v>294</v>
      </c>
      <c r="C28" s="184">
        <v>4</v>
      </c>
      <c r="D28" s="184" t="s">
        <v>892</v>
      </c>
      <c r="E28" s="184" t="s">
        <v>1</v>
      </c>
      <c r="F28" s="184">
        <v>1</v>
      </c>
      <c r="G28" s="184" t="s">
        <v>894</v>
      </c>
      <c r="H28" t="s">
        <v>8</v>
      </c>
      <c r="I28" t="s">
        <v>416</v>
      </c>
      <c r="J28" t="s">
        <v>9</v>
      </c>
      <c r="K28" t="s">
        <v>241</v>
      </c>
      <c r="L28"/>
      <c r="M28" s="209">
        <v>8</v>
      </c>
      <c r="N28"/>
      <c r="O28"/>
      <c r="P28" s="22" t="s">
        <v>940</v>
      </c>
      <c r="Q28">
        <v>2</v>
      </c>
      <c r="R28"/>
      <c r="S28"/>
      <c r="U28"/>
      <c r="V28"/>
      <c r="W28"/>
      <c r="Y28"/>
      <c r="Z28"/>
      <c r="AB28"/>
      <c r="AC28"/>
      <c r="AD28"/>
      <c r="AF28"/>
      <c r="AG28"/>
    </row>
    <row r="29" spans="1:51">
      <c r="A29" s="153">
        <v>28</v>
      </c>
      <c r="B29" s="184" t="s">
        <v>294</v>
      </c>
      <c r="C29" s="184">
        <v>4</v>
      </c>
      <c r="D29" s="184" t="s">
        <v>892</v>
      </c>
      <c r="E29" s="184" t="s">
        <v>1</v>
      </c>
      <c r="F29" s="184">
        <v>1</v>
      </c>
      <c r="G29" s="184" t="s">
        <v>895</v>
      </c>
      <c r="H29" t="s">
        <v>7</v>
      </c>
      <c r="I29" t="s">
        <v>896</v>
      </c>
      <c r="J29" t="s">
        <v>9</v>
      </c>
      <c r="K29" t="s">
        <v>899</v>
      </c>
      <c r="L29"/>
      <c r="M29" s="209">
        <v>8</v>
      </c>
      <c r="N29"/>
      <c r="O29"/>
      <c r="P29" s="22" t="s">
        <v>575</v>
      </c>
      <c r="Q29">
        <v>4</v>
      </c>
      <c r="R29"/>
      <c r="S29"/>
      <c r="T29"/>
      <c r="U29"/>
      <c r="V29"/>
      <c r="W29"/>
      <c r="X29"/>
      <c r="Y29"/>
      <c r="Z29"/>
      <c r="AA29"/>
      <c r="AB29"/>
      <c r="AC29"/>
      <c r="AD29"/>
      <c r="AE29"/>
      <c r="AF29"/>
      <c r="AG29"/>
      <c r="AH29"/>
      <c r="AI29"/>
      <c r="AJ29"/>
      <c r="AK29"/>
      <c r="AL29"/>
      <c r="AM29"/>
      <c r="AN29"/>
      <c r="AO29"/>
      <c r="AP29"/>
      <c r="AQ29"/>
      <c r="AR29"/>
      <c r="AS29"/>
      <c r="AT29"/>
      <c r="AU29"/>
      <c r="AV29"/>
      <c r="AW29"/>
      <c r="AX29"/>
      <c r="AY29"/>
    </row>
    <row r="30" spans="1:51">
      <c r="A30" s="153">
        <v>29</v>
      </c>
      <c r="B30" s="184" t="s">
        <v>296</v>
      </c>
      <c r="C30" s="184">
        <v>4</v>
      </c>
      <c r="D30" s="184" t="s">
        <v>892</v>
      </c>
      <c r="E30" s="184" t="s">
        <v>5</v>
      </c>
      <c r="F30" s="184">
        <v>4</v>
      </c>
      <c r="G30" s="184" t="s">
        <v>377</v>
      </c>
      <c r="H30" t="s">
        <v>12</v>
      </c>
      <c r="I30" t="s">
        <v>900</v>
      </c>
      <c r="J30" t="s">
        <v>6</v>
      </c>
      <c r="K30" t="s">
        <v>568</v>
      </c>
      <c r="L30"/>
      <c r="M30" s="209">
        <v>8</v>
      </c>
      <c r="N30"/>
      <c r="O30"/>
      <c r="P30" s="22" t="s">
        <v>119</v>
      </c>
      <c r="Q30">
        <v>144</v>
      </c>
      <c r="R30">
        <v>19</v>
      </c>
      <c r="S30"/>
      <c r="T30"/>
      <c r="U30"/>
      <c r="V30"/>
      <c r="W30"/>
      <c r="X30"/>
      <c r="Y30"/>
      <c r="Z30"/>
      <c r="AA30"/>
      <c r="AB30"/>
      <c r="AC30"/>
      <c r="AD30"/>
      <c r="AE30"/>
      <c r="AF30"/>
      <c r="AG30"/>
      <c r="AH30"/>
      <c r="AI30"/>
      <c r="AJ30"/>
      <c r="AK30"/>
      <c r="AL30"/>
      <c r="AM30"/>
      <c r="AN30"/>
      <c r="AO30"/>
      <c r="AP30"/>
      <c r="AQ30"/>
      <c r="AR30"/>
      <c r="AS30"/>
      <c r="AT30"/>
      <c r="AU30"/>
      <c r="AV30"/>
      <c r="AW30"/>
      <c r="AX30"/>
      <c r="AY30"/>
    </row>
    <row r="31" spans="1:51">
      <c r="A31" s="153">
        <v>30</v>
      </c>
      <c r="B31" s="184" t="s">
        <v>296</v>
      </c>
      <c r="C31" s="184">
        <v>4</v>
      </c>
      <c r="D31" s="184" t="s">
        <v>892</v>
      </c>
      <c r="E31" s="184" t="s">
        <v>5</v>
      </c>
      <c r="F31" s="184">
        <v>3</v>
      </c>
      <c r="G31" s="184" t="s">
        <v>377</v>
      </c>
      <c r="H31" t="s">
        <v>12</v>
      </c>
      <c r="I31" t="s">
        <v>900</v>
      </c>
      <c r="J31" t="s">
        <v>6</v>
      </c>
      <c r="K31" t="s">
        <v>568</v>
      </c>
      <c r="L31"/>
      <c r="M31" s="209">
        <v>8</v>
      </c>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row>
    <row r="32" spans="1:51">
      <c r="A32" s="153">
        <v>31</v>
      </c>
      <c r="B32" s="184" t="s">
        <v>296</v>
      </c>
      <c r="C32" s="184">
        <v>4</v>
      </c>
      <c r="D32" s="184" t="s">
        <v>892</v>
      </c>
      <c r="E32" s="184" t="s">
        <v>5</v>
      </c>
      <c r="F32" s="184">
        <v>2</v>
      </c>
      <c r="G32" s="184" t="s">
        <v>901</v>
      </c>
      <c r="H32" t="s">
        <v>12</v>
      </c>
      <c r="I32" t="s">
        <v>900</v>
      </c>
      <c r="J32" t="s">
        <v>6</v>
      </c>
      <c r="K32" t="s">
        <v>568</v>
      </c>
      <c r="L32"/>
      <c r="M32" s="209">
        <v>8</v>
      </c>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row>
    <row r="33" spans="1:51">
      <c r="A33" s="153">
        <v>32</v>
      </c>
      <c r="B33" s="184" t="s">
        <v>296</v>
      </c>
      <c r="C33" s="184">
        <v>4</v>
      </c>
      <c r="D33" s="184" t="s">
        <v>892</v>
      </c>
      <c r="E33" s="184" t="s">
        <v>5</v>
      </c>
      <c r="F33" s="184">
        <v>1</v>
      </c>
      <c r="G33" s="184" t="s">
        <v>901</v>
      </c>
      <c r="H33" t="s">
        <v>12</v>
      </c>
      <c r="I33" t="s">
        <v>900</v>
      </c>
      <c r="J33" t="s">
        <v>6</v>
      </c>
      <c r="K33" t="s">
        <v>568</v>
      </c>
      <c r="L33"/>
      <c r="M33" s="209">
        <v>8</v>
      </c>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row>
    <row r="34" spans="1:51">
      <c r="A34" s="153">
        <v>33</v>
      </c>
      <c r="B34" s="184" t="s">
        <v>294</v>
      </c>
      <c r="C34" s="184">
        <v>3</v>
      </c>
      <c r="D34" s="184" t="s">
        <v>902</v>
      </c>
      <c r="E34" s="184" t="s">
        <v>1</v>
      </c>
      <c r="F34" s="184">
        <v>4</v>
      </c>
      <c r="G34" s="184" t="s">
        <v>587</v>
      </c>
      <c r="H34" t="s">
        <v>566</v>
      </c>
      <c r="I34" t="s">
        <v>898</v>
      </c>
      <c r="J34" t="s">
        <v>9</v>
      </c>
      <c r="K34" t="s">
        <v>903</v>
      </c>
      <c r="L34"/>
      <c r="M34" s="209">
        <v>8</v>
      </c>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row>
    <row r="35" spans="1:51">
      <c r="A35" s="153">
        <v>34</v>
      </c>
      <c r="B35" s="184" t="s">
        <v>294</v>
      </c>
      <c r="C35" s="184">
        <v>3</v>
      </c>
      <c r="D35" s="184" t="s">
        <v>902</v>
      </c>
      <c r="E35" s="184" t="s">
        <v>1</v>
      </c>
      <c r="F35" s="184">
        <v>3</v>
      </c>
      <c r="G35" s="184" t="s">
        <v>587</v>
      </c>
      <c r="H35" t="s">
        <v>10</v>
      </c>
      <c r="I35" t="s">
        <v>898</v>
      </c>
      <c r="J35" t="s">
        <v>9</v>
      </c>
      <c r="K35" t="s">
        <v>904</v>
      </c>
      <c r="L35"/>
      <c r="M35" s="209">
        <v>8</v>
      </c>
      <c r="N35"/>
      <c r="O35"/>
      <c r="P35"/>
      <c r="R35"/>
      <c r="S35"/>
      <c r="U35"/>
      <c r="V35"/>
      <c r="W35"/>
      <c r="Y35"/>
      <c r="Z35"/>
      <c r="AB35"/>
      <c r="AC35"/>
      <c r="AD35"/>
      <c r="AF35"/>
      <c r="AG35"/>
    </row>
    <row r="36" spans="1:51">
      <c r="A36" s="153">
        <v>35</v>
      </c>
      <c r="B36" s="184" t="s">
        <v>294</v>
      </c>
      <c r="C36" s="184">
        <v>3</v>
      </c>
      <c r="D36" s="184" t="s">
        <v>902</v>
      </c>
      <c r="E36" s="184" t="s">
        <v>1</v>
      </c>
      <c r="F36" s="184">
        <v>2</v>
      </c>
      <c r="G36" s="184" t="s">
        <v>587</v>
      </c>
      <c r="H36" t="s">
        <v>7</v>
      </c>
      <c r="I36" t="s">
        <v>898</v>
      </c>
      <c r="J36" t="s">
        <v>9</v>
      </c>
      <c r="K36" t="s">
        <v>904</v>
      </c>
      <c r="L36"/>
      <c r="M36" s="209">
        <v>8</v>
      </c>
      <c r="N36"/>
      <c r="O36"/>
      <c r="P36"/>
      <c r="R36"/>
      <c r="S36"/>
      <c r="U36"/>
      <c r="V36"/>
      <c r="W36"/>
      <c r="Y36"/>
      <c r="Z36"/>
      <c r="AB36"/>
      <c r="AC36"/>
      <c r="AD36"/>
      <c r="AF36"/>
      <c r="AG36"/>
    </row>
    <row r="37" spans="1:51">
      <c r="A37" s="153">
        <v>36</v>
      </c>
      <c r="B37" s="184" t="s">
        <v>294</v>
      </c>
      <c r="C37" s="184">
        <v>3</v>
      </c>
      <c r="D37" s="184" t="s">
        <v>902</v>
      </c>
      <c r="E37" s="184" t="s">
        <v>1</v>
      </c>
      <c r="F37" s="184">
        <v>1</v>
      </c>
      <c r="G37" s="184" t="s">
        <v>587</v>
      </c>
      <c r="H37" t="s">
        <v>905</v>
      </c>
      <c r="I37" t="s">
        <v>898</v>
      </c>
      <c r="J37" t="s">
        <v>9</v>
      </c>
      <c r="K37" t="s">
        <v>906</v>
      </c>
      <c r="L37"/>
      <c r="M37" s="209">
        <v>8</v>
      </c>
      <c r="N37"/>
      <c r="R37"/>
      <c r="S37"/>
      <c r="Y37"/>
      <c r="Z37"/>
      <c r="AF37"/>
      <c r="AG37"/>
    </row>
    <row r="38" spans="1:51">
      <c r="A38" s="153">
        <v>37</v>
      </c>
      <c r="B38" s="184" t="s">
        <v>296</v>
      </c>
      <c r="C38" s="184">
        <v>3</v>
      </c>
      <c r="D38" s="184" t="s">
        <v>902</v>
      </c>
      <c r="E38" s="184" t="s">
        <v>5</v>
      </c>
      <c r="F38" s="184">
        <v>4</v>
      </c>
      <c r="G38" s="184" t="s">
        <v>882</v>
      </c>
      <c r="H38" t="s">
        <v>12</v>
      </c>
      <c r="I38" t="s">
        <v>900</v>
      </c>
      <c r="J38" t="s">
        <v>6</v>
      </c>
      <c r="K38" t="s">
        <v>907</v>
      </c>
      <c r="L38"/>
      <c r="M38" s="209">
        <v>8</v>
      </c>
      <c r="N38"/>
      <c r="R38"/>
      <c r="S38"/>
      <c r="Y38"/>
      <c r="Z38"/>
      <c r="AF38"/>
      <c r="AG38"/>
    </row>
    <row r="39" spans="1:51">
      <c r="A39" s="153">
        <v>38</v>
      </c>
      <c r="B39" s="184" t="s">
        <v>296</v>
      </c>
      <c r="C39" s="184">
        <v>3</v>
      </c>
      <c r="D39" s="184" t="s">
        <v>902</v>
      </c>
      <c r="E39" s="184" t="s">
        <v>5</v>
      </c>
      <c r="F39" s="184">
        <v>3</v>
      </c>
      <c r="G39" s="184" t="s">
        <v>882</v>
      </c>
      <c r="H39" t="s">
        <v>12</v>
      </c>
      <c r="I39" t="s">
        <v>900</v>
      </c>
      <c r="J39" t="s">
        <v>6</v>
      </c>
      <c r="K39" t="s">
        <v>907</v>
      </c>
      <c r="L39"/>
      <c r="M39" s="209">
        <v>8</v>
      </c>
      <c r="N39"/>
      <c r="R39"/>
      <c r="S39"/>
      <c r="Y39"/>
      <c r="Z39"/>
      <c r="AF39"/>
      <c r="AG39"/>
    </row>
    <row r="40" spans="1:51">
      <c r="A40" s="153">
        <v>39</v>
      </c>
      <c r="B40" s="184" t="s">
        <v>294</v>
      </c>
      <c r="C40" s="184">
        <v>3</v>
      </c>
      <c r="D40" s="184" t="s">
        <v>902</v>
      </c>
      <c r="E40" s="184" t="s">
        <v>5</v>
      </c>
      <c r="F40" s="184">
        <v>3</v>
      </c>
      <c r="G40" s="184" t="s">
        <v>587</v>
      </c>
      <c r="H40" t="s">
        <v>8</v>
      </c>
      <c r="I40" t="s">
        <v>898</v>
      </c>
      <c r="J40" t="s">
        <v>9</v>
      </c>
      <c r="K40" t="s">
        <v>904</v>
      </c>
      <c r="L40"/>
      <c r="M40" s="209">
        <v>8</v>
      </c>
      <c r="N40"/>
      <c r="R40"/>
      <c r="S40"/>
      <c r="Y40"/>
      <c r="Z40"/>
      <c r="AF40"/>
      <c r="AG40"/>
    </row>
    <row r="41" spans="1:51">
      <c r="A41" s="153">
        <v>40</v>
      </c>
      <c r="B41" s="184" t="s">
        <v>296</v>
      </c>
      <c r="C41" s="184">
        <v>3</v>
      </c>
      <c r="D41" s="184" t="s">
        <v>902</v>
      </c>
      <c r="E41" s="184" t="s">
        <v>5</v>
      </c>
      <c r="F41" s="184">
        <v>2</v>
      </c>
      <c r="G41" s="184" t="s">
        <v>557</v>
      </c>
      <c r="H41" t="s">
        <v>12</v>
      </c>
      <c r="I41" t="s">
        <v>900</v>
      </c>
      <c r="J41" t="s">
        <v>6</v>
      </c>
      <c r="K41" t="s">
        <v>907</v>
      </c>
      <c r="L41"/>
      <c r="M41" s="209">
        <v>8</v>
      </c>
      <c r="N41"/>
      <c r="R41"/>
      <c r="S41"/>
      <c r="Y41"/>
      <c r="Z41"/>
      <c r="AF41"/>
      <c r="AG41"/>
    </row>
    <row r="42" spans="1:51">
      <c r="A42" s="153">
        <v>41</v>
      </c>
      <c r="B42" s="184" t="s">
        <v>294</v>
      </c>
      <c r="C42" s="184">
        <v>3</v>
      </c>
      <c r="D42" s="184" t="s">
        <v>902</v>
      </c>
      <c r="E42" s="184" t="s">
        <v>5</v>
      </c>
      <c r="F42" s="184">
        <v>2</v>
      </c>
      <c r="G42" s="184" t="s">
        <v>908</v>
      </c>
      <c r="H42" t="s">
        <v>8</v>
      </c>
      <c r="I42" t="s">
        <v>909</v>
      </c>
      <c r="J42" t="s">
        <v>9</v>
      </c>
      <c r="K42" t="s">
        <v>910</v>
      </c>
      <c r="L42"/>
      <c r="M42" s="209">
        <v>8</v>
      </c>
      <c r="N42"/>
      <c r="R42"/>
      <c r="S42"/>
      <c r="Y42"/>
      <c r="Z42"/>
      <c r="AF42"/>
      <c r="AG42"/>
    </row>
    <row r="43" spans="1:51">
      <c r="A43" s="153">
        <v>42</v>
      </c>
      <c r="B43" s="184" t="s">
        <v>296</v>
      </c>
      <c r="C43" s="184">
        <v>3</v>
      </c>
      <c r="D43" s="184" t="s">
        <v>902</v>
      </c>
      <c r="E43" s="184" t="s">
        <v>5</v>
      </c>
      <c r="F43" s="184">
        <v>1</v>
      </c>
      <c r="G43" s="184" t="s">
        <v>557</v>
      </c>
      <c r="H43" t="s">
        <v>12</v>
      </c>
      <c r="I43" t="s">
        <v>900</v>
      </c>
      <c r="J43" t="s">
        <v>6</v>
      </c>
      <c r="K43" t="s">
        <v>907</v>
      </c>
      <c r="L43"/>
      <c r="M43" s="209">
        <v>8</v>
      </c>
      <c r="N43"/>
      <c r="R43"/>
      <c r="S43"/>
      <c r="Y43"/>
      <c r="Z43"/>
      <c r="AF43"/>
      <c r="AG43"/>
    </row>
    <row r="44" spans="1:51">
      <c r="A44" s="153">
        <v>43</v>
      </c>
      <c r="B44" s="184" t="s">
        <v>294</v>
      </c>
      <c r="C44" s="184">
        <v>3</v>
      </c>
      <c r="D44" s="184" t="s">
        <v>902</v>
      </c>
      <c r="E44" s="184" t="s">
        <v>5</v>
      </c>
      <c r="F44" s="184">
        <v>1</v>
      </c>
      <c r="G44" s="184" t="s">
        <v>908</v>
      </c>
      <c r="H44" t="s">
        <v>8</v>
      </c>
      <c r="I44" t="s">
        <v>909</v>
      </c>
      <c r="J44" t="s">
        <v>9</v>
      </c>
      <c r="K44" t="s">
        <v>911</v>
      </c>
      <c r="L44"/>
      <c r="M44" s="209">
        <v>8</v>
      </c>
      <c r="N44"/>
      <c r="P44" s="21" t="s">
        <v>120</v>
      </c>
      <c r="Q44" t="s">
        <v>1021</v>
      </c>
      <c r="R44" t="s">
        <v>1020</v>
      </c>
      <c r="S44"/>
      <c r="Y44"/>
      <c r="Z44"/>
      <c r="AF44"/>
      <c r="AG44"/>
    </row>
    <row r="45" spans="1:51">
      <c r="A45" s="153">
        <v>44</v>
      </c>
      <c r="B45" s="184" t="s">
        <v>296</v>
      </c>
      <c r="C45" s="184">
        <v>2</v>
      </c>
      <c r="D45" s="184" t="s">
        <v>857</v>
      </c>
      <c r="E45" s="184" t="s">
        <v>1</v>
      </c>
      <c r="F45" s="184">
        <v>4</v>
      </c>
      <c r="G45" s="184" t="s">
        <v>901</v>
      </c>
      <c r="H45" t="s">
        <v>12</v>
      </c>
      <c r="I45" t="s">
        <v>900</v>
      </c>
      <c r="J45" t="s">
        <v>6</v>
      </c>
      <c r="K45" t="s">
        <v>319</v>
      </c>
      <c r="L45"/>
      <c r="M45" s="209">
        <v>8</v>
      </c>
      <c r="N45"/>
      <c r="P45" s="22" t="s">
        <v>158</v>
      </c>
      <c r="Q45">
        <v>2</v>
      </c>
      <c r="R45"/>
      <c r="S45"/>
      <c r="Y45"/>
      <c r="Z45"/>
      <c r="AF45"/>
      <c r="AG45"/>
    </row>
    <row r="46" spans="1:51">
      <c r="A46" s="153">
        <v>45</v>
      </c>
      <c r="B46" s="184" t="s">
        <v>296</v>
      </c>
      <c r="C46" s="184">
        <v>2</v>
      </c>
      <c r="D46" s="184" t="s">
        <v>857</v>
      </c>
      <c r="E46" s="184" t="s">
        <v>1</v>
      </c>
      <c r="F46" s="184">
        <v>3</v>
      </c>
      <c r="G46" s="184" t="s">
        <v>901</v>
      </c>
      <c r="H46" t="s">
        <v>12</v>
      </c>
      <c r="I46" t="s">
        <v>900</v>
      </c>
      <c r="J46" t="s">
        <v>6</v>
      </c>
      <c r="K46" t="s">
        <v>319</v>
      </c>
      <c r="L46"/>
      <c r="M46" s="209">
        <v>8</v>
      </c>
      <c r="N46"/>
      <c r="P46" s="22" t="s">
        <v>900</v>
      </c>
      <c r="Q46">
        <v>14</v>
      </c>
      <c r="R46"/>
      <c r="S46"/>
      <c r="Y46"/>
      <c r="Z46"/>
      <c r="AF46"/>
      <c r="AG46"/>
    </row>
    <row r="47" spans="1:51">
      <c r="A47" s="153">
        <v>46</v>
      </c>
      <c r="B47" s="184" t="s">
        <v>296</v>
      </c>
      <c r="C47" s="184">
        <v>2</v>
      </c>
      <c r="D47" s="184" t="s">
        <v>857</v>
      </c>
      <c r="E47" s="184" t="s">
        <v>5</v>
      </c>
      <c r="F47" s="184">
        <v>4</v>
      </c>
      <c r="G47" s="184" t="s">
        <v>377</v>
      </c>
      <c r="H47" t="s">
        <v>12</v>
      </c>
      <c r="I47" t="s">
        <v>900</v>
      </c>
      <c r="J47" t="s">
        <v>6</v>
      </c>
      <c r="K47" t="s">
        <v>912</v>
      </c>
      <c r="L47"/>
      <c r="M47" s="209">
        <v>8</v>
      </c>
      <c r="N47"/>
      <c r="P47" s="22" t="s">
        <v>920</v>
      </c>
      <c r="Q47">
        <v>6</v>
      </c>
      <c r="R47"/>
      <c r="S47"/>
      <c r="Y47"/>
      <c r="Z47"/>
      <c r="AF47"/>
      <c r="AG47"/>
    </row>
    <row r="48" spans="1:51">
      <c r="A48" s="153">
        <v>47</v>
      </c>
      <c r="B48" s="184" t="s">
        <v>296</v>
      </c>
      <c r="C48" s="184">
        <v>2</v>
      </c>
      <c r="D48" s="184" t="s">
        <v>857</v>
      </c>
      <c r="E48" s="184" t="s">
        <v>5</v>
      </c>
      <c r="F48" s="184">
        <v>4</v>
      </c>
      <c r="G48" s="184" t="s">
        <v>913</v>
      </c>
      <c r="H48" t="s">
        <v>156</v>
      </c>
      <c r="I48" t="s">
        <v>914</v>
      </c>
      <c r="J48" t="s">
        <v>3</v>
      </c>
      <c r="K48" t="s">
        <v>915</v>
      </c>
      <c r="L48"/>
      <c r="M48" s="209">
        <v>8</v>
      </c>
      <c r="N48"/>
      <c r="P48" s="22" t="s">
        <v>548</v>
      </c>
      <c r="Q48">
        <v>3</v>
      </c>
      <c r="R48"/>
      <c r="S48"/>
      <c r="Y48"/>
      <c r="Z48"/>
      <c r="AF48"/>
      <c r="AG48"/>
    </row>
    <row r="49" spans="1:33">
      <c r="A49" s="153">
        <v>48</v>
      </c>
      <c r="B49" s="184" t="s">
        <v>296</v>
      </c>
      <c r="C49" s="184">
        <v>2</v>
      </c>
      <c r="D49" s="184" t="s">
        <v>857</v>
      </c>
      <c r="E49" s="184" t="s">
        <v>5</v>
      </c>
      <c r="F49" s="184">
        <v>3</v>
      </c>
      <c r="G49" s="184" t="s">
        <v>377</v>
      </c>
      <c r="H49" t="s">
        <v>12</v>
      </c>
      <c r="I49" t="s">
        <v>900</v>
      </c>
      <c r="J49" t="s">
        <v>6</v>
      </c>
      <c r="K49" t="s">
        <v>912</v>
      </c>
      <c r="L49"/>
      <c r="M49" s="209">
        <v>8</v>
      </c>
      <c r="N49"/>
      <c r="P49" s="22" t="s">
        <v>640</v>
      </c>
      <c r="Q49">
        <v>1</v>
      </c>
      <c r="R49"/>
      <c r="S49"/>
      <c r="Y49"/>
      <c r="Z49"/>
      <c r="AF49"/>
      <c r="AG49"/>
    </row>
    <row r="50" spans="1:33">
      <c r="A50" s="153">
        <v>49</v>
      </c>
      <c r="B50" s="184" t="s">
        <v>296</v>
      </c>
      <c r="C50" s="184">
        <v>2</v>
      </c>
      <c r="D50" s="184" t="s">
        <v>857</v>
      </c>
      <c r="E50" s="184" t="s">
        <v>5</v>
      </c>
      <c r="F50" s="184">
        <v>3</v>
      </c>
      <c r="G50" s="184" t="s">
        <v>913</v>
      </c>
      <c r="H50" t="s">
        <v>156</v>
      </c>
      <c r="I50" t="s">
        <v>914</v>
      </c>
      <c r="J50" t="s">
        <v>3</v>
      </c>
      <c r="K50" t="s">
        <v>915</v>
      </c>
      <c r="L50"/>
      <c r="M50" s="209">
        <v>8</v>
      </c>
      <c r="N50"/>
      <c r="P50" s="22" t="s">
        <v>865</v>
      </c>
      <c r="Q50">
        <v>3</v>
      </c>
      <c r="R50">
        <v>3</v>
      </c>
      <c r="S50"/>
      <c r="Y50"/>
      <c r="Z50"/>
      <c r="AF50"/>
      <c r="AG50"/>
    </row>
    <row r="51" spans="1:33">
      <c r="A51" s="153">
        <v>50</v>
      </c>
      <c r="B51" s="184" t="s">
        <v>295</v>
      </c>
      <c r="C51" s="184">
        <v>2</v>
      </c>
      <c r="D51" s="184" t="s">
        <v>857</v>
      </c>
      <c r="E51" s="184" t="s">
        <v>5</v>
      </c>
      <c r="F51" s="184">
        <v>2</v>
      </c>
      <c r="G51" s="184" t="s">
        <v>916</v>
      </c>
      <c r="H51" t="s">
        <v>156</v>
      </c>
      <c r="I51" t="s">
        <v>914</v>
      </c>
      <c r="J51" t="s">
        <v>3</v>
      </c>
      <c r="K51" t="s">
        <v>376</v>
      </c>
      <c r="L51"/>
      <c r="M51" s="209">
        <v>8</v>
      </c>
      <c r="N51"/>
      <c r="P51" s="22" t="s">
        <v>887</v>
      </c>
      <c r="Q51">
        <v>4</v>
      </c>
      <c r="R51">
        <v>1</v>
      </c>
      <c r="S51"/>
      <c r="Y51"/>
      <c r="Z51"/>
      <c r="AF51"/>
      <c r="AG51"/>
    </row>
    <row r="52" spans="1:33">
      <c r="A52" s="153">
        <v>51</v>
      </c>
      <c r="B52" s="184" t="s">
        <v>296</v>
      </c>
      <c r="C52" s="184">
        <v>2</v>
      </c>
      <c r="D52" s="184" t="s">
        <v>857</v>
      </c>
      <c r="E52" s="184" t="s">
        <v>5</v>
      </c>
      <c r="F52" s="184">
        <v>2</v>
      </c>
      <c r="G52" s="184" t="s">
        <v>917</v>
      </c>
      <c r="H52" t="s">
        <v>12</v>
      </c>
      <c r="I52" t="s">
        <v>900</v>
      </c>
      <c r="J52" t="s">
        <v>6</v>
      </c>
      <c r="K52" t="s">
        <v>918</v>
      </c>
      <c r="L52"/>
      <c r="M52" s="209">
        <v>8</v>
      </c>
      <c r="N52"/>
      <c r="P52" s="22" t="s">
        <v>318</v>
      </c>
      <c r="Q52">
        <v>1</v>
      </c>
      <c r="R52"/>
      <c r="S52"/>
      <c r="Y52"/>
      <c r="Z52"/>
      <c r="AF52"/>
      <c r="AG52"/>
    </row>
    <row r="53" spans="1:33">
      <c r="A53" s="153">
        <v>52</v>
      </c>
      <c r="B53" s="184" t="s">
        <v>295</v>
      </c>
      <c r="C53" s="184">
        <v>2</v>
      </c>
      <c r="D53" s="184" t="s">
        <v>857</v>
      </c>
      <c r="E53" s="184" t="s">
        <v>5</v>
      </c>
      <c r="F53" s="184">
        <v>1</v>
      </c>
      <c r="G53" s="184" t="s">
        <v>916</v>
      </c>
      <c r="H53" t="s">
        <v>156</v>
      </c>
      <c r="I53" t="s">
        <v>914</v>
      </c>
      <c r="J53" t="s">
        <v>3</v>
      </c>
      <c r="K53" t="s">
        <v>376</v>
      </c>
      <c r="L53"/>
      <c r="M53" s="209">
        <v>8</v>
      </c>
      <c r="N53"/>
      <c r="P53" s="22" t="s">
        <v>889</v>
      </c>
      <c r="Q53">
        <v>3</v>
      </c>
      <c r="R53">
        <v>2</v>
      </c>
      <c r="S53"/>
      <c r="Y53"/>
      <c r="Z53"/>
      <c r="AF53"/>
      <c r="AG53"/>
    </row>
    <row r="54" spans="1:33">
      <c r="A54" s="153">
        <v>53</v>
      </c>
      <c r="B54" s="184" t="s">
        <v>296</v>
      </c>
      <c r="C54" s="184">
        <v>2</v>
      </c>
      <c r="D54" s="184" t="s">
        <v>857</v>
      </c>
      <c r="E54" s="184" t="s">
        <v>5</v>
      </c>
      <c r="F54" s="184">
        <v>1</v>
      </c>
      <c r="G54" s="184" t="s">
        <v>917</v>
      </c>
      <c r="H54" t="s">
        <v>12</v>
      </c>
      <c r="I54" t="s">
        <v>900</v>
      </c>
      <c r="J54" t="s">
        <v>6</v>
      </c>
      <c r="K54" t="s">
        <v>918</v>
      </c>
      <c r="L54"/>
      <c r="M54" s="209">
        <v>8</v>
      </c>
      <c r="N54"/>
      <c r="P54" s="22" t="s">
        <v>567</v>
      </c>
      <c r="Q54">
        <v>10</v>
      </c>
      <c r="R54"/>
      <c r="S54"/>
      <c r="Y54"/>
      <c r="Z54"/>
      <c r="AF54"/>
      <c r="AG54"/>
    </row>
    <row r="55" spans="1:33">
      <c r="A55" s="153">
        <v>54</v>
      </c>
      <c r="B55" s="184" t="s">
        <v>296</v>
      </c>
      <c r="C55" s="184">
        <v>2</v>
      </c>
      <c r="D55" s="184" t="s">
        <v>857</v>
      </c>
      <c r="E55" s="184" t="s">
        <v>5</v>
      </c>
      <c r="F55" s="184">
        <v>1</v>
      </c>
      <c r="G55" s="184" t="s">
        <v>919</v>
      </c>
      <c r="H55" t="s">
        <v>7</v>
      </c>
      <c r="I55" t="s">
        <v>920</v>
      </c>
      <c r="J55" t="s">
        <v>6</v>
      </c>
      <c r="K55" t="s">
        <v>921</v>
      </c>
      <c r="L55"/>
      <c r="M55" s="209">
        <v>8</v>
      </c>
      <c r="N55"/>
      <c r="P55" s="22" t="s">
        <v>416</v>
      </c>
      <c r="Q55">
        <v>4</v>
      </c>
      <c r="R55"/>
      <c r="S55"/>
      <c r="Y55"/>
      <c r="Z55"/>
      <c r="AF55"/>
      <c r="AG55"/>
    </row>
    <row r="56" spans="1:33">
      <c r="A56" s="153">
        <v>55</v>
      </c>
      <c r="B56" s="184" t="s">
        <v>296</v>
      </c>
      <c r="C56" s="184">
        <v>6</v>
      </c>
      <c r="D56" s="184" t="s">
        <v>866</v>
      </c>
      <c r="E56" s="184" t="s">
        <v>1</v>
      </c>
      <c r="F56" s="184">
        <v>4</v>
      </c>
      <c r="G56" s="184" t="s">
        <v>377</v>
      </c>
      <c r="H56" t="s">
        <v>419</v>
      </c>
      <c r="I56" t="s">
        <v>868</v>
      </c>
      <c r="J56" t="s">
        <v>6</v>
      </c>
      <c r="K56" t="s">
        <v>922</v>
      </c>
      <c r="L56"/>
      <c r="M56" s="209">
        <v>8</v>
      </c>
      <c r="N56"/>
      <c r="P56" s="22" t="s">
        <v>545</v>
      </c>
      <c r="Q56">
        <v>2</v>
      </c>
      <c r="R56"/>
      <c r="S56"/>
      <c r="Y56"/>
      <c r="Z56"/>
      <c r="AF56"/>
      <c r="AG56"/>
    </row>
    <row r="57" spans="1:33">
      <c r="A57" s="153">
        <v>56</v>
      </c>
      <c r="B57" s="184" t="s">
        <v>296</v>
      </c>
      <c r="C57" s="184">
        <v>6</v>
      </c>
      <c r="D57" s="184" t="s">
        <v>866</v>
      </c>
      <c r="E57" s="184" t="s">
        <v>1</v>
      </c>
      <c r="F57" s="184">
        <v>2</v>
      </c>
      <c r="G57" s="184" t="s">
        <v>544</v>
      </c>
      <c r="H57" t="s">
        <v>554</v>
      </c>
      <c r="I57" t="s">
        <v>868</v>
      </c>
      <c r="J57" t="s">
        <v>6</v>
      </c>
      <c r="K57" t="s">
        <v>923</v>
      </c>
      <c r="L57"/>
      <c r="M57" s="209">
        <v>8</v>
      </c>
      <c r="N57"/>
      <c r="P57" s="22" t="s">
        <v>909</v>
      </c>
      <c r="Q57">
        <v>6</v>
      </c>
      <c r="R57"/>
      <c r="S57"/>
      <c r="Y57"/>
      <c r="Z57"/>
      <c r="AF57"/>
      <c r="AG57"/>
    </row>
    <row r="58" spans="1:33">
      <c r="A58" s="153">
        <v>57</v>
      </c>
      <c r="B58" s="184" t="s">
        <v>296</v>
      </c>
      <c r="C58" s="184">
        <v>6</v>
      </c>
      <c r="D58" s="184" t="s">
        <v>866</v>
      </c>
      <c r="E58" s="184" t="s">
        <v>1</v>
      </c>
      <c r="F58" s="184">
        <v>1</v>
      </c>
      <c r="G58" s="184" t="s">
        <v>544</v>
      </c>
      <c r="H58" t="s">
        <v>554</v>
      </c>
      <c r="I58" t="s">
        <v>868</v>
      </c>
      <c r="J58" t="s">
        <v>6</v>
      </c>
      <c r="K58" t="s">
        <v>923</v>
      </c>
      <c r="L58"/>
      <c r="M58" s="209">
        <v>8</v>
      </c>
      <c r="N58"/>
      <c r="P58" s="22" t="s">
        <v>942</v>
      </c>
      <c r="Q58">
        <v>5</v>
      </c>
      <c r="R58"/>
      <c r="S58"/>
      <c r="Y58"/>
      <c r="Z58"/>
      <c r="AF58"/>
      <c r="AG58"/>
    </row>
    <row r="59" spans="1:33">
      <c r="A59" s="153">
        <v>58</v>
      </c>
      <c r="B59" s="184" t="s">
        <v>296</v>
      </c>
      <c r="C59" s="184">
        <v>5</v>
      </c>
      <c r="D59" s="184" t="s">
        <v>869</v>
      </c>
      <c r="E59" s="184" t="s">
        <v>1</v>
      </c>
      <c r="F59" s="184">
        <v>1</v>
      </c>
      <c r="G59" s="184" t="s">
        <v>377</v>
      </c>
      <c r="H59" t="s">
        <v>554</v>
      </c>
      <c r="I59" t="s">
        <v>868</v>
      </c>
      <c r="J59" t="s">
        <v>6</v>
      </c>
      <c r="K59" t="s">
        <v>924</v>
      </c>
      <c r="L59"/>
      <c r="M59" s="209">
        <v>8</v>
      </c>
      <c r="N59"/>
      <c r="P59" s="22" t="s">
        <v>573</v>
      </c>
      <c r="Q59">
        <v>2</v>
      </c>
      <c r="R59"/>
      <c r="S59"/>
      <c r="Y59"/>
      <c r="Z59"/>
      <c r="AF59"/>
      <c r="AG59"/>
    </row>
    <row r="60" spans="1:33">
      <c r="A60" s="153">
        <v>59</v>
      </c>
      <c r="B60" s="184" t="s">
        <v>296</v>
      </c>
      <c r="C60" s="184">
        <v>5</v>
      </c>
      <c r="D60" s="184" t="s">
        <v>869</v>
      </c>
      <c r="E60" s="184" t="s">
        <v>5</v>
      </c>
      <c r="F60" s="184">
        <v>4</v>
      </c>
      <c r="G60" s="184" t="s">
        <v>544</v>
      </c>
      <c r="H60" t="s">
        <v>554</v>
      </c>
      <c r="I60" t="s">
        <v>868</v>
      </c>
      <c r="J60" t="s">
        <v>6</v>
      </c>
      <c r="K60" t="s">
        <v>924</v>
      </c>
      <c r="L60"/>
      <c r="M60" s="209">
        <v>8</v>
      </c>
      <c r="N60"/>
      <c r="P60" s="22" t="s">
        <v>420</v>
      </c>
      <c r="Q60">
        <v>2</v>
      </c>
      <c r="R60"/>
      <c r="S60"/>
      <c r="Y60"/>
      <c r="Z60"/>
      <c r="AF60"/>
      <c r="AG60"/>
    </row>
    <row r="61" spans="1:33">
      <c r="A61" s="153">
        <v>60</v>
      </c>
      <c r="B61" s="184" t="s">
        <v>296</v>
      </c>
      <c r="C61" s="184">
        <v>5</v>
      </c>
      <c r="D61" s="184" t="s">
        <v>869</v>
      </c>
      <c r="E61" s="184" t="s">
        <v>5</v>
      </c>
      <c r="F61" s="184">
        <v>3</v>
      </c>
      <c r="G61" s="184" t="s">
        <v>557</v>
      </c>
      <c r="H61" t="s">
        <v>554</v>
      </c>
      <c r="I61" t="s">
        <v>868</v>
      </c>
      <c r="J61" t="s">
        <v>6</v>
      </c>
      <c r="K61" t="s">
        <v>925</v>
      </c>
      <c r="L61"/>
      <c r="M61" s="209">
        <v>8</v>
      </c>
      <c r="N61"/>
      <c r="P61" s="22" t="s">
        <v>559</v>
      </c>
      <c r="Q61">
        <v>2</v>
      </c>
      <c r="R61"/>
      <c r="S61"/>
      <c r="Y61"/>
      <c r="Z61"/>
      <c r="AF61"/>
      <c r="AG61"/>
    </row>
    <row r="62" spans="1:33">
      <c r="A62" s="153">
        <v>61</v>
      </c>
      <c r="B62" s="184" t="s">
        <v>296</v>
      </c>
      <c r="C62" s="184">
        <v>5</v>
      </c>
      <c r="D62" s="184" t="s">
        <v>869</v>
      </c>
      <c r="E62" s="184" t="s">
        <v>5</v>
      </c>
      <c r="F62" s="184">
        <v>2</v>
      </c>
      <c r="G62" s="184" t="s">
        <v>926</v>
      </c>
      <c r="H62" t="s">
        <v>554</v>
      </c>
      <c r="I62" t="s">
        <v>868</v>
      </c>
      <c r="J62" t="s">
        <v>6</v>
      </c>
      <c r="K62" t="s">
        <v>925</v>
      </c>
      <c r="L62"/>
      <c r="M62" s="209">
        <v>8</v>
      </c>
      <c r="N62"/>
      <c r="P62" s="22" t="s">
        <v>873</v>
      </c>
      <c r="Q62">
        <v>1</v>
      </c>
      <c r="R62">
        <v>1</v>
      </c>
      <c r="S62"/>
      <c r="Y62"/>
      <c r="Z62"/>
      <c r="AF62"/>
      <c r="AG62"/>
    </row>
    <row r="63" spans="1:33">
      <c r="A63" s="153">
        <v>62</v>
      </c>
      <c r="B63" s="184" t="s">
        <v>296</v>
      </c>
      <c r="C63" s="184">
        <v>5</v>
      </c>
      <c r="D63" s="184" t="s">
        <v>869</v>
      </c>
      <c r="E63" s="184" t="s">
        <v>5</v>
      </c>
      <c r="F63" s="184">
        <v>1</v>
      </c>
      <c r="G63" s="184" t="s">
        <v>926</v>
      </c>
      <c r="H63" t="s">
        <v>554</v>
      </c>
      <c r="I63" t="s">
        <v>868</v>
      </c>
      <c r="J63" t="s">
        <v>6</v>
      </c>
      <c r="K63" t="s">
        <v>925</v>
      </c>
      <c r="L63"/>
      <c r="M63" s="209">
        <v>8</v>
      </c>
      <c r="N63"/>
      <c r="P63" s="22" t="s">
        <v>947</v>
      </c>
      <c r="Q63">
        <v>2</v>
      </c>
      <c r="R63"/>
      <c r="S63"/>
      <c r="Y63"/>
      <c r="Z63"/>
      <c r="AF63"/>
      <c r="AG63"/>
    </row>
    <row r="64" spans="1:33">
      <c r="A64" s="153">
        <v>63</v>
      </c>
      <c r="B64" s="184" t="s">
        <v>296</v>
      </c>
      <c r="C64" s="184">
        <v>4</v>
      </c>
      <c r="D64" s="184" t="s">
        <v>870</v>
      </c>
      <c r="E64" s="184" t="s">
        <v>1</v>
      </c>
      <c r="F64" s="184">
        <v>4</v>
      </c>
      <c r="G64" s="184" t="s">
        <v>927</v>
      </c>
      <c r="H64" t="s">
        <v>928</v>
      </c>
      <c r="I64" t="s">
        <v>929</v>
      </c>
      <c r="J64" t="s">
        <v>6</v>
      </c>
      <c r="K64" t="s">
        <v>704</v>
      </c>
      <c r="L64"/>
      <c r="M64" s="209">
        <v>8</v>
      </c>
      <c r="N64"/>
      <c r="P64" s="22" t="s">
        <v>479</v>
      </c>
      <c r="Q64">
        <v>1</v>
      </c>
      <c r="R64">
        <v>1</v>
      </c>
      <c r="S64"/>
      <c r="Y64"/>
      <c r="Z64"/>
      <c r="AF64"/>
      <c r="AG64"/>
    </row>
    <row r="65" spans="1:33">
      <c r="A65" s="153">
        <v>64</v>
      </c>
      <c r="B65" s="184" t="s">
        <v>296</v>
      </c>
      <c r="C65" s="184">
        <v>4</v>
      </c>
      <c r="D65" s="184" t="s">
        <v>870</v>
      </c>
      <c r="E65" s="184" t="s">
        <v>1</v>
      </c>
      <c r="F65" s="184">
        <v>2</v>
      </c>
      <c r="G65" s="184" t="s">
        <v>930</v>
      </c>
      <c r="H65" t="s">
        <v>928</v>
      </c>
      <c r="I65" t="s">
        <v>929</v>
      </c>
      <c r="J65" t="s">
        <v>6</v>
      </c>
      <c r="K65" t="s">
        <v>704</v>
      </c>
      <c r="L65"/>
      <c r="M65" s="209">
        <v>8</v>
      </c>
      <c r="N65"/>
      <c r="P65" s="22" t="s">
        <v>374</v>
      </c>
      <c r="Q65">
        <v>5</v>
      </c>
      <c r="R65"/>
      <c r="S65"/>
      <c r="Y65"/>
      <c r="Z65"/>
      <c r="AF65"/>
      <c r="AG65"/>
    </row>
    <row r="66" spans="1:33">
      <c r="A66" s="153">
        <v>65</v>
      </c>
      <c r="B66" s="184" t="s">
        <v>294</v>
      </c>
      <c r="C66" s="184">
        <v>4</v>
      </c>
      <c r="D66" s="184" t="s">
        <v>870</v>
      </c>
      <c r="E66" s="184" t="s">
        <v>1</v>
      </c>
      <c r="F66" s="184">
        <v>1</v>
      </c>
      <c r="G66" s="184" t="s">
        <v>931</v>
      </c>
      <c r="H66" t="s">
        <v>928</v>
      </c>
      <c r="I66" t="s">
        <v>929</v>
      </c>
      <c r="J66" t="s">
        <v>6</v>
      </c>
      <c r="K66" t="s">
        <v>704</v>
      </c>
      <c r="L66"/>
      <c r="M66" s="209">
        <v>8</v>
      </c>
      <c r="N66"/>
      <c r="P66" s="22" t="s">
        <v>952</v>
      </c>
      <c r="Q66">
        <v>9</v>
      </c>
      <c r="R66"/>
      <c r="S66"/>
      <c r="Y66"/>
      <c r="Z66"/>
      <c r="AF66"/>
      <c r="AG66"/>
    </row>
    <row r="67" spans="1:33">
      <c r="A67" s="153">
        <v>66</v>
      </c>
      <c r="B67" s="184" t="s">
        <v>295</v>
      </c>
      <c r="C67" s="184">
        <v>4</v>
      </c>
      <c r="D67" s="184" t="s">
        <v>870</v>
      </c>
      <c r="E67" s="184" t="s">
        <v>5</v>
      </c>
      <c r="F67" s="184">
        <v>5</v>
      </c>
      <c r="G67" s="184" t="s">
        <v>574</v>
      </c>
      <c r="H67" t="s">
        <v>575</v>
      </c>
      <c r="I67" t="s">
        <v>576</v>
      </c>
      <c r="J67" t="s">
        <v>577</v>
      </c>
      <c r="K67" t="s">
        <v>932</v>
      </c>
      <c r="L67"/>
      <c r="M67" s="209">
        <v>8</v>
      </c>
      <c r="N67"/>
      <c r="P67" s="22" t="s">
        <v>242</v>
      </c>
      <c r="Q67">
        <v>10</v>
      </c>
      <c r="R67"/>
      <c r="S67"/>
      <c r="Y67"/>
      <c r="Z67"/>
      <c r="AF67"/>
      <c r="AG67"/>
    </row>
    <row r="68" spans="1:33">
      <c r="A68" s="153">
        <v>67</v>
      </c>
      <c r="B68" s="184" t="s">
        <v>294</v>
      </c>
      <c r="C68" s="184">
        <v>3</v>
      </c>
      <c r="D68" s="184" t="s">
        <v>874</v>
      </c>
      <c r="E68" s="184" t="s">
        <v>1</v>
      </c>
      <c r="F68" s="184">
        <v>2</v>
      </c>
      <c r="G68" s="184" t="s">
        <v>933</v>
      </c>
      <c r="H68" t="s">
        <v>11</v>
      </c>
      <c r="I68" t="s">
        <v>934</v>
      </c>
      <c r="J68" t="s">
        <v>6</v>
      </c>
      <c r="K68" t="s">
        <v>935</v>
      </c>
      <c r="L68"/>
      <c r="M68" s="209">
        <v>8</v>
      </c>
      <c r="N68"/>
      <c r="P68" s="22" t="s">
        <v>914</v>
      </c>
      <c r="Q68">
        <v>4</v>
      </c>
      <c r="R68"/>
      <c r="S68"/>
      <c r="Y68"/>
      <c r="Z68"/>
      <c r="AF68"/>
      <c r="AG68"/>
    </row>
    <row r="69" spans="1:33">
      <c r="A69" s="153">
        <v>68</v>
      </c>
      <c r="B69" s="184" t="s">
        <v>294</v>
      </c>
      <c r="C69" s="184">
        <v>3</v>
      </c>
      <c r="D69" s="184" t="s">
        <v>874</v>
      </c>
      <c r="E69" s="184" t="s">
        <v>1</v>
      </c>
      <c r="F69" s="184">
        <v>1</v>
      </c>
      <c r="G69" s="184" t="s">
        <v>933</v>
      </c>
      <c r="H69" t="s">
        <v>11</v>
      </c>
      <c r="I69" t="s">
        <v>934</v>
      </c>
      <c r="J69" t="s">
        <v>6</v>
      </c>
      <c r="K69" t="s">
        <v>935</v>
      </c>
      <c r="L69"/>
      <c r="M69" s="209">
        <v>8</v>
      </c>
      <c r="N69"/>
      <c r="P69" s="22" t="s">
        <v>896</v>
      </c>
      <c r="Q69">
        <v>3</v>
      </c>
      <c r="R69"/>
      <c r="S69"/>
      <c r="Y69"/>
      <c r="Z69"/>
      <c r="AF69"/>
      <c r="AG69"/>
    </row>
    <row r="70" spans="1:33">
      <c r="A70" s="153">
        <v>69</v>
      </c>
      <c r="B70" s="184" t="s">
        <v>296</v>
      </c>
      <c r="C70" s="184">
        <v>3</v>
      </c>
      <c r="D70" s="184" t="s">
        <v>874</v>
      </c>
      <c r="E70" s="184" t="s">
        <v>5</v>
      </c>
      <c r="F70" s="184">
        <v>5</v>
      </c>
      <c r="G70" s="184" t="s">
        <v>936</v>
      </c>
      <c r="H70" t="s">
        <v>12</v>
      </c>
      <c r="I70" t="s">
        <v>567</v>
      </c>
      <c r="J70" t="s">
        <v>6</v>
      </c>
      <c r="K70" t="s">
        <v>555</v>
      </c>
      <c r="L70"/>
      <c r="M70" s="209">
        <v>8</v>
      </c>
      <c r="N70"/>
      <c r="P70" s="22" t="s">
        <v>934</v>
      </c>
      <c r="Q70">
        <v>2</v>
      </c>
      <c r="R70"/>
      <c r="S70"/>
      <c r="Y70"/>
      <c r="Z70"/>
      <c r="AF70"/>
      <c r="AG70"/>
    </row>
    <row r="71" spans="1:33">
      <c r="A71" s="153">
        <v>70</v>
      </c>
      <c r="B71" s="184" t="s">
        <v>296</v>
      </c>
      <c r="C71" s="184">
        <v>3</v>
      </c>
      <c r="D71" s="184" t="s">
        <v>874</v>
      </c>
      <c r="E71" s="184" t="s">
        <v>5</v>
      </c>
      <c r="F71" s="184">
        <v>4</v>
      </c>
      <c r="G71" s="184" t="s">
        <v>936</v>
      </c>
      <c r="H71" t="s">
        <v>12</v>
      </c>
      <c r="I71" t="s">
        <v>567</v>
      </c>
      <c r="J71" t="s">
        <v>6</v>
      </c>
      <c r="K71" t="s">
        <v>555</v>
      </c>
      <c r="L71"/>
      <c r="M71" s="209">
        <v>8</v>
      </c>
      <c r="N71"/>
      <c r="P71" s="22" t="s">
        <v>898</v>
      </c>
      <c r="Q71">
        <v>5</v>
      </c>
      <c r="R71"/>
      <c r="S71"/>
      <c r="Y71"/>
      <c r="Z71"/>
      <c r="AF71"/>
      <c r="AG71"/>
    </row>
    <row r="72" spans="1:33">
      <c r="A72" s="153">
        <v>71</v>
      </c>
      <c r="B72" s="184" t="s">
        <v>294</v>
      </c>
      <c r="C72" s="184">
        <v>2</v>
      </c>
      <c r="D72" s="184" t="s">
        <v>937</v>
      </c>
      <c r="E72" s="184" t="s">
        <v>1</v>
      </c>
      <c r="F72" s="184">
        <v>4</v>
      </c>
      <c r="G72" s="184" t="s">
        <v>938</v>
      </c>
      <c r="H72" t="s">
        <v>10</v>
      </c>
      <c r="I72" t="s">
        <v>374</v>
      </c>
      <c r="J72" t="s">
        <v>9</v>
      </c>
      <c r="K72" t="s">
        <v>939</v>
      </c>
      <c r="L72"/>
      <c r="M72" s="209">
        <v>8</v>
      </c>
      <c r="N72"/>
      <c r="P72" s="22" t="s">
        <v>878</v>
      </c>
      <c r="Q72">
        <v>1</v>
      </c>
      <c r="R72">
        <v>1</v>
      </c>
      <c r="S72"/>
      <c r="Y72"/>
      <c r="Z72"/>
      <c r="AF72"/>
      <c r="AG72"/>
    </row>
    <row r="73" spans="1:33">
      <c r="A73" s="153">
        <v>72</v>
      </c>
      <c r="B73" s="184" t="s">
        <v>294</v>
      </c>
      <c r="C73" s="184">
        <v>2</v>
      </c>
      <c r="D73" s="184" t="s">
        <v>937</v>
      </c>
      <c r="E73" s="184" t="s">
        <v>1</v>
      </c>
      <c r="F73" s="184">
        <v>3</v>
      </c>
      <c r="G73" s="184" t="s">
        <v>938</v>
      </c>
      <c r="H73" t="s">
        <v>940</v>
      </c>
      <c r="I73" t="s">
        <v>374</v>
      </c>
      <c r="J73" t="s">
        <v>9</v>
      </c>
      <c r="K73" t="s">
        <v>939</v>
      </c>
      <c r="L73"/>
      <c r="M73" s="209">
        <v>8</v>
      </c>
      <c r="N73"/>
      <c r="P73" s="22" t="s">
        <v>863</v>
      </c>
      <c r="Q73">
        <v>3</v>
      </c>
      <c r="R73">
        <v>3</v>
      </c>
      <c r="S73"/>
      <c r="Y73"/>
      <c r="Z73"/>
      <c r="AF73"/>
      <c r="AG73"/>
    </row>
    <row r="74" spans="1:33">
      <c r="A74" s="153">
        <v>73</v>
      </c>
      <c r="B74" s="184" t="s">
        <v>296</v>
      </c>
      <c r="C74" s="184">
        <v>2</v>
      </c>
      <c r="D74" s="184" t="s">
        <v>937</v>
      </c>
      <c r="E74" s="184" t="s">
        <v>1</v>
      </c>
      <c r="F74" s="184">
        <v>3</v>
      </c>
      <c r="G74" s="184" t="s">
        <v>373</v>
      </c>
      <c r="H74" t="s">
        <v>12</v>
      </c>
      <c r="I74" t="s">
        <v>567</v>
      </c>
      <c r="J74" t="s">
        <v>6</v>
      </c>
      <c r="K74" t="s">
        <v>912</v>
      </c>
      <c r="L74"/>
      <c r="M74" s="209">
        <v>8</v>
      </c>
      <c r="N74"/>
      <c r="P74" s="22" t="s">
        <v>860</v>
      </c>
      <c r="Q74">
        <v>3</v>
      </c>
      <c r="R74">
        <v>3</v>
      </c>
      <c r="S74"/>
      <c r="Y74"/>
      <c r="Z74"/>
      <c r="AF74"/>
      <c r="AG74"/>
    </row>
    <row r="75" spans="1:33">
      <c r="A75" s="153">
        <v>74</v>
      </c>
      <c r="B75" s="184" t="s">
        <v>296</v>
      </c>
      <c r="C75" s="184">
        <v>2</v>
      </c>
      <c r="D75" s="184" t="s">
        <v>937</v>
      </c>
      <c r="E75" s="184" t="s">
        <v>1</v>
      </c>
      <c r="F75" s="184">
        <v>2</v>
      </c>
      <c r="G75" s="184" t="s">
        <v>373</v>
      </c>
      <c r="H75" t="s">
        <v>12</v>
      </c>
      <c r="I75" t="s">
        <v>567</v>
      </c>
      <c r="J75" t="s">
        <v>6</v>
      </c>
      <c r="K75" t="s">
        <v>317</v>
      </c>
      <c r="L75"/>
      <c r="M75" s="209">
        <v>8</v>
      </c>
      <c r="N75"/>
      <c r="P75" s="22" t="s">
        <v>576</v>
      </c>
      <c r="Q75">
        <v>1</v>
      </c>
      <c r="R75"/>
      <c r="S75"/>
      <c r="Y75"/>
      <c r="Z75"/>
      <c r="AF75"/>
      <c r="AG75"/>
    </row>
    <row r="76" spans="1:33">
      <c r="A76" s="153">
        <v>75</v>
      </c>
      <c r="B76" s="184" t="s">
        <v>295</v>
      </c>
      <c r="C76" s="184">
        <v>2</v>
      </c>
      <c r="D76" s="184" t="s">
        <v>937</v>
      </c>
      <c r="E76" s="184" t="s">
        <v>5</v>
      </c>
      <c r="F76" s="184">
        <v>5</v>
      </c>
      <c r="G76" s="184" t="s">
        <v>941</v>
      </c>
      <c r="H76" t="s">
        <v>575</v>
      </c>
      <c r="I76" t="s">
        <v>942</v>
      </c>
      <c r="J76" t="s">
        <v>6</v>
      </c>
      <c r="K76" t="s">
        <v>578</v>
      </c>
      <c r="L76"/>
      <c r="M76" s="209">
        <v>8</v>
      </c>
      <c r="N76"/>
      <c r="P76" s="22" t="s">
        <v>411</v>
      </c>
      <c r="Q76">
        <v>8</v>
      </c>
      <c r="R76"/>
      <c r="S76"/>
      <c r="Y76"/>
      <c r="Z76"/>
      <c r="AF76"/>
      <c r="AG76"/>
    </row>
    <row r="77" spans="1:33">
      <c r="A77" s="153">
        <v>76</v>
      </c>
      <c r="B77" s="184" t="s">
        <v>295</v>
      </c>
      <c r="C77" s="184">
        <v>2</v>
      </c>
      <c r="D77" s="184" t="s">
        <v>937</v>
      </c>
      <c r="E77" s="184" t="s">
        <v>5</v>
      </c>
      <c r="F77" s="184">
        <v>4</v>
      </c>
      <c r="G77" s="184" t="s">
        <v>941</v>
      </c>
      <c r="H77" t="s">
        <v>575</v>
      </c>
      <c r="I77" t="s">
        <v>942</v>
      </c>
      <c r="J77" t="s">
        <v>6</v>
      </c>
      <c r="K77" t="s">
        <v>579</v>
      </c>
      <c r="L77"/>
      <c r="M77" s="209">
        <v>8</v>
      </c>
      <c r="N77"/>
      <c r="P77" s="22" t="s">
        <v>868</v>
      </c>
      <c r="Q77">
        <v>10</v>
      </c>
      <c r="R77">
        <v>2</v>
      </c>
      <c r="S77"/>
      <c r="Y77"/>
      <c r="Z77"/>
      <c r="AF77"/>
      <c r="AG77"/>
    </row>
    <row r="78" spans="1:33">
      <c r="A78" s="153">
        <v>77</v>
      </c>
      <c r="B78" s="184" t="s">
        <v>295</v>
      </c>
      <c r="C78" s="184">
        <v>2</v>
      </c>
      <c r="D78" s="184" t="s">
        <v>937</v>
      </c>
      <c r="E78" s="184" t="s">
        <v>5</v>
      </c>
      <c r="F78" s="184">
        <v>4</v>
      </c>
      <c r="G78" s="184" t="s">
        <v>943</v>
      </c>
      <c r="H78" t="s">
        <v>12</v>
      </c>
      <c r="I78" t="s">
        <v>567</v>
      </c>
      <c r="J78" t="s">
        <v>6</v>
      </c>
      <c r="K78" t="s">
        <v>912</v>
      </c>
      <c r="L78"/>
      <c r="M78" s="209">
        <v>8</v>
      </c>
      <c r="N78"/>
      <c r="P78" s="22" t="s">
        <v>883</v>
      </c>
      <c r="Q78">
        <v>3</v>
      </c>
      <c r="R78">
        <v>2</v>
      </c>
      <c r="S78"/>
      <c r="Y78"/>
      <c r="Z78"/>
      <c r="AF78"/>
      <c r="AG78"/>
    </row>
    <row r="79" spans="1:33">
      <c r="A79" s="153">
        <v>78</v>
      </c>
      <c r="B79" s="184" t="s">
        <v>296</v>
      </c>
      <c r="C79" s="184">
        <v>2</v>
      </c>
      <c r="D79" s="184" t="s">
        <v>937</v>
      </c>
      <c r="E79" s="184" t="s">
        <v>5</v>
      </c>
      <c r="F79" s="184">
        <v>4</v>
      </c>
      <c r="G79" s="184" t="s">
        <v>882</v>
      </c>
      <c r="H79" t="s">
        <v>156</v>
      </c>
      <c r="I79" t="s">
        <v>158</v>
      </c>
      <c r="J79" t="s">
        <v>3</v>
      </c>
      <c r="K79" t="s">
        <v>545</v>
      </c>
      <c r="L79"/>
      <c r="M79" s="209">
        <v>8</v>
      </c>
      <c r="N79"/>
      <c r="P79" s="22" t="s">
        <v>929</v>
      </c>
      <c r="Q79">
        <v>3</v>
      </c>
      <c r="R79"/>
      <c r="S79"/>
      <c r="Y79"/>
      <c r="Z79"/>
      <c r="AF79"/>
      <c r="AG79"/>
    </row>
    <row r="80" spans="1:33">
      <c r="A80" s="153">
        <v>79</v>
      </c>
      <c r="B80" s="184" t="s">
        <v>294</v>
      </c>
      <c r="C80" s="184">
        <v>2</v>
      </c>
      <c r="D80" s="184" t="s">
        <v>937</v>
      </c>
      <c r="E80" s="184" t="s">
        <v>5</v>
      </c>
      <c r="F80" s="184">
        <v>4</v>
      </c>
      <c r="G80" s="184" t="s">
        <v>938</v>
      </c>
      <c r="H80" t="s">
        <v>8</v>
      </c>
      <c r="I80" t="s">
        <v>374</v>
      </c>
      <c r="J80" t="s">
        <v>9</v>
      </c>
      <c r="K80" t="s">
        <v>910</v>
      </c>
      <c r="L80"/>
      <c r="M80" s="209">
        <v>8</v>
      </c>
      <c r="N80"/>
      <c r="P80" s="22" t="s">
        <v>119</v>
      </c>
      <c r="Q80">
        <v>144</v>
      </c>
      <c r="R80">
        <v>19</v>
      </c>
      <c r="S80"/>
      <c r="Y80"/>
      <c r="Z80"/>
      <c r="AF80"/>
      <c r="AG80"/>
    </row>
    <row r="81" spans="1:33">
      <c r="A81" s="153">
        <v>80</v>
      </c>
      <c r="B81" s="184" t="s">
        <v>295</v>
      </c>
      <c r="C81" s="184">
        <v>2</v>
      </c>
      <c r="D81" s="184" t="s">
        <v>937</v>
      </c>
      <c r="E81" s="184" t="s">
        <v>5</v>
      </c>
      <c r="F81" s="184">
        <v>3</v>
      </c>
      <c r="G81" s="184" t="s">
        <v>941</v>
      </c>
      <c r="H81" t="s">
        <v>575</v>
      </c>
      <c r="I81" t="s">
        <v>942</v>
      </c>
      <c r="J81" t="s">
        <v>6</v>
      </c>
      <c r="K81" t="s">
        <v>417</v>
      </c>
      <c r="L81"/>
      <c r="M81" s="209">
        <v>8</v>
      </c>
      <c r="N81"/>
      <c r="P81"/>
      <c r="Q81"/>
      <c r="R81"/>
      <c r="S81"/>
      <c r="Y81"/>
      <c r="Z81"/>
      <c r="AF81"/>
      <c r="AG81"/>
    </row>
    <row r="82" spans="1:33">
      <c r="A82" s="153">
        <v>81</v>
      </c>
      <c r="B82" s="184" t="s">
        <v>295</v>
      </c>
      <c r="C82" s="184">
        <v>2</v>
      </c>
      <c r="D82" s="184" t="s">
        <v>937</v>
      </c>
      <c r="E82" s="184" t="s">
        <v>5</v>
      </c>
      <c r="F82" s="184">
        <v>3</v>
      </c>
      <c r="G82" s="184" t="s">
        <v>943</v>
      </c>
      <c r="H82" t="s">
        <v>12</v>
      </c>
      <c r="I82" t="s">
        <v>567</v>
      </c>
      <c r="J82" t="s">
        <v>6</v>
      </c>
      <c r="K82" t="s">
        <v>912</v>
      </c>
      <c r="L82"/>
      <c r="M82" s="209">
        <v>8</v>
      </c>
      <c r="R82"/>
      <c r="S82"/>
      <c r="Y82"/>
      <c r="Z82"/>
      <c r="AF82"/>
      <c r="AG82"/>
    </row>
    <row r="83" spans="1:33">
      <c r="A83" s="153">
        <v>82</v>
      </c>
      <c r="B83" s="184" t="s">
        <v>296</v>
      </c>
      <c r="C83" s="184">
        <v>2</v>
      </c>
      <c r="D83" s="184" t="s">
        <v>937</v>
      </c>
      <c r="E83" s="184" t="s">
        <v>5</v>
      </c>
      <c r="F83" s="184">
        <v>3</v>
      </c>
      <c r="G83" s="184" t="s">
        <v>882</v>
      </c>
      <c r="H83" t="s">
        <v>156</v>
      </c>
      <c r="I83" t="s">
        <v>158</v>
      </c>
      <c r="J83" t="s">
        <v>3</v>
      </c>
      <c r="K83" t="s">
        <v>545</v>
      </c>
      <c r="L83"/>
      <c r="M83" s="209">
        <v>8</v>
      </c>
      <c r="R83"/>
      <c r="S83"/>
      <c r="Y83"/>
      <c r="Z83"/>
      <c r="AF83"/>
      <c r="AG83"/>
    </row>
    <row r="84" spans="1:33">
      <c r="A84" s="153">
        <v>83</v>
      </c>
      <c r="B84" s="184" t="s">
        <v>294</v>
      </c>
      <c r="C84" s="184">
        <v>2</v>
      </c>
      <c r="D84" s="184" t="s">
        <v>937</v>
      </c>
      <c r="E84" s="184" t="s">
        <v>5</v>
      </c>
      <c r="F84" s="184">
        <v>3</v>
      </c>
      <c r="G84" s="184" t="s">
        <v>938</v>
      </c>
      <c r="H84" t="s">
        <v>8</v>
      </c>
      <c r="I84" t="s">
        <v>374</v>
      </c>
      <c r="J84" t="s">
        <v>9</v>
      </c>
      <c r="K84" t="s">
        <v>910</v>
      </c>
      <c r="L84"/>
      <c r="M84" s="209">
        <v>8</v>
      </c>
      <c r="R84"/>
      <c r="S84"/>
      <c r="Y84"/>
      <c r="Z84"/>
      <c r="AF84"/>
      <c r="AG84"/>
    </row>
    <row r="85" spans="1:33">
      <c r="A85" s="153">
        <v>84</v>
      </c>
      <c r="B85" s="184" t="s">
        <v>296</v>
      </c>
      <c r="C85" s="184">
        <v>2</v>
      </c>
      <c r="D85" s="184" t="s">
        <v>937</v>
      </c>
      <c r="E85" s="184" t="s">
        <v>5</v>
      </c>
      <c r="F85" s="184">
        <v>2</v>
      </c>
      <c r="G85" s="184" t="s">
        <v>944</v>
      </c>
      <c r="H85" t="s">
        <v>945</v>
      </c>
      <c r="I85" t="s">
        <v>942</v>
      </c>
      <c r="J85" t="s">
        <v>6</v>
      </c>
      <c r="K85" t="s">
        <v>889</v>
      </c>
      <c r="L85"/>
      <c r="M85" s="209">
        <v>8</v>
      </c>
      <c r="R85"/>
      <c r="S85"/>
      <c r="Y85"/>
      <c r="Z85"/>
      <c r="AF85"/>
      <c r="AG85"/>
    </row>
    <row r="86" spans="1:33">
      <c r="A86" s="153">
        <v>85</v>
      </c>
      <c r="B86" s="184" t="s">
        <v>296</v>
      </c>
      <c r="C86" s="184">
        <v>2</v>
      </c>
      <c r="D86" s="184" t="s">
        <v>937</v>
      </c>
      <c r="E86" s="184" t="s">
        <v>5</v>
      </c>
      <c r="F86" s="184">
        <v>2</v>
      </c>
      <c r="G86" s="184" t="s">
        <v>936</v>
      </c>
      <c r="H86" t="s">
        <v>12</v>
      </c>
      <c r="I86" t="s">
        <v>567</v>
      </c>
      <c r="J86" t="s">
        <v>6</v>
      </c>
      <c r="K86" t="s">
        <v>907</v>
      </c>
      <c r="L86"/>
      <c r="M86" s="209">
        <v>8</v>
      </c>
      <c r="R86"/>
      <c r="S86"/>
      <c r="Y86"/>
      <c r="Z86"/>
      <c r="AF86"/>
      <c r="AG86"/>
    </row>
    <row r="87" spans="1:33">
      <c r="A87" s="153">
        <v>86</v>
      </c>
      <c r="B87" s="184" t="s">
        <v>294</v>
      </c>
      <c r="C87" s="184">
        <v>2</v>
      </c>
      <c r="D87" s="184" t="s">
        <v>937</v>
      </c>
      <c r="E87" s="184" t="s">
        <v>5</v>
      </c>
      <c r="F87" s="184">
        <v>1</v>
      </c>
      <c r="G87" s="184" t="s">
        <v>938</v>
      </c>
      <c r="H87" t="s">
        <v>7</v>
      </c>
      <c r="I87" t="s">
        <v>374</v>
      </c>
      <c r="J87" t="s">
        <v>9</v>
      </c>
      <c r="K87" t="s">
        <v>910</v>
      </c>
      <c r="L87"/>
      <c r="M87" s="209">
        <v>8</v>
      </c>
      <c r="R87"/>
      <c r="S87"/>
      <c r="Y87"/>
      <c r="Z87"/>
      <c r="AF87"/>
      <c r="AG87"/>
    </row>
    <row r="88" spans="1:33">
      <c r="A88" s="153">
        <v>87</v>
      </c>
      <c r="B88" s="184" t="s">
        <v>296</v>
      </c>
      <c r="C88" s="184">
        <v>2</v>
      </c>
      <c r="D88" s="184" t="s">
        <v>937</v>
      </c>
      <c r="E88" s="184" t="s">
        <v>5</v>
      </c>
      <c r="F88" s="184">
        <v>1</v>
      </c>
      <c r="G88" s="184" t="s">
        <v>944</v>
      </c>
      <c r="H88" t="s">
        <v>945</v>
      </c>
      <c r="I88" t="s">
        <v>942</v>
      </c>
      <c r="J88" t="s">
        <v>6</v>
      </c>
      <c r="K88" t="s">
        <v>889</v>
      </c>
      <c r="L88"/>
      <c r="M88" s="209">
        <v>8</v>
      </c>
      <c r="R88"/>
      <c r="S88"/>
      <c r="Y88"/>
      <c r="Z88"/>
      <c r="AF88"/>
      <c r="AG88"/>
    </row>
    <row r="89" spans="1:33">
      <c r="A89" s="153">
        <v>88</v>
      </c>
      <c r="B89" s="184" t="s">
        <v>296</v>
      </c>
      <c r="C89" s="184">
        <v>2</v>
      </c>
      <c r="D89" s="184" t="s">
        <v>937</v>
      </c>
      <c r="E89" s="184" t="s">
        <v>5</v>
      </c>
      <c r="F89" s="184">
        <v>1</v>
      </c>
      <c r="G89" s="184" t="s">
        <v>936</v>
      </c>
      <c r="H89" t="s">
        <v>12</v>
      </c>
      <c r="I89" t="s">
        <v>567</v>
      </c>
      <c r="J89" t="s">
        <v>6</v>
      </c>
      <c r="K89" t="s">
        <v>907</v>
      </c>
      <c r="L89"/>
      <c r="M89" s="209">
        <v>8</v>
      </c>
      <c r="R89"/>
      <c r="S89"/>
      <c r="Y89"/>
      <c r="Z89"/>
      <c r="AF89"/>
      <c r="AG89"/>
    </row>
    <row r="90" spans="1:33">
      <c r="A90" s="153">
        <v>89</v>
      </c>
      <c r="B90" s="184" t="s">
        <v>296</v>
      </c>
      <c r="C90" s="184">
        <v>5</v>
      </c>
      <c r="D90" s="184" t="s">
        <v>946</v>
      </c>
      <c r="E90" s="184" t="s">
        <v>5</v>
      </c>
      <c r="F90" s="184">
        <v>2</v>
      </c>
      <c r="G90" s="184" t="s">
        <v>901</v>
      </c>
      <c r="H90" t="s">
        <v>7</v>
      </c>
      <c r="I90" t="s">
        <v>947</v>
      </c>
      <c r="J90" t="s">
        <v>6</v>
      </c>
      <c r="K90" t="s">
        <v>948</v>
      </c>
      <c r="L90"/>
      <c r="M90" s="209">
        <v>8</v>
      </c>
      <c r="R90"/>
      <c r="S90"/>
      <c r="Y90"/>
      <c r="Z90"/>
      <c r="AF90"/>
      <c r="AG90"/>
    </row>
    <row r="91" spans="1:33">
      <c r="A91" s="153">
        <v>90</v>
      </c>
      <c r="B91" s="184" t="s">
        <v>296</v>
      </c>
      <c r="C91" s="184">
        <v>5</v>
      </c>
      <c r="D91" s="184" t="s">
        <v>946</v>
      </c>
      <c r="E91" s="184" t="s">
        <v>5</v>
      </c>
      <c r="F91" s="184">
        <v>1</v>
      </c>
      <c r="G91" s="184" t="s">
        <v>901</v>
      </c>
      <c r="H91" t="s">
        <v>7</v>
      </c>
      <c r="I91" t="s">
        <v>947</v>
      </c>
      <c r="J91" t="s">
        <v>6</v>
      </c>
      <c r="K91" t="s">
        <v>948</v>
      </c>
      <c r="L91"/>
      <c r="M91" s="209">
        <v>8</v>
      </c>
      <c r="R91"/>
      <c r="S91"/>
      <c r="Y91"/>
      <c r="Z91"/>
      <c r="AF91"/>
      <c r="AG91"/>
    </row>
    <row r="92" spans="1:33">
      <c r="A92" s="153">
        <v>91</v>
      </c>
      <c r="B92" s="184" t="s">
        <v>297</v>
      </c>
      <c r="C92" s="184">
        <v>4</v>
      </c>
      <c r="D92" s="184" t="s">
        <v>949</v>
      </c>
      <c r="E92" s="184" t="s">
        <v>1</v>
      </c>
      <c r="F92" s="184">
        <v>2</v>
      </c>
      <c r="G92" s="184" t="s">
        <v>950</v>
      </c>
      <c r="H92" t="s">
        <v>2</v>
      </c>
      <c r="I92" t="s">
        <v>420</v>
      </c>
      <c r="J92" t="s">
        <v>4</v>
      </c>
      <c r="K92" t="s">
        <v>550</v>
      </c>
      <c r="L92"/>
      <c r="M92" s="209">
        <v>8</v>
      </c>
      <c r="R92"/>
      <c r="S92"/>
      <c r="Y92"/>
      <c r="Z92"/>
      <c r="AF92"/>
      <c r="AG92"/>
    </row>
    <row r="93" spans="1:33">
      <c r="A93" s="153">
        <v>92</v>
      </c>
      <c r="B93" s="184" t="s">
        <v>297</v>
      </c>
      <c r="C93" s="184">
        <v>4</v>
      </c>
      <c r="D93" s="184" t="s">
        <v>949</v>
      </c>
      <c r="E93" s="184" t="s">
        <v>1</v>
      </c>
      <c r="F93" s="184">
        <v>1</v>
      </c>
      <c r="G93" s="184" t="s">
        <v>951</v>
      </c>
      <c r="H93" t="s">
        <v>2</v>
      </c>
      <c r="I93" t="s">
        <v>420</v>
      </c>
      <c r="J93" t="s">
        <v>4</v>
      </c>
      <c r="K93" t="s">
        <v>550</v>
      </c>
      <c r="L93"/>
      <c r="M93" s="209">
        <v>8</v>
      </c>
      <c r="R93"/>
      <c r="S93"/>
      <c r="Y93"/>
      <c r="Z93"/>
      <c r="AF93"/>
      <c r="AG93"/>
    </row>
    <row r="94" spans="1:33">
      <c r="A94" s="153">
        <v>93</v>
      </c>
      <c r="B94" s="184" t="s">
        <v>296</v>
      </c>
      <c r="C94" s="184">
        <v>4</v>
      </c>
      <c r="D94" s="184" t="s">
        <v>949</v>
      </c>
      <c r="E94" s="184" t="s">
        <v>5</v>
      </c>
      <c r="F94" s="184">
        <v>4</v>
      </c>
      <c r="G94" s="184" t="s">
        <v>558</v>
      </c>
      <c r="H94" t="s">
        <v>7</v>
      </c>
      <c r="I94" t="s">
        <v>952</v>
      </c>
      <c r="J94" t="s">
        <v>6</v>
      </c>
      <c r="K94" t="s">
        <v>920</v>
      </c>
      <c r="L94"/>
      <c r="M94" s="209">
        <v>8</v>
      </c>
      <c r="R94"/>
      <c r="S94"/>
      <c r="Y94"/>
      <c r="Z94"/>
      <c r="AF94"/>
      <c r="AG94"/>
    </row>
    <row r="95" spans="1:33">
      <c r="A95" s="153">
        <v>94</v>
      </c>
      <c r="B95" s="184" t="s">
        <v>296</v>
      </c>
      <c r="C95" s="184">
        <v>4</v>
      </c>
      <c r="D95" s="184" t="s">
        <v>949</v>
      </c>
      <c r="E95" s="184" t="s">
        <v>5</v>
      </c>
      <c r="F95" s="184">
        <v>3</v>
      </c>
      <c r="G95" s="184" t="s">
        <v>558</v>
      </c>
      <c r="H95" t="s">
        <v>7</v>
      </c>
      <c r="I95" t="s">
        <v>952</v>
      </c>
      <c r="J95" t="s">
        <v>6</v>
      </c>
      <c r="K95" t="s">
        <v>920</v>
      </c>
      <c r="L95"/>
      <c r="M95" s="209">
        <v>8</v>
      </c>
      <c r="R95"/>
      <c r="S95"/>
      <c r="Y95"/>
      <c r="Z95"/>
      <c r="AF95"/>
      <c r="AG95"/>
    </row>
    <row r="96" spans="1:33">
      <c r="A96" s="153">
        <v>95</v>
      </c>
      <c r="B96" s="184" t="s">
        <v>296</v>
      </c>
      <c r="C96" s="184">
        <v>3</v>
      </c>
      <c r="D96" s="184" t="s">
        <v>953</v>
      </c>
      <c r="E96" s="184" t="s">
        <v>1</v>
      </c>
      <c r="F96" s="184">
        <v>3</v>
      </c>
      <c r="G96" s="184" t="s">
        <v>558</v>
      </c>
      <c r="H96" t="s">
        <v>7</v>
      </c>
      <c r="I96" t="s">
        <v>952</v>
      </c>
      <c r="J96" t="s">
        <v>6</v>
      </c>
      <c r="K96" t="s">
        <v>948</v>
      </c>
      <c r="L96"/>
      <c r="M96" s="209">
        <v>8</v>
      </c>
      <c r="R96"/>
      <c r="S96"/>
      <c r="Y96"/>
      <c r="Z96"/>
      <c r="AF96"/>
      <c r="AG96"/>
    </row>
    <row r="97" spans="1:33">
      <c r="A97" s="153">
        <v>96</v>
      </c>
      <c r="B97" s="184" t="s">
        <v>295</v>
      </c>
      <c r="C97" s="184">
        <v>3</v>
      </c>
      <c r="D97" s="184" t="s">
        <v>953</v>
      </c>
      <c r="E97" s="184" t="s">
        <v>1</v>
      </c>
      <c r="F97" s="184">
        <v>2</v>
      </c>
      <c r="G97" s="184" t="s">
        <v>954</v>
      </c>
      <c r="H97" t="s">
        <v>7</v>
      </c>
      <c r="I97" t="s">
        <v>952</v>
      </c>
      <c r="J97" t="s">
        <v>6</v>
      </c>
      <c r="K97" t="s">
        <v>948</v>
      </c>
      <c r="L97"/>
      <c r="M97" s="209">
        <v>8</v>
      </c>
      <c r="R97"/>
      <c r="S97"/>
      <c r="Y97"/>
      <c r="Z97"/>
      <c r="AF97"/>
      <c r="AG97"/>
    </row>
    <row r="98" spans="1:33">
      <c r="A98" s="153">
        <v>97</v>
      </c>
      <c r="B98" s="184" t="s">
        <v>295</v>
      </c>
      <c r="C98" s="184">
        <v>3</v>
      </c>
      <c r="D98" s="184" t="s">
        <v>953</v>
      </c>
      <c r="E98" s="184" t="s">
        <v>1</v>
      </c>
      <c r="F98" s="184">
        <v>1</v>
      </c>
      <c r="G98" s="184" t="s">
        <v>954</v>
      </c>
      <c r="H98" t="s">
        <v>7</v>
      </c>
      <c r="I98" t="s">
        <v>952</v>
      </c>
      <c r="J98" t="s">
        <v>6</v>
      </c>
      <c r="K98" t="s">
        <v>948</v>
      </c>
      <c r="L98"/>
      <c r="M98" s="209">
        <v>8</v>
      </c>
    </row>
    <row r="99" spans="1:33">
      <c r="A99" s="153">
        <v>98</v>
      </c>
      <c r="B99" s="184" t="s">
        <v>295</v>
      </c>
      <c r="C99" s="184">
        <v>3</v>
      </c>
      <c r="D99" s="184" t="s">
        <v>953</v>
      </c>
      <c r="E99" s="184" t="s">
        <v>5</v>
      </c>
      <c r="F99" s="184">
        <v>5</v>
      </c>
      <c r="G99" s="184" t="s">
        <v>574</v>
      </c>
      <c r="H99" t="s">
        <v>955</v>
      </c>
      <c r="I99" t="s">
        <v>952</v>
      </c>
      <c r="J99" t="s">
        <v>6</v>
      </c>
      <c r="K99" t="s">
        <v>956</v>
      </c>
      <c r="L99"/>
      <c r="M99" s="209">
        <v>8</v>
      </c>
    </row>
    <row r="100" spans="1:33">
      <c r="A100" s="153">
        <v>99</v>
      </c>
      <c r="B100" s="184" t="s">
        <v>295</v>
      </c>
      <c r="C100" s="184">
        <v>3</v>
      </c>
      <c r="D100" s="184" t="s">
        <v>953</v>
      </c>
      <c r="E100" s="184" t="s">
        <v>5</v>
      </c>
      <c r="F100" s="184">
        <v>4</v>
      </c>
      <c r="G100" s="184" t="s">
        <v>957</v>
      </c>
      <c r="H100" t="s">
        <v>7</v>
      </c>
      <c r="I100" t="s">
        <v>952</v>
      </c>
      <c r="J100" t="s">
        <v>6</v>
      </c>
      <c r="K100" t="s">
        <v>948</v>
      </c>
      <c r="L100"/>
      <c r="M100" s="209">
        <v>8</v>
      </c>
    </row>
    <row r="101" spans="1:33">
      <c r="A101" s="153">
        <v>100</v>
      </c>
      <c r="B101" s="184" t="s">
        <v>296</v>
      </c>
      <c r="C101" s="184">
        <v>3</v>
      </c>
      <c r="D101" s="184" t="s">
        <v>953</v>
      </c>
      <c r="E101" s="184" t="s">
        <v>5</v>
      </c>
      <c r="F101" s="184">
        <v>2</v>
      </c>
      <c r="G101" s="184" t="s">
        <v>544</v>
      </c>
      <c r="H101" t="s">
        <v>7</v>
      </c>
      <c r="I101" t="s">
        <v>952</v>
      </c>
      <c r="J101" t="s">
        <v>6</v>
      </c>
      <c r="K101" t="s">
        <v>948</v>
      </c>
      <c r="L101"/>
      <c r="M101" s="209">
        <v>8</v>
      </c>
    </row>
    <row r="102" spans="1:33">
      <c r="A102" s="153">
        <v>101</v>
      </c>
      <c r="B102" s="184" t="s">
        <v>296</v>
      </c>
      <c r="C102" s="184">
        <v>3</v>
      </c>
      <c r="D102" s="184" t="s">
        <v>953</v>
      </c>
      <c r="E102" s="184" t="s">
        <v>5</v>
      </c>
      <c r="F102" s="184">
        <v>1</v>
      </c>
      <c r="G102" s="184" t="s">
        <v>544</v>
      </c>
      <c r="H102" t="s">
        <v>7</v>
      </c>
      <c r="I102" t="s">
        <v>952</v>
      </c>
      <c r="J102" t="s">
        <v>6</v>
      </c>
      <c r="K102" t="s">
        <v>956</v>
      </c>
      <c r="L102"/>
      <c r="M102" s="209">
        <v>8</v>
      </c>
    </row>
    <row r="103" spans="1:33">
      <c r="A103" s="153">
        <v>102</v>
      </c>
      <c r="B103" s="184" t="s">
        <v>296</v>
      </c>
      <c r="C103" s="184">
        <v>2</v>
      </c>
      <c r="D103" s="184" t="s">
        <v>881</v>
      </c>
      <c r="E103" s="184" t="s">
        <v>5</v>
      </c>
      <c r="F103" s="184">
        <v>4</v>
      </c>
      <c r="G103" s="184" t="s">
        <v>958</v>
      </c>
      <c r="H103" t="s">
        <v>554</v>
      </c>
      <c r="I103" t="s">
        <v>883</v>
      </c>
      <c r="J103"/>
      <c r="K103" t="s">
        <v>959</v>
      </c>
      <c r="L103"/>
      <c r="M103" s="209">
        <v>8</v>
      </c>
    </row>
    <row r="104" spans="1:33">
      <c r="A104" s="153">
        <v>103</v>
      </c>
      <c r="B104" s="184" t="s">
        <v>296</v>
      </c>
      <c r="C104" s="184">
        <v>6</v>
      </c>
      <c r="D104" s="184" t="s">
        <v>960</v>
      </c>
      <c r="E104" s="184" t="s">
        <v>1</v>
      </c>
      <c r="F104" s="184">
        <v>4</v>
      </c>
      <c r="G104" s="184" t="s">
        <v>410</v>
      </c>
      <c r="H104" t="s">
        <v>419</v>
      </c>
      <c r="I104" t="s">
        <v>920</v>
      </c>
      <c r="J104" t="s">
        <v>6</v>
      </c>
      <c r="K104" t="s">
        <v>961</v>
      </c>
      <c r="L104"/>
      <c r="M104" s="209">
        <v>8</v>
      </c>
    </row>
    <row r="105" spans="1:33">
      <c r="A105" s="153">
        <v>104</v>
      </c>
      <c r="B105" s="184" t="s">
        <v>296</v>
      </c>
      <c r="C105" s="184">
        <v>6</v>
      </c>
      <c r="D105" s="184" t="s">
        <v>960</v>
      </c>
      <c r="E105" s="184" t="s">
        <v>1</v>
      </c>
      <c r="F105" s="184">
        <v>3</v>
      </c>
      <c r="G105" s="184" t="s">
        <v>919</v>
      </c>
      <c r="H105" t="s">
        <v>7</v>
      </c>
      <c r="I105" t="s">
        <v>920</v>
      </c>
      <c r="J105" t="s">
        <v>6</v>
      </c>
      <c r="K105" t="s">
        <v>961</v>
      </c>
      <c r="L105"/>
      <c r="M105" s="209">
        <v>8</v>
      </c>
    </row>
    <row r="106" spans="1:33">
      <c r="A106" s="153">
        <v>105</v>
      </c>
      <c r="B106" s="184" t="s">
        <v>296</v>
      </c>
      <c r="C106" s="184">
        <v>6</v>
      </c>
      <c r="D106" s="184" t="s">
        <v>960</v>
      </c>
      <c r="E106" s="184" t="s">
        <v>1</v>
      </c>
      <c r="F106" s="184">
        <v>3</v>
      </c>
      <c r="G106" s="184" t="s">
        <v>962</v>
      </c>
      <c r="H106" t="s">
        <v>414</v>
      </c>
      <c r="I106" t="s">
        <v>559</v>
      </c>
      <c r="J106" t="s">
        <v>6</v>
      </c>
      <c r="K106" t="s">
        <v>963</v>
      </c>
      <c r="L106"/>
      <c r="M106" s="209">
        <v>8</v>
      </c>
    </row>
    <row r="107" spans="1:33">
      <c r="A107" s="153">
        <v>106</v>
      </c>
      <c r="B107" s="184" t="s">
        <v>296</v>
      </c>
      <c r="C107" s="184">
        <v>6</v>
      </c>
      <c r="D107" s="184" t="s">
        <v>960</v>
      </c>
      <c r="E107" s="184" t="s">
        <v>1</v>
      </c>
      <c r="F107" s="184">
        <v>2</v>
      </c>
      <c r="G107" s="184" t="s">
        <v>410</v>
      </c>
      <c r="H107" t="s">
        <v>7</v>
      </c>
      <c r="I107" t="s">
        <v>920</v>
      </c>
      <c r="J107" t="s">
        <v>6</v>
      </c>
      <c r="K107" t="s">
        <v>961</v>
      </c>
      <c r="L107"/>
      <c r="M107" s="209">
        <v>8</v>
      </c>
    </row>
    <row r="108" spans="1:33">
      <c r="A108" s="153">
        <v>107</v>
      </c>
      <c r="B108" s="184" t="s">
        <v>296</v>
      </c>
      <c r="C108" s="184">
        <v>6</v>
      </c>
      <c r="D108" s="184" t="s">
        <v>960</v>
      </c>
      <c r="E108" s="184" t="s">
        <v>1</v>
      </c>
      <c r="F108" s="184">
        <v>1</v>
      </c>
      <c r="G108" s="184" t="s">
        <v>410</v>
      </c>
      <c r="H108" t="s">
        <v>414</v>
      </c>
      <c r="I108" t="s">
        <v>559</v>
      </c>
      <c r="J108" t="s">
        <v>6</v>
      </c>
      <c r="K108" t="s">
        <v>964</v>
      </c>
      <c r="L108"/>
      <c r="M108" s="209">
        <v>8</v>
      </c>
    </row>
    <row r="109" spans="1:33">
      <c r="A109" s="153">
        <v>108</v>
      </c>
      <c r="B109" s="184" t="s">
        <v>296</v>
      </c>
      <c r="C109" s="184">
        <v>6</v>
      </c>
      <c r="D109" s="184" t="s">
        <v>960</v>
      </c>
      <c r="E109" s="184" t="s">
        <v>5</v>
      </c>
      <c r="F109" s="184">
        <v>4</v>
      </c>
      <c r="G109" s="184" t="s">
        <v>558</v>
      </c>
      <c r="H109" t="s">
        <v>905</v>
      </c>
      <c r="I109" t="s">
        <v>640</v>
      </c>
      <c r="J109" t="s">
        <v>6</v>
      </c>
      <c r="K109" t="s">
        <v>415</v>
      </c>
      <c r="L109"/>
      <c r="M109" s="209">
        <v>8</v>
      </c>
    </row>
    <row r="110" spans="1:33">
      <c r="A110" s="153">
        <v>109</v>
      </c>
      <c r="B110" s="184" t="s">
        <v>294</v>
      </c>
      <c r="C110" s="184">
        <v>5</v>
      </c>
      <c r="D110" s="184" t="s">
        <v>965</v>
      </c>
      <c r="E110" s="184" t="s">
        <v>1</v>
      </c>
      <c r="F110" s="184">
        <v>4</v>
      </c>
      <c r="G110" s="184" t="s">
        <v>908</v>
      </c>
      <c r="H110" t="s">
        <v>940</v>
      </c>
      <c r="I110" t="s">
        <v>909</v>
      </c>
      <c r="J110" t="s">
        <v>9</v>
      </c>
      <c r="K110" t="s">
        <v>911</v>
      </c>
      <c r="L110"/>
      <c r="M110" s="209">
        <v>8</v>
      </c>
    </row>
    <row r="111" spans="1:33">
      <c r="A111" s="153">
        <v>110</v>
      </c>
      <c r="B111" s="184" t="s">
        <v>294</v>
      </c>
      <c r="C111" s="184">
        <v>5</v>
      </c>
      <c r="D111" s="184" t="s">
        <v>965</v>
      </c>
      <c r="E111" s="184" t="s">
        <v>1</v>
      </c>
      <c r="F111" s="184">
        <v>3</v>
      </c>
      <c r="G111" s="184" t="s">
        <v>908</v>
      </c>
      <c r="H111" t="s">
        <v>8</v>
      </c>
      <c r="I111" t="s">
        <v>909</v>
      </c>
      <c r="J111" t="s">
        <v>9</v>
      </c>
      <c r="K111" t="s">
        <v>374</v>
      </c>
      <c r="L111"/>
      <c r="M111" s="209">
        <v>8</v>
      </c>
    </row>
    <row r="112" spans="1:33">
      <c r="A112" s="153">
        <v>111</v>
      </c>
      <c r="B112" s="184" t="s">
        <v>294</v>
      </c>
      <c r="C112" s="184">
        <v>5</v>
      </c>
      <c r="D112" s="184" t="s">
        <v>965</v>
      </c>
      <c r="E112" s="184" t="s">
        <v>1</v>
      </c>
      <c r="F112" s="184">
        <v>2</v>
      </c>
      <c r="G112" s="184" t="s">
        <v>908</v>
      </c>
      <c r="H112" t="s">
        <v>905</v>
      </c>
      <c r="I112" t="s">
        <v>909</v>
      </c>
      <c r="J112" t="s">
        <v>9</v>
      </c>
      <c r="K112" t="s">
        <v>911</v>
      </c>
      <c r="L112"/>
      <c r="M112" s="209">
        <v>8</v>
      </c>
    </row>
    <row r="113" spans="1:13">
      <c r="A113" s="153">
        <v>112</v>
      </c>
      <c r="B113" s="184" t="s">
        <v>294</v>
      </c>
      <c r="C113" s="184">
        <v>5</v>
      </c>
      <c r="D113" s="184" t="s">
        <v>965</v>
      </c>
      <c r="E113" s="184" t="s">
        <v>5</v>
      </c>
      <c r="F113" s="184">
        <v>1</v>
      </c>
      <c r="G113" s="184" t="s">
        <v>908</v>
      </c>
      <c r="H113" t="s">
        <v>7</v>
      </c>
      <c r="I113" t="s">
        <v>909</v>
      </c>
      <c r="J113" t="s">
        <v>9</v>
      </c>
      <c r="K113" t="s">
        <v>966</v>
      </c>
      <c r="L113"/>
      <c r="M113" s="209">
        <v>8</v>
      </c>
    </row>
    <row r="114" spans="1:13">
      <c r="A114" s="153">
        <v>113</v>
      </c>
      <c r="B114" s="184" t="s">
        <v>294</v>
      </c>
      <c r="C114" s="184">
        <v>4</v>
      </c>
      <c r="D114" s="184" t="s">
        <v>967</v>
      </c>
      <c r="E114" s="184" t="s">
        <v>1</v>
      </c>
      <c r="F114" s="184">
        <v>4</v>
      </c>
      <c r="G114" s="184" t="s">
        <v>587</v>
      </c>
      <c r="H114" t="s">
        <v>11</v>
      </c>
      <c r="I114" t="s">
        <v>242</v>
      </c>
      <c r="J114" t="s">
        <v>6</v>
      </c>
      <c r="K114" t="s">
        <v>968</v>
      </c>
      <c r="L114"/>
      <c r="M114" s="209">
        <v>8</v>
      </c>
    </row>
    <row r="115" spans="1:13">
      <c r="A115" s="153">
        <v>114</v>
      </c>
      <c r="B115" s="184" t="s">
        <v>296</v>
      </c>
      <c r="C115" s="184">
        <v>4</v>
      </c>
      <c r="D115" s="184" t="s">
        <v>967</v>
      </c>
      <c r="E115" s="184" t="s">
        <v>1</v>
      </c>
      <c r="F115" s="184">
        <v>4</v>
      </c>
      <c r="G115" s="184" t="s">
        <v>958</v>
      </c>
      <c r="H115" t="s">
        <v>945</v>
      </c>
      <c r="I115" t="s">
        <v>548</v>
      </c>
      <c r="J115" t="s">
        <v>6</v>
      </c>
      <c r="K115" t="s">
        <v>942</v>
      </c>
      <c r="L115"/>
      <c r="M115" s="209">
        <v>8</v>
      </c>
    </row>
    <row r="116" spans="1:13">
      <c r="A116" s="153">
        <v>115</v>
      </c>
      <c r="B116" s="184" t="s">
        <v>294</v>
      </c>
      <c r="C116" s="184">
        <v>4</v>
      </c>
      <c r="D116" s="184" t="s">
        <v>967</v>
      </c>
      <c r="E116" s="184" t="s">
        <v>1</v>
      </c>
      <c r="F116" s="184">
        <v>3</v>
      </c>
      <c r="G116" s="184" t="s">
        <v>587</v>
      </c>
      <c r="H116" t="s">
        <v>11</v>
      </c>
      <c r="I116" t="s">
        <v>242</v>
      </c>
      <c r="J116" t="s">
        <v>6</v>
      </c>
      <c r="K116" t="s">
        <v>968</v>
      </c>
      <c r="L116"/>
      <c r="M116" s="209">
        <v>8</v>
      </c>
    </row>
    <row r="117" spans="1:13">
      <c r="A117" s="153">
        <v>116</v>
      </c>
      <c r="B117" s="184" t="s">
        <v>296</v>
      </c>
      <c r="C117" s="184">
        <v>4</v>
      </c>
      <c r="D117" s="184" t="s">
        <v>967</v>
      </c>
      <c r="E117" s="184" t="s">
        <v>1</v>
      </c>
      <c r="F117" s="184">
        <v>3</v>
      </c>
      <c r="G117" s="184" t="s">
        <v>958</v>
      </c>
      <c r="H117" t="s">
        <v>945</v>
      </c>
      <c r="I117" t="s">
        <v>548</v>
      </c>
      <c r="J117" t="s">
        <v>6</v>
      </c>
      <c r="K117" t="s">
        <v>942</v>
      </c>
      <c r="L117"/>
      <c r="M117" s="209">
        <v>8</v>
      </c>
    </row>
    <row r="118" spans="1:13">
      <c r="A118" s="153">
        <v>117</v>
      </c>
      <c r="B118" s="184" t="s">
        <v>295</v>
      </c>
      <c r="C118" s="184">
        <v>4</v>
      </c>
      <c r="D118" s="184" t="s">
        <v>967</v>
      </c>
      <c r="E118" s="184" t="s">
        <v>1</v>
      </c>
      <c r="F118" s="184">
        <v>2</v>
      </c>
      <c r="G118" s="184" t="s">
        <v>943</v>
      </c>
      <c r="H118" t="s">
        <v>12</v>
      </c>
      <c r="I118" t="s">
        <v>567</v>
      </c>
      <c r="J118" t="s">
        <v>6</v>
      </c>
      <c r="K118" t="s">
        <v>912</v>
      </c>
      <c r="L118"/>
      <c r="M118" s="209">
        <v>8</v>
      </c>
    </row>
    <row r="119" spans="1:13">
      <c r="A119" s="153">
        <v>118</v>
      </c>
      <c r="B119" s="184" t="s">
        <v>295</v>
      </c>
      <c r="C119" s="184">
        <v>4</v>
      </c>
      <c r="D119" s="184" t="s">
        <v>967</v>
      </c>
      <c r="E119" s="184" t="s">
        <v>1</v>
      </c>
      <c r="F119" s="184">
        <v>2</v>
      </c>
      <c r="G119" s="184" t="s">
        <v>890</v>
      </c>
      <c r="H119" t="s">
        <v>547</v>
      </c>
      <c r="I119" t="s">
        <v>548</v>
      </c>
      <c r="J119" t="s">
        <v>6</v>
      </c>
      <c r="K119" t="s">
        <v>578</v>
      </c>
      <c r="L119"/>
      <c r="M119" s="209">
        <v>8</v>
      </c>
    </row>
    <row r="120" spans="1:13">
      <c r="A120" s="153">
        <v>119</v>
      </c>
      <c r="B120" s="184" t="s">
        <v>294</v>
      </c>
      <c r="C120" s="184">
        <v>4</v>
      </c>
      <c r="D120" s="184" t="s">
        <v>967</v>
      </c>
      <c r="E120" s="184" t="s">
        <v>1</v>
      </c>
      <c r="F120" s="184">
        <v>2</v>
      </c>
      <c r="G120" s="184" t="s">
        <v>586</v>
      </c>
      <c r="H120" t="s">
        <v>11</v>
      </c>
      <c r="I120" t="s">
        <v>242</v>
      </c>
      <c r="J120" t="s">
        <v>6</v>
      </c>
      <c r="K120" t="s">
        <v>565</v>
      </c>
      <c r="L120"/>
      <c r="M120" s="209">
        <v>8</v>
      </c>
    </row>
    <row r="121" spans="1:13">
      <c r="A121" s="153">
        <v>120</v>
      </c>
      <c r="B121" s="184" t="s">
        <v>295</v>
      </c>
      <c r="C121" s="184">
        <v>4</v>
      </c>
      <c r="D121" s="184" t="s">
        <v>967</v>
      </c>
      <c r="E121" s="184" t="s">
        <v>1</v>
      </c>
      <c r="F121" s="184">
        <v>1</v>
      </c>
      <c r="G121" s="184" t="s">
        <v>943</v>
      </c>
      <c r="H121" t="s">
        <v>12</v>
      </c>
      <c r="I121" t="s">
        <v>567</v>
      </c>
      <c r="J121" t="s">
        <v>6</v>
      </c>
      <c r="K121" t="s">
        <v>912</v>
      </c>
      <c r="L121"/>
      <c r="M121" s="209">
        <v>8</v>
      </c>
    </row>
    <row r="122" spans="1:13">
      <c r="A122" s="153">
        <v>121</v>
      </c>
      <c r="B122" s="184" t="s">
        <v>294</v>
      </c>
      <c r="C122" s="184">
        <v>4</v>
      </c>
      <c r="D122" s="184" t="s">
        <v>967</v>
      </c>
      <c r="E122" s="184" t="s">
        <v>1</v>
      </c>
      <c r="F122" s="184">
        <v>1</v>
      </c>
      <c r="G122" s="184" t="s">
        <v>586</v>
      </c>
      <c r="H122" t="s">
        <v>11</v>
      </c>
      <c r="I122" t="s">
        <v>242</v>
      </c>
      <c r="J122" t="s">
        <v>6</v>
      </c>
      <c r="K122" t="s">
        <v>565</v>
      </c>
      <c r="L122"/>
      <c r="M122" s="209">
        <v>8</v>
      </c>
    </row>
    <row r="123" spans="1:13">
      <c r="A123" s="153">
        <v>122</v>
      </c>
      <c r="B123" s="184" t="s">
        <v>294</v>
      </c>
      <c r="C123" s="184">
        <v>4</v>
      </c>
      <c r="D123" s="184" t="s">
        <v>967</v>
      </c>
      <c r="E123" s="184" t="s">
        <v>5</v>
      </c>
      <c r="F123" s="184">
        <v>4</v>
      </c>
      <c r="G123" s="184" t="s">
        <v>931</v>
      </c>
      <c r="H123" t="s">
        <v>11</v>
      </c>
      <c r="I123" t="s">
        <v>242</v>
      </c>
      <c r="J123" t="s">
        <v>6</v>
      </c>
      <c r="K123" t="s">
        <v>968</v>
      </c>
      <c r="L123"/>
      <c r="M123" s="209">
        <v>8</v>
      </c>
    </row>
    <row r="124" spans="1:13">
      <c r="A124" s="153">
        <v>123</v>
      </c>
      <c r="B124" s="184" t="s">
        <v>294</v>
      </c>
      <c r="C124" s="184">
        <v>4</v>
      </c>
      <c r="D124" s="184" t="s">
        <v>967</v>
      </c>
      <c r="E124" s="184" t="s">
        <v>5</v>
      </c>
      <c r="F124" s="184">
        <v>3</v>
      </c>
      <c r="G124" s="184" t="s">
        <v>931</v>
      </c>
      <c r="H124" t="s">
        <v>11</v>
      </c>
      <c r="I124" t="s">
        <v>242</v>
      </c>
      <c r="J124" t="s">
        <v>6</v>
      </c>
      <c r="K124" t="s">
        <v>968</v>
      </c>
      <c r="L124"/>
      <c r="M124" s="209">
        <v>8</v>
      </c>
    </row>
    <row r="125" spans="1:13">
      <c r="A125" s="153">
        <v>124</v>
      </c>
      <c r="B125" s="184" t="s">
        <v>294</v>
      </c>
      <c r="C125" s="184">
        <v>3</v>
      </c>
      <c r="D125" s="184" t="s">
        <v>884</v>
      </c>
      <c r="E125" s="184" t="s">
        <v>1</v>
      </c>
      <c r="F125" s="184">
        <v>2</v>
      </c>
      <c r="G125" s="184" t="s">
        <v>585</v>
      </c>
      <c r="H125" t="s">
        <v>11</v>
      </c>
      <c r="I125" t="s">
        <v>242</v>
      </c>
      <c r="J125" t="s">
        <v>6</v>
      </c>
      <c r="K125" t="s">
        <v>935</v>
      </c>
      <c r="L125"/>
      <c r="M125" s="209">
        <v>8</v>
      </c>
    </row>
    <row r="126" spans="1:13">
      <c r="A126" s="153">
        <v>125</v>
      </c>
      <c r="B126" s="184" t="s">
        <v>294</v>
      </c>
      <c r="C126" s="184">
        <v>3</v>
      </c>
      <c r="D126" s="184" t="s">
        <v>884</v>
      </c>
      <c r="E126" s="184" t="s">
        <v>1</v>
      </c>
      <c r="F126" s="184">
        <v>1</v>
      </c>
      <c r="G126" s="184" t="s">
        <v>585</v>
      </c>
      <c r="H126" t="s">
        <v>11</v>
      </c>
      <c r="I126" t="s">
        <v>242</v>
      </c>
      <c r="J126" t="s">
        <v>6</v>
      </c>
      <c r="K126" t="s">
        <v>935</v>
      </c>
      <c r="L126"/>
      <c r="M126" s="209">
        <v>8</v>
      </c>
    </row>
    <row r="127" spans="1:13">
      <c r="A127" s="153">
        <v>126</v>
      </c>
      <c r="B127" s="184" t="s">
        <v>294</v>
      </c>
      <c r="C127" s="184">
        <v>3</v>
      </c>
      <c r="D127" s="184" t="s">
        <v>884</v>
      </c>
      <c r="E127" s="184" t="s">
        <v>5</v>
      </c>
      <c r="F127" s="184">
        <v>4</v>
      </c>
      <c r="G127" s="184" t="s">
        <v>931</v>
      </c>
      <c r="H127" t="s">
        <v>11</v>
      </c>
      <c r="I127" t="s">
        <v>242</v>
      </c>
      <c r="J127" t="s">
        <v>6</v>
      </c>
      <c r="K127" t="s">
        <v>968</v>
      </c>
      <c r="L127"/>
      <c r="M127" s="209">
        <v>8</v>
      </c>
    </row>
    <row r="128" spans="1:13">
      <c r="A128" s="153">
        <v>127</v>
      </c>
      <c r="B128" s="184" t="s">
        <v>294</v>
      </c>
      <c r="C128" s="184">
        <v>3</v>
      </c>
      <c r="D128" s="184" t="s">
        <v>884</v>
      </c>
      <c r="E128" s="184" t="s">
        <v>5</v>
      </c>
      <c r="F128" s="184">
        <v>3</v>
      </c>
      <c r="G128" s="184" t="s">
        <v>931</v>
      </c>
      <c r="H128" t="s">
        <v>11</v>
      </c>
      <c r="I128" t="s">
        <v>242</v>
      </c>
      <c r="J128" t="s">
        <v>6</v>
      </c>
      <c r="K128" t="s">
        <v>968</v>
      </c>
      <c r="L128"/>
      <c r="M128" s="209">
        <v>8</v>
      </c>
    </row>
    <row r="129" spans="1:13">
      <c r="A129" s="153">
        <v>128</v>
      </c>
      <c r="B129" s="184" t="s">
        <v>296</v>
      </c>
      <c r="C129" s="184">
        <v>2</v>
      </c>
      <c r="D129" s="184" t="s">
        <v>969</v>
      </c>
      <c r="E129" s="184" t="s">
        <v>1</v>
      </c>
      <c r="F129" s="184">
        <v>4</v>
      </c>
      <c r="G129" s="184" t="s">
        <v>913</v>
      </c>
      <c r="H129" t="s">
        <v>7</v>
      </c>
      <c r="I129" t="s">
        <v>920</v>
      </c>
      <c r="J129" t="s">
        <v>6</v>
      </c>
      <c r="K129" t="s">
        <v>970</v>
      </c>
      <c r="L129"/>
      <c r="M129" s="209">
        <v>8</v>
      </c>
    </row>
    <row r="130" spans="1:13">
      <c r="A130" s="153">
        <v>129</v>
      </c>
      <c r="B130" s="184" t="s">
        <v>296</v>
      </c>
      <c r="C130" s="184">
        <v>2</v>
      </c>
      <c r="D130" s="184" t="s">
        <v>969</v>
      </c>
      <c r="E130" s="184" t="s">
        <v>1</v>
      </c>
      <c r="F130" s="184">
        <v>3</v>
      </c>
      <c r="G130" s="184" t="s">
        <v>913</v>
      </c>
      <c r="H130" t="s">
        <v>7</v>
      </c>
      <c r="I130" t="s">
        <v>920</v>
      </c>
      <c r="J130" t="s">
        <v>6</v>
      </c>
      <c r="K130" t="s">
        <v>971</v>
      </c>
      <c r="L130"/>
      <c r="M130" s="209">
        <v>8</v>
      </c>
    </row>
    <row r="131" spans="1:13">
      <c r="A131" s="153">
        <v>130</v>
      </c>
      <c r="B131" s="184" t="s">
        <v>296</v>
      </c>
      <c r="C131" s="184">
        <v>2</v>
      </c>
      <c r="D131" s="184" t="s">
        <v>969</v>
      </c>
      <c r="E131" s="184" t="s">
        <v>5</v>
      </c>
      <c r="F131" s="184">
        <v>2</v>
      </c>
      <c r="G131" s="184" t="s">
        <v>926</v>
      </c>
      <c r="H131" t="s">
        <v>12</v>
      </c>
      <c r="I131" t="s">
        <v>573</v>
      </c>
      <c r="J131" t="s">
        <v>6</v>
      </c>
      <c r="K131" t="s">
        <v>555</v>
      </c>
      <c r="L131"/>
      <c r="M131" s="209">
        <v>8</v>
      </c>
    </row>
    <row r="132" spans="1:13">
      <c r="A132" s="153">
        <v>131</v>
      </c>
      <c r="B132" s="184" t="s">
        <v>296</v>
      </c>
      <c r="C132" s="184">
        <v>2</v>
      </c>
      <c r="D132" s="184" t="s">
        <v>969</v>
      </c>
      <c r="E132" s="184" t="s">
        <v>5</v>
      </c>
      <c r="F132" s="184">
        <v>1</v>
      </c>
      <c r="G132" s="184" t="s">
        <v>926</v>
      </c>
      <c r="H132" t="s">
        <v>12</v>
      </c>
      <c r="I132" t="s">
        <v>573</v>
      </c>
      <c r="J132" t="s">
        <v>6</v>
      </c>
      <c r="K132" t="s">
        <v>555</v>
      </c>
      <c r="L132"/>
      <c r="M132" s="209">
        <v>8</v>
      </c>
    </row>
    <row r="133" spans="1:13">
      <c r="A133" s="153">
        <v>132</v>
      </c>
      <c r="B133" s="184" t="s">
        <v>296</v>
      </c>
      <c r="C133" s="184">
        <v>7</v>
      </c>
      <c r="D133" s="184" t="s">
        <v>972</v>
      </c>
      <c r="E133" s="184" t="s">
        <v>1</v>
      </c>
      <c r="F133" s="184">
        <v>3</v>
      </c>
      <c r="G133" s="184" t="s">
        <v>410</v>
      </c>
      <c r="H133" t="s">
        <v>412</v>
      </c>
      <c r="I133" t="s">
        <v>318</v>
      </c>
      <c r="J133" t="s">
        <v>6</v>
      </c>
      <c r="K133" t="s">
        <v>413</v>
      </c>
      <c r="L133"/>
      <c r="M133" s="209">
        <v>8</v>
      </c>
    </row>
    <row r="134" spans="1:13">
      <c r="A134" s="153">
        <v>133</v>
      </c>
      <c r="B134" s="184" t="s">
        <v>296</v>
      </c>
      <c r="C134" s="184">
        <v>6</v>
      </c>
      <c r="D134" s="184" t="s">
        <v>886</v>
      </c>
      <c r="E134" s="184" t="s">
        <v>1</v>
      </c>
      <c r="F134" s="184">
        <v>2</v>
      </c>
      <c r="G134" s="184" t="s">
        <v>558</v>
      </c>
      <c r="H134" t="s">
        <v>973</v>
      </c>
      <c r="I134" t="s">
        <v>887</v>
      </c>
      <c r="J134" t="s">
        <v>6</v>
      </c>
      <c r="K134" t="s">
        <v>548</v>
      </c>
      <c r="L134"/>
      <c r="M134" s="209">
        <v>8</v>
      </c>
    </row>
    <row r="135" spans="1:13">
      <c r="A135" s="153">
        <v>134</v>
      </c>
      <c r="B135" s="184" t="s">
        <v>296</v>
      </c>
      <c r="C135" s="184">
        <v>6</v>
      </c>
      <c r="D135" s="184" t="s">
        <v>886</v>
      </c>
      <c r="E135" s="184" t="s">
        <v>1</v>
      </c>
      <c r="F135" s="184">
        <v>1</v>
      </c>
      <c r="G135" s="184" t="s">
        <v>917</v>
      </c>
      <c r="H135" t="s">
        <v>973</v>
      </c>
      <c r="I135" t="s">
        <v>889</v>
      </c>
      <c r="J135" t="s">
        <v>6</v>
      </c>
      <c r="K135" t="s">
        <v>974</v>
      </c>
      <c r="L135"/>
      <c r="M135" s="209">
        <v>8</v>
      </c>
    </row>
    <row r="136" spans="1:13">
      <c r="A136" s="153">
        <v>135</v>
      </c>
      <c r="B136" s="184" t="s">
        <v>294</v>
      </c>
      <c r="C136" s="184">
        <v>6</v>
      </c>
      <c r="D136" s="184" t="s">
        <v>886</v>
      </c>
      <c r="E136" s="184" t="s">
        <v>5</v>
      </c>
      <c r="F136" s="184">
        <v>4</v>
      </c>
      <c r="G136" s="184" t="s">
        <v>975</v>
      </c>
      <c r="H136" t="s">
        <v>8</v>
      </c>
      <c r="I136" t="s">
        <v>411</v>
      </c>
      <c r="J136" t="s">
        <v>9</v>
      </c>
      <c r="K136" t="s">
        <v>910</v>
      </c>
      <c r="L136"/>
      <c r="M136" s="209">
        <v>8</v>
      </c>
    </row>
    <row r="137" spans="1:13">
      <c r="A137" s="153">
        <v>136</v>
      </c>
      <c r="B137" s="184" t="s">
        <v>294</v>
      </c>
      <c r="C137" s="184">
        <v>6</v>
      </c>
      <c r="D137" s="184" t="s">
        <v>886</v>
      </c>
      <c r="E137" s="184" t="s">
        <v>5</v>
      </c>
      <c r="F137" s="184">
        <v>3</v>
      </c>
      <c r="G137" s="184" t="s">
        <v>975</v>
      </c>
      <c r="H137" t="s">
        <v>8</v>
      </c>
      <c r="I137" t="s">
        <v>411</v>
      </c>
      <c r="J137" t="s">
        <v>9</v>
      </c>
      <c r="K137" t="s">
        <v>374</v>
      </c>
      <c r="L137"/>
      <c r="M137" s="209">
        <v>8</v>
      </c>
    </row>
    <row r="138" spans="1:13">
      <c r="A138" s="153">
        <v>137</v>
      </c>
      <c r="B138" s="184" t="s">
        <v>296</v>
      </c>
      <c r="C138" s="184">
        <v>6</v>
      </c>
      <c r="D138" s="184" t="s">
        <v>886</v>
      </c>
      <c r="E138" s="184" t="s">
        <v>5</v>
      </c>
      <c r="F138" s="184">
        <v>2</v>
      </c>
      <c r="G138" s="184" t="s">
        <v>544</v>
      </c>
      <c r="H138" t="s">
        <v>976</v>
      </c>
      <c r="I138" t="s">
        <v>887</v>
      </c>
      <c r="J138" t="s">
        <v>6</v>
      </c>
      <c r="K138" t="s">
        <v>548</v>
      </c>
      <c r="L138"/>
      <c r="M138" s="209">
        <v>8</v>
      </c>
    </row>
    <row r="139" spans="1:13">
      <c r="A139" s="153">
        <v>138</v>
      </c>
      <c r="B139" s="184" t="s">
        <v>294</v>
      </c>
      <c r="C139" s="184">
        <v>6</v>
      </c>
      <c r="D139" s="184" t="s">
        <v>886</v>
      </c>
      <c r="E139" s="184" t="s">
        <v>5</v>
      </c>
      <c r="F139" s="184">
        <v>2</v>
      </c>
      <c r="G139" s="184" t="s">
        <v>975</v>
      </c>
      <c r="H139" t="s">
        <v>7</v>
      </c>
      <c r="I139" t="s">
        <v>411</v>
      </c>
      <c r="J139" t="s">
        <v>9</v>
      </c>
      <c r="K139" t="s">
        <v>977</v>
      </c>
      <c r="L139"/>
      <c r="M139" s="209">
        <v>8</v>
      </c>
    </row>
    <row r="140" spans="1:13">
      <c r="A140" s="153">
        <v>139</v>
      </c>
      <c r="B140" s="184" t="s">
        <v>296</v>
      </c>
      <c r="C140" s="184">
        <v>6</v>
      </c>
      <c r="D140" s="184" t="s">
        <v>886</v>
      </c>
      <c r="E140" s="184" t="s">
        <v>5</v>
      </c>
      <c r="F140" s="184">
        <v>1</v>
      </c>
      <c r="G140" s="184" t="s">
        <v>882</v>
      </c>
      <c r="H140" t="s">
        <v>973</v>
      </c>
      <c r="I140" t="s">
        <v>887</v>
      </c>
      <c r="J140" t="s">
        <v>6</v>
      </c>
      <c r="K140" t="s">
        <v>548</v>
      </c>
      <c r="L140"/>
      <c r="M140" s="209">
        <v>8</v>
      </c>
    </row>
    <row r="141" spans="1:13">
      <c r="A141" s="153">
        <v>140</v>
      </c>
      <c r="B141" s="184" t="s">
        <v>294</v>
      </c>
      <c r="C141" s="184">
        <v>5</v>
      </c>
      <c r="D141" s="184" t="s">
        <v>978</v>
      </c>
      <c r="E141" s="184" t="s">
        <v>1</v>
      </c>
      <c r="F141" s="184">
        <v>4</v>
      </c>
      <c r="G141" s="184" t="s">
        <v>975</v>
      </c>
      <c r="H141" t="s">
        <v>8</v>
      </c>
      <c r="I141" t="s">
        <v>411</v>
      </c>
      <c r="J141" t="s">
        <v>9</v>
      </c>
      <c r="K141" t="s">
        <v>977</v>
      </c>
      <c r="L141"/>
      <c r="M141" s="209">
        <v>8</v>
      </c>
    </row>
    <row r="142" spans="1:13">
      <c r="A142" s="153">
        <v>141</v>
      </c>
      <c r="B142" s="184" t="s">
        <v>294</v>
      </c>
      <c r="C142" s="184">
        <v>5</v>
      </c>
      <c r="D142" s="184" t="s">
        <v>978</v>
      </c>
      <c r="E142" s="184" t="s">
        <v>1</v>
      </c>
      <c r="F142" s="184">
        <v>3</v>
      </c>
      <c r="G142" s="184" t="s">
        <v>975</v>
      </c>
      <c r="H142" t="s">
        <v>8</v>
      </c>
      <c r="I142" t="s">
        <v>411</v>
      </c>
      <c r="J142" t="s">
        <v>9</v>
      </c>
      <c r="K142" t="s">
        <v>977</v>
      </c>
      <c r="L142"/>
      <c r="M142" s="209">
        <v>8</v>
      </c>
    </row>
    <row r="143" spans="1:13">
      <c r="A143" s="153">
        <v>142</v>
      </c>
      <c r="B143" s="184" t="s">
        <v>294</v>
      </c>
      <c r="C143" s="184">
        <v>5</v>
      </c>
      <c r="D143" s="184" t="s">
        <v>978</v>
      </c>
      <c r="E143" s="184" t="s">
        <v>1</v>
      </c>
      <c r="F143" s="184">
        <v>1</v>
      </c>
      <c r="G143" s="184" t="s">
        <v>975</v>
      </c>
      <c r="H143" t="s">
        <v>7</v>
      </c>
      <c r="I143" t="s">
        <v>411</v>
      </c>
      <c r="J143" t="s">
        <v>9</v>
      </c>
      <c r="K143" t="s">
        <v>977</v>
      </c>
      <c r="L143"/>
      <c r="M143" s="209">
        <v>8</v>
      </c>
    </row>
    <row r="144" spans="1:13">
      <c r="A144" s="153">
        <v>143</v>
      </c>
      <c r="B144" s="184" t="s">
        <v>294</v>
      </c>
      <c r="C144" s="184">
        <v>5</v>
      </c>
      <c r="D144" s="184" t="s">
        <v>978</v>
      </c>
      <c r="E144" s="184" t="s">
        <v>5</v>
      </c>
      <c r="F144" s="184">
        <v>2</v>
      </c>
      <c r="G144" s="184" t="s">
        <v>975</v>
      </c>
      <c r="H144" t="s">
        <v>8</v>
      </c>
      <c r="I144" t="s">
        <v>411</v>
      </c>
      <c r="J144" t="s">
        <v>9</v>
      </c>
      <c r="K144" t="s">
        <v>911</v>
      </c>
      <c r="L144"/>
      <c r="M144" s="209">
        <v>8</v>
      </c>
    </row>
    <row r="145" spans="1:13">
      <c r="A145" s="153">
        <v>144</v>
      </c>
      <c r="B145" s="184" t="s">
        <v>294</v>
      </c>
      <c r="C145" s="184">
        <v>5</v>
      </c>
      <c r="D145" s="184" t="s">
        <v>978</v>
      </c>
      <c r="E145" s="184" t="s">
        <v>5</v>
      </c>
      <c r="F145" s="184">
        <v>1</v>
      </c>
      <c r="G145" s="184" t="s">
        <v>975</v>
      </c>
      <c r="H145" t="s">
        <v>8</v>
      </c>
      <c r="I145" t="s">
        <v>411</v>
      </c>
      <c r="J145" t="s">
        <v>9</v>
      </c>
      <c r="K145" t="s">
        <v>911</v>
      </c>
      <c r="L145"/>
      <c r="M145" s="209">
        <v>8</v>
      </c>
    </row>
    <row r="146" spans="1:13">
      <c r="A146">
        <v>1</v>
      </c>
      <c r="B146"/>
      <c r="C146">
        <v>2</v>
      </c>
      <c r="D146" t="s">
        <v>857</v>
      </c>
      <c r="E146" t="s">
        <v>1</v>
      </c>
      <c r="F146">
        <v>5</v>
      </c>
      <c r="G146" t="s">
        <v>858</v>
      </c>
      <c r="H146" t="s">
        <v>859</v>
      </c>
      <c r="I146" t="s">
        <v>860</v>
      </c>
      <c r="J146" t="s">
        <v>6</v>
      </c>
      <c r="L146" s="134">
        <v>1</v>
      </c>
      <c r="M146" s="209">
        <v>9</v>
      </c>
    </row>
    <row r="147" spans="1:13">
      <c r="A147">
        <v>2</v>
      </c>
      <c r="B147"/>
      <c r="C147">
        <v>2</v>
      </c>
      <c r="D147" t="s">
        <v>857</v>
      </c>
      <c r="E147" t="s">
        <v>1</v>
      </c>
      <c r="F147">
        <v>4</v>
      </c>
      <c r="G147" t="s">
        <v>861</v>
      </c>
      <c r="H147" t="s">
        <v>862</v>
      </c>
      <c r="I147" t="s">
        <v>863</v>
      </c>
      <c r="J147" t="s">
        <v>6</v>
      </c>
      <c r="L147" s="134">
        <v>1</v>
      </c>
      <c r="M147" s="209">
        <v>9</v>
      </c>
    </row>
    <row r="148" spans="1:13">
      <c r="A148">
        <v>3</v>
      </c>
      <c r="B148"/>
      <c r="C148">
        <v>2</v>
      </c>
      <c r="D148" t="s">
        <v>857</v>
      </c>
      <c r="E148" t="s">
        <v>1</v>
      </c>
      <c r="F148">
        <v>4</v>
      </c>
      <c r="G148" t="s">
        <v>864</v>
      </c>
      <c r="H148" t="s">
        <v>862</v>
      </c>
      <c r="I148" t="s">
        <v>865</v>
      </c>
      <c r="J148" t="s">
        <v>6</v>
      </c>
      <c r="L148" s="134">
        <v>1</v>
      </c>
      <c r="M148" s="209">
        <v>9</v>
      </c>
    </row>
    <row r="149" spans="1:13">
      <c r="A149">
        <v>4</v>
      </c>
      <c r="B149" t="s">
        <v>295</v>
      </c>
      <c r="C149">
        <v>6</v>
      </c>
      <c r="D149" t="s">
        <v>866</v>
      </c>
      <c r="E149" t="s">
        <v>1</v>
      </c>
      <c r="F149">
        <v>3</v>
      </c>
      <c r="G149" t="s">
        <v>867</v>
      </c>
      <c r="H149" t="s">
        <v>554</v>
      </c>
      <c r="I149" t="s">
        <v>868</v>
      </c>
      <c r="J149" t="s">
        <v>6</v>
      </c>
      <c r="L149" s="134">
        <v>1</v>
      </c>
      <c r="M149" s="209">
        <v>9</v>
      </c>
    </row>
    <row r="150" spans="1:13">
      <c r="A150">
        <v>5</v>
      </c>
      <c r="B150" t="s">
        <v>296</v>
      </c>
      <c r="C150">
        <v>5</v>
      </c>
      <c r="D150" t="s">
        <v>869</v>
      </c>
      <c r="E150" t="s">
        <v>1</v>
      </c>
      <c r="F150">
        <v>3</v>
      </c>
      <c r="G150" t="s">
        <v>557</v>
      </c>
      <c r="H150" t="s">
        <v>554</v>
      </c>
      <c r="I150" t="s">
        <v>868</v>
      </c>
      <c r="J150" t="s">
        <v>6</v>
      </c>
      <c r="L150" s="134">
        <v>1</v>
      </c>
      <c r="M150" s="209">
        <v>9</v>
      </c>
    </row>
    <row r="151" spans="1:13">
      <c r="A151">
        <v>6</v>
      </c>
      <c r="B151"/>
      <c r="C151">
        <v>4</v>
      </c>
      <c r="D151" t="s">
        <v>870</v>
      </c>
      <c r="E151" t="s">
        <v>1</v>
      </c>
      <c r="F151">
        <v>5</v>
      </c>
      <c r="G151" t="s">
        <v>858</v>
      </c>
      <c r="H151" t="s">
        <v>859</v>
      </c>
      <c r="I151" t="s">
        <v>860</v>
      </c>
      <c r="J151" t="s">
        <v>6</v>
      </c>
      <c r="L151" s="134">
        <v>1</v>
      </c>
      <c r="M151" s="209">
        <v>9</v>
      </c>
    </row>
    <row r="152" spans="1:13">
      <c r="A152">
        <v>7</v>
      </c>
      <c r="B152"/>
      <c r="C152">
        <v>4</v>
      </c>
      <c r="D152" t="s">
        <v>870</v>
      </c>
      <c r="E152" t="s">
        <v>1</v>
      </c>
      <c r="F152">
        <v>4</v>
      </c>
      <c r="G152" t="s">
        <v>871</v>
      </c>
      <c r="H152" t="s">
        <v>872</v>
      </c>
      <c r="I152" t="s">
        <v>873</v>
      </c>
      <c r="J152" t="s">
        <v>6</v>
      </c>
      <c r="L152" s="134">
        <v>1</v>
      </c>
      <c r="M152" s="209">
        <v>9</v>
      </c>
    </row>
    <row r="153" spans="1:13">
      <c r="A153">
        <v>8</v>
      </c>
      <c r="B153"/>
      <c r="C153">
        <v>4</v>
      </c>
      <c r="D153" t="s">
        <v>870</v>
      </c>
      <c r="E153" t="s">
        <v>1</v>
      </c>
      <c r="F153">
        <v>4</v>
      </c>
      <c r="G153" t="s">
        <v>861</v>
      </c>
      <c r="H153" t="s">
        <v>862</v>
      </c>
      <c r="I153" t="s">
        <v>863</v>
      </c>
      <c r="J153" t="s">
        <v>6</v>
      </c>
      <c r="L153" s="134">
        <v>1</v>
      </c>
      <c r="M153" s="209">
        <v>9</v>
      </c>
    </row>
    <row r="154" spans="1:13">
      <c r="A154">
        <v>9</v>
      </c>
      <c r="B154"/>
      <c r="C154">
        <v>4</v>
      </c>
      <c r="D154" t="s">
        <v>870</v>
      </c>
      <c r="E154" t="s">
        <v>1</v>
      </c>
      <c r="F154">
        <v>4</v>
      </c>
      <c r="G154" t="s">
        <v>864</v>
      </c>
      <c r="H154" t="s">
        <v>862</v>
      </c>
      <c r="I154" t="s">
        <v>865</v>
      </c>
      <c r="J154" t="s">
        <v>6</v>
      </c>
      <c r="L154" s="134">
        <v>1</v>
      </c>
      <c r="M154" s="209">
        <v>9</v>
      </c>
    </row>
    <row r="155" spans="1:13">
      <c r="A155">
        <v>10</v>
      </c>
      <c r="B155"/>
      <c r="C155">
        <v>3</v>
      </c>
      <c r="D155" t="s">
        <v>874</v>
      </c>
      <c r="E155" t="s">
        <v>1</v>
      </c>
      <c r="F155">
        <v>5</v>
      </c>
      <c r="G155" t="s">
        <v>875</v>
      </c>
      <c r="H155" t="s">
        <v>862</v>
      </c>
      <c r="I155" t="s">
        <v>865</v>
      </c>
      <c r="J155" t="s">
        <v>6</v>
      </c>
      <c r="L155" s="134">
        <v>1</v>
      </c>
      <c r="M155" s="209">
        <v>9</v>
      </c>
    </row>
    <row r="156" spans="1:13">
      <c r="A156">
        <v>11</v>
      </c>
      <c r="B156"/>
      <c r="C156">
        <v>3</v>
      </c>
      <c r="D156" t="s">
        <v>874</v>
      </c>
      <c r="E156" t="s">
        <v>1</v>
      </c>
      <c r="F156">
        <v>5</v>
      </c>
      <c r="G156" t="s">
        <v>876</v>
      </c>
      <c r="H156" t="s">
        <v>877</v>
      </c>
      <c r="I156" t="s">
        <v>878</v>
      </c>
      <c r="J156" t="s">
        <v>6</v>
      </c>
      <c r="L156" s="134">
        <v>1</v>
      </c>
      <c r="M156" s="209">
        <v>9</v>
      </c>
    </row>
    <row r="157" spans="1:13">
      <c r="A157">
        <v>12</v>
      </c>
      <c r="B157"/>
      <c r="C157">
        <v>3</v>
      </c>
      <c r="D157" t="s">
        <v>874</v>
      </c>
      <c r="E157" t="s">
        <v>1</v>
      </c>
      <c r="F157">
        <v>4</v>
      </c>
      <c r="G157" t="s">
        <v>879</v>
      </c>
      <c r="H157" t="s">
        <v>877</v>
      </c>
      <c r="I157" t="s">
        <v>860</v>
      </c>
      <c r="J157" t="s">
        <v>6</v>
      </c>
      <c r="L157" s="134">
        <v>1</v>
      </c>
      <c r="M157" s="209">
        <v>9</v>
      </c>
    </row>
    <row r="158" spans="1:13">
      <c r="A158">
        <v>13</v>
      </c>
      <c r="B158"/>
      <c r="C158">
        <v>3</v>
      </c>
      <c r="D158" t="s">
        <v>874</v>
      </c>
      <c r="E158" t="s">
        <v>1</v>
      </c>
      <c r="F158">
        <v>4</v>
      </c>
      <c r="G158" t="s">
        <v>880</v>
      </c>
      <c r="H158" t="s">
        <v>862</v>
      </c>
      <c r="I158" t="s">
        <v>863</v>
      </c>
      <c r="J158" t="s">
        <v>6</v>
      </c>
      <c r="L158" s="134">
        <v>1</v>
      </c>
      <c r="M158" s="209">
        <v>9</v>
      </c>
    </row>
    <row r="159" spans="1:13">
      <c r="A159">
        <v>14</v>
      </c>
      <c r="B159" t="s">
        <v>296</v>
      </c>
      <c r="C159">
        <v>2</v>
      </c>
      <c r="D159" t="s">
        <v>881</v>
      </c>
      <c r="E159" t="s">
        <v>5</v>
      </c>
      <c r="F159">
        <v>2</v>
      </c>
      <c r="G159" t="s">
        <v>882</v>
      </c>
      <c r="H159" t="s">
        <v>554</v>
      </c>
      <c r="I159" t="s">
        <v>883</v>
      </c>
      <c r="J159"/>
      <c r="L159" s="134">
        <v>1</v>
      </c>
      <c r="M159" s="209">
        <v>9</v>
      </c>
    </row>
    <row r="160" spans="1:13">
      <c r="A160">
        <v>15</v>
      </c>
      <c r="B160" t="s">
        <v>296</v>
      </c>
      <c r="C160">
        <v>2</v>
      </c>
      <c r="D160" t="s">
        <v>881</v>
      </c>
      <c r="E160" t="s">
        <v>5</v>
      </c>
      <c r="F160">
        <v>1</v>
      </c>
      <c r="G160" t="s">
        <v>553</v>
      </c>
      <c r="H160" t="s">
        <v>554</v>
      </c>
      <c r="I160" t="s">
        <v>883</v>
      </c>
      <c r="J160"/>
      <c r="L160" s="134">
        <v>1</v>
      </c>
      <c r="M160" s="209">
        <v>9</v>
      </c>
    </row>
    <row r="161" spans="1:13">
      <c r="A161">
        <v>16</v>
      </c>
      <c r="B161"/>
      <c r="C161">
        <v>3</v>
      </c>
      <c r="D161" t="s">
        <v>884</v>
      </c>
      <c r="E161" t="s">
        <v>1</v>
      </c>
      <c r="F161">
        <v>4</v>
      </c>
      <c r="G161" t="s">
        <v>885</v>
      </c>
      <c r="H161" t="s">
        <v>2</v>
      </c>
      <c r="I161" t="s">
        <v>479</v>
      </c>
      <c r="J161" t="s">
        <v>418</v>
      </c>
      <c r="L161" s="134">
        <v>1</v>
      </c>
      <c r="M161" s="209">
        <v>9</v>
      </c>
    </row>
    <row r="162" spans="1:13">
      <c r="A162">
        <v>17</v>
      </c>
      <c r="B162" t="s">
        <v>295</v>
      </c>
      <c r="C162">
        <v>6</v>
      </c>
      <c r="D162" t="s">
        <v>886</v>
      </c>
      <c r="E162" t="s">
        <v>1</v>
      </c>
      <c r="F162">
        <v>4</v>
      </c>
      <c r="G162" t="s">
        <v>561</v>
      </c>
      <c r="H162" t="s">
        <v>419</v>
      </c>
      <c r="I162" t="s">
        <v>887</v>
      </c>
      <c r="J162" t="s">
        <v>6</v>
      </c>
      <c r="L162" s="134">
        <v>1</v>
      </c>
      <c r="M162" s="209">
        <v>9</v>
      </c>
    </row>
    <row r="163" spans="1:13">
      <c r="A163">
        <v>18</v>
      </c>
      <c r="B163" t="s">
        <v>295</v>
      </c>
      <c r="C163">
        <v>6</v>
      </c>
      <c r="D163" t="s">
        <v>886</v>
      </c>
      <c r="E163" t="s">
        <v>1</v>
      </c>
      <c r="F163">
        <v>4</v>
      </c>
      <c r="G163" t="s">
        <v>888</v>
      </c>
      <c r="H163" t="s">
        <v>419</v>
      </c>
      <c r="I163" t="s">
        <v>889</v>
      </c>
      <c r="J163" t="s">
        <v>6</v>
      </c>
      <c r="L163" s="134">
        <v>1</v>
      </c>
      <c r="M163" s="209">
        <v>9</v>
      </c>
    </row>
    <row r="164" spans="1:13">
      <c r="A164">
        <v>19</v>
      </c>
      <c r="B164" t="s">
        <v>295</v>
      </c>
      <c r="C164">
        <v>6</v>
      </c>
      <c r="D164" t="s">
        <v>886</v>
      </c>
      <c r="E164" t="s">
        <v>1</v>
      </c>
      <c r="F164">
        <v>3</v>
      </c>
      <c r="G164" t="s">
        <v>890</v>
      </c>
      <c r="H164" t="s">
        <v>891</v>
      </c>
      <c r="I164" t="s">
        <v>889</v>
      </c>
      <c r="J164" t="s">
        <v>6</v>
      </c>
      <c r="L164" s="134">
        <v>1</v>
      </c>
      <c r="M164" s="209">
        <v>9</v>
      </c>
    </row>
    <row r="165" spans="1:13">
      <c r="A165">
        <v>1</v>
      </c>
      <c r="B165" t="s">
        <v>295</v>
      </c>
      <c r="C165">
        <v>4</v>
      </c>
      <c r="D165" t="s">
        <v>892</v>
      </c>
      <c r="E165" t="s">
        <v>1</v>
      </c>
      <c r="F165">
        <v>4</v>
      </c>
      <c r="G165" t="s">
        <v>893</v>
      </c>
      <c r="H165" t="s">
        <v>156</v>
      </c>
      <c r="I165" t="s">
        <v>545</v>
      </c>
      <c r="J165" t="s">
        <v>3</v>
      </c>
      <c r="K165" t="s">
        <v>158</v>
      </c>
      <c r="M165" s="209">
        <v>9</v>
      </c>
    </row>
    <row r="166" spans="1:13">
      <c r="A166">
        <v>2</v>
      </c>
      <c r="B166" t="s">
        <v>294</v>
      </c>
      <c r="C166">
        <v>4</v>
      </c>
      <c r="D166" t="s">
        <v>892</v>
      </c>
      <c r="E166" t="s">
        <v>1</v>
      </c>
      <c r="F166">
        <v>4</v>
      </c>
      <c r="G166" t="s">
        <v>894</v>
      </c>
      <c r="H166" t="s">
        <v>13</v>
      </c>
      <c r="I166" t="s">
        <v>416</v>
      </c>
      <c r="J166" t="s">
        <v>9</v>
      </c>
      <c r="K166" t="s">
        <v>564</v>
      </c>
      <c r="M166" s="209">
        <v>9</v>
      </c>
    </row>
    <row r="167" spans="1:13">
      <c r="A167">
        <v>3</v>
      </c>
      <c r="B167" t="s">
        <v>294</v>
      </c>
      <c r="C167">
        <v>4</v>
      </c>
      <c r="D167" t="s">
        <v>892</v>
      </c>
      <c r="E167" t="s">
        <v>1</v>
      </c>
      <c r="F167">
        <v>4</v>
      </c>
      <c r="G167" t="s">
        <v>895</v>
      </c>
      <c r="H167" t="s">
        <v>8</v>
      </c>
      <c r="I167" t="s">
        <v>896</v>
      </c>
      <c r="J167" t="s">
        <v>9</v>
      </c>
      <c r="K167" t="s">
        <v>897</v>
      </c>
      <c r="M167" s="209">
        <v>9</v>
      </c>
    </row>
    <row r="168" spans="1:13">
      <c r="A168">
        <v>4</v>
      </c>
      <c r="B168" t="s">
        <v>295</v>
      </c>
      <c r="C168">
        <v>4</v>
      </c>
      <c r="D168" t="s">
        <v>892</v>
      </c>
      <c r="E168" t="s">
        <v>1</v>
      </c>
      <c r="F168">
        <v>3</v>
      </c>
      <c r="G168" t="s">
        <v>893</v>
      </c>
      <c r="H168" t="s">
        <v>156</v>
      </c>
      <c r="I168" t="s">
        <v>545</v>
      </c>
      <c r="J168" t="s">
        <v>3</v>
      </c>
      <c r="K168" t="s">
        <v>158</v>
      </c>
      <c r="M168" s="209">
        <v>9</v>
      </c>
    </row>
    <row r="169" spans="1:13">
      <c r="A169">
        <v>5</v>
      </c>
      <c r="B169" t="s">
        <v>294</v>
      </c>
      <c r="C169">
        <v>4</v>
      </c>
      <c r="D169" t="s">
        <v>892</v>
      </c>
      <c r="E169" t="s">
        <v>1</v>
      </c>
      <c r="F169">
        <v>3</v>
      </c>
      <c r="G169" t="s">
        <v>894</v>
      </c>
      <c r="H169" t="s">
        <v>7</v>
      </c>
      <c r="I169" t="s">
        <v>416</v>
      </c>
      <c r="J169" t="s">
        <v>9</v>
      </c>
      <c r="K169" t="s">
        <v>564</v>
      </c>
      <c r="M169" s="209">
        <v>9</v>
      </c>
    </row>
    <row r="170" spans="1:13">
      <c r="A170">
        <v>6</v>
      </c>
      <c r="B170" t="s">
        <v>294</v>
      </c>
      <c r="C170">
        <v>4</v>
      </c>
      <c r="D170" t="s">
        <v>892</v>
      </c>
      <c r="E170" t="s">
        <v>1</v>
      </c>
      <c r="F170">
        <v>3</v>
      </c>
      <c r="G170" t="s">
        <v>895</v>
      </c>
      <c r="H170" t="s">
        <v>8</v>
      </c>
      <c r="I170" t="s">
        <v>896</v>
      </c>
      <c r="J170" t="s">
        <v>9</v>
      </c>
      <c r="K170" t="s">
        <v>898</v>
      </c>
      <c r="M170" s="209">
        <v>9</v>
      </c>
    </row>
    <row r="171" spans="1:13">
      <c r="A171">
        <v>7</v>
      </c>
      <c r="B171" t="s">
        <v>294</v>
      </c>
      <c r="C171">
        <v>4</v>
      </c>
      <c r="D171" t="s">
        <v>892</v>
      </c>
      <c r="E171" t="s">
        <v>1</v>
      </c>
      <c r="F171">
        <v>2</v>
      </c>
      <c r="G171" t="s">
        <v>894</v>
      </c>
      <c r="H171" t="s">
        <v>8</v>
      </c>
      <c r="I171" t="s">
        <v>416</v>
      </c>
      <c r="J171" t="s">
        <v>9</v>
      </c>
      <c r="K171" t="s">
        <v>241</v>
      </c>
      <c r="M171" s="209">
        <v>9</v>
      </c>
    </row>
    <row r="172" spans="1:13">
      <c r="A172">
        <v>8</v>
      </c>
      <c r="B172" t="s">
        <v>294</v>
      </c>
      <c r="C172">
        <v>4</v>
      </c>
      <c r="D172" t="s">
        <v>892</v>
      </c>
      <c r="E172" t="s">
        <v>1</v>
      </c>
      <c r="F172">
        <v>1</v>
      </c>
      <c r="G172" t="s">
        <v>894</v>
      </c>
      <c r="H172" t="s">
        <v>8</v>
      </c>
      <c r="I172" t="s">
        <v>416</v>
      </c>
      <c r="J172" t="s">
        <v>9</v>
      </c>
      <c r="K172" t="s">
        <v>241</v>
      </c>
      <c r="M172" s="209">
        <v>9</v>
      </c>
    </row>
    <row r="173" spans="1:13">
      <c r="A173">
        <v>9</v>
      </c>
      <c r="B173" t="s">
        <v>294</v>
      </c>
      <c r="C173">
        <v>4</v>
      </c>
      <c r="D173" t="s">
        <v>892</v>
      </c>
      <c r="E173" t="s">
        <v>1</v>
      </c>
      <c r="F173">
        <v>1</v>
      </c>
      <c r="G173" t="s">
        <v>895</v>
      </c>
      <c r="H173" t="s">
        <v>7</v>
      </c>
      <c r="I173" t="s">
        <v>896</v>
      </c>
      <c r="J173" t="s">
        <v>9</v>
      </c>
      <c r="K173" t="s">
        <v>899</v>
      </c>
      <c r="M173" s="209">
        <v>9</v>
      </c>
    </row>
    <row r="174" spans="1:13">
      <c r="A174">
        <v>10</v>
      </c>
      <c r="B174" t="s">
        <v>296</v>
      </c>
      <c r="C174">
        <v>4</v>
      </c>
      <c r="D174" t="s">
        <v>892</v>
      </c>
      <c r="E174" t="s">
        <v>5</v>
      </c>
      <c r="F174">
        <v>4</v>
      </c>
      <c r="G174" t="s">
        <v>377</v>
      </c>
      <c r="H174" t="s">
        <v>12</v>
      </c>
      <c r="I174" t="s">
        <v>900</v>
      </c>
      <c r="J174" t="s">
        <v>6</v>
      </c>
      <c r="K174" t="s">
        <v>568</v>
      </c>
      <c r="M174" s="209">
        <v>9</v>
      </c>
    </row>
    <row r="175" spans="1:13">
      <c r="A175">
        <v>11</v>
      </c>
      <c r="B175" t="s">
        <v>296</v>
      </c>
      <c r="C175">
        <v>4</v>
      </c>
      <c r="D175" t="s">
        <v>892</v>
      </c>
      <c r="E175" t="s">
        <v>5</v>
      </c>
      <c r="F175">
        <v>3</v>
      </c>
      <c r="G175" t="s">
        <v>377</v>
      </c>
      <c r="H175" t="s">
        <v>12</v>
      </c>
      <c r="I175" t="s">
        <v>900</v>
      </c>
      <c r="J175" t="s">
        <v>6</v>
      </c>
      <c r="K175" t="s">
        <v>568</v>
      </c>
      <c r="M175" s="209">
        <v>9</v>
      </c>
    </row>
    <row r="176" spans="1:13">
      <c r="A176">
        <v>12</v>
      </c>
      <c r="B176" t="s">
        <v>296</v>
      </c>
      <c r="C176">
        <v>4</v>
      </c>
      <c r="D176" t="s">
        <v>892</v>
      </c>
      <c r="E176" t="s">
        <v>5</v>
      </c>
      <c r="F176">
        <v>2</v>
      </c>
      <c r="G176" t="s">
        <v>901</v>
      </c>
      <c r="H176" t="s">
        <v>12</v>
      </c>
      <c r="I176" t="s">
        <v>900</v>
      </c>
      <c r="J176" t="s">
        <v>6</v>
      </c>
      <c r="K176" t="s">
        <v>568</v>
      </c>
      <c r="M176" s="209">
        <v>9</v>
      </c>
    </row>
    <row r="177" spans="1:13">
      <c r="A177">
        <v>13</v>
      </c>
      <c r="B177" t="s">
        <v>296</v>
      </c>
      <c r="C177">
        <v>4</v>
      </c>
      <c r="D177" t="s">
        <v>892</v>
      </c>
      <c r="E177" t="s">
        <v>5</v>
      </c>
      <c r="F177">
        <v>1</v>
      </c>
      <c r="G177" t="s">
        <v>901</v>
      </c>
      <c r="H177" t="s">
        <v>12</v>
      </c>
      <c r="I177" t="s">
        <v>900</v>
      </c>
      <c r="J177" t="s">
        <v>6</v>
      </c>
      <c r="K177" t="s">
        <v>568</v>
      </c>
      <c r="M177" s="209">
        <v>9</v>
      </c>
    </row>
    <row r="178" spans="1:13">
      <c r="A178">
        <v>14</v>
      </c>
      <c r="B178" t="s">
        <v>294</v>
      </c>
      <c r="C178">
        <v>3</v>
      </c>
      <c r="D178" t="s">
        <v>902</v>
      </c>
      <c r="E178" t="s">
        <v>1</v>
      </c>
      <c r="F178">
        <v>4</v>
      </c>
      <c r="G178" t="s">
        <v>587</v>
      </c>
      <c r="H178" t="s">
        <v>566</v>
      </c>
      <c r="I178" t="s">
        <v>898</v>
      </c>
      <c r="J178" t="s">
        <v>9</v>
      </c>
      <c r="K178" t="s">
        <v>903</v>
      </c>
      <c r="M178" s="209">
        <v>9</v>
      </c>
    </row>
    <row r="179" spans="1:13">
      <c r="A179">
        <v>15</v>
      </c>
      <c r="B179" t="s">
        <v>294</v>
      </c>
      <c r="C179">
        <v>3</v>
      </c>
      <c r="D179" t="s">
        <v>902</v>
      </c>
      <c r="E179" t="s">
        <v>1</v>
      </c>
      <c r="F179">
        <v>3</v>
      </c>
      <c r="G179" t="s">
        <v>587</v>
      </c>
      <c r="H179" t="s">
        <v>10</v>
      </c>
      <c r="I179" t="s">
        <v>898</v>
      </c>
      <c r="J179" t="s">
        <v>9</v>
      </c>
      <c r="K179" t="s">
        <v>904</v>
      </c>
      <c r="M179" s="209">
        <v>9</v>
      </c>
    </row>
    <row r="180" spans="1:13">
      <c r="A180">
        <v>16</v>
      </c>
      <c r="B180" t="s">
        <v>294</v>
      </c>
      <c r="C180">
        <v>3</v>
      </c>
      <c r="D180" t="s">
        <v>902</v>
      </c>
      <c r="E180" t="s">
        <v>1</v>
      </c>
      <c r="F180">
        <v>2</v>
      </c>
      <c r="G180" t="s">
        <v>587</v>
      </c>
      <c r="H180" t="s">
        <v>7</v>
      </c>
      <c r="I180" t="s">
        <v>898</v>
      </c>
      <c r="J180" t="s">
        <v>9</v>
      </c>
      <c r="K180" t="s">
        <v>904</v>
      </c>
      <c r="M180" s="209">
        <v>9</v>
      </c>
    </row>
    <row r="181" spans="1:13">
      <c r="A181">
        <v>17</v>
      </c>
      <c r="B181" t="s">
        <v>294</v>
      </c>
      <c r="C181">
        <v>3</v>
      </c>
      <c r="D181" t="s">
        <v>902</v>
      </c>
      <c r="E181" t="s">
        <v>1</v>
      </c>
      <c r="F181">
        <v>1</v>
      </c>
      <c r="G181" t="s">
        <v>587</v>
      </c>
      <c r="H181" t="s">
        <v>905</v>
      </c>
      <c r="I181" t="s">
        <v>898</v>
      </c>
      <c r="J181" t="s">
        <v>9</v>
      </c>
      <c r="K181" t="s">
        <v>906</v>
      </c>
      <c r="M181" s="209">
        <v>9</v>
      </c>
    </row>
    <row r="182" spans="1:13">
      <c r="A182">
        <v>18</v>
      </c>
      <c r="B182" t="s">
        <v>296</v>
      </c>
      <c r="C182">
        <v>3</v>
      </c>
      <c r="D182" t="s">
        <v>902</v>
      </c>
      <c r="E182" t="s">
        <v>5</v>
      </c>
      <c r="F182">
        <v>4</v>
      </c>
      <c r="G182" t="s">
        <v>882</v>
      </c>
      <c r="H182" t="s">
        <v>12</v>
      </c>
      <c r="I182" t="s">
        <v>900</v>
      </c>
      <c r="J182" t="s">
        <v>6</v>
      </c>
      <c r="K182" t="s">
        <v>907</v>
      </c>
      <c r="M182" s="209">
        <v>9</v>
      </c>
    </row>
    <row r="183" spans="1:13">
      <c r="A183">
        <v>19</v>
      </c>
      <c r="B183" t="s">
        <v>296</v>
      </c>
      <c r="C183">
        <v>3</v>
      </c>
      <c r="D183" t="s">
        <v>902</v>
      </c>
      <c r="E183" t="s">
        <v>5</v>
      </c>
      <c r="F183">
        <v>3</v>
      </c>
      <c r="G183" t="s">
        <v>882</v>
      </c>
      <c r="H183" t="s">
        <v>12</v>
      </c>
      <c r="I183" t="s">
        <v>900</v>
      </c>
      <c r="J183" t="s">
        <v>6</v>
      </c>
      <c r="K183" t="s">
        <v>907</v>
      </c>
      <c r="M183" s="209">
        <v>9</v>
      </c>
    </row>
    <row r="184" spans="1:13">
      <c r="A184">
        <v>20</v>
      </c>
      <c r="B184" t="s">
        <v>294</v>
      </c>
      <c r="C184">
        <v>3</v>
      </c>
      <c r="D184" t="s">
        <v>902</v>
      </c>
      <c r="E184" t="s">
        <v>5</v>
      </c>
      <c r="F184">
        <v>3</v>
      </c>
      <c r="G184" t="s">
        <v>587</v>
      </c>
      <c r="H184" t="s">
        <v>8</v>
      </c>
      <c r="I184" t="s">
        <v>898</v>
      </c>
      <c r="J184" t="s">
        <v>9</v>
      </c>
      <c r="K184" t="s">
        <v>904</v>
      </c>
      <c r="M184" s="209">
        <v>9</v>
      </c>
    </row>
    <row r="185" spans="1:13">
      <c r="A185">
        <v>21</v>
      </c>
      <c r="B185" t="s">
        <v>296</v>
      </c>
      <c r="C185">
        <v>3</v>
      </c>
      <c r="D185" t="s">
        <v>902</v>
      </c>
      <c r="E185" t="s">
        <v>5</v>
      </c>
      <c r="F185">
        <v>2</v>
      </c>
      <c r="G185" t="s">
        <v>557</v>
      </c>
      <c r="H185" t="s">
        <v>12</v>
      </c>
      <c r="I185" t="s">
        <v>900</v>
      </c>
      <c r="J185" t="s">
        <v>6</v>
      </c>
      <c r="K185" t="s">
        <v>907</v>
      </c>
      <c r="M185" s="209">
        <v>9</v>
      </c>
    </row>
    <row r="186" spans="1:13">
      <c r="A186">
        <v>22</v>
      </c>
      <c r="B186" t="s">
        <v>294</v>
      </c>
      <c r="C186">
        <v>3</v>
      </c>
      <c r="D186" t="s">
        <v>902</v>
      </c>
      <c r="E186" t="s">
        <v>5</v>
      </c>
      <c r="F186">
        <v>2</v>
      </c>
      <c r="G186" t="s">
        <v>908</v>
      </c>
      <c r="H186" t="s">
        <v>8</v>
      </c>
      <c r="I186" t="s">
        <v>909</v>
      </c>
      <c r="J186" t="s">
        <v>9</v>
      </c>
      <c r="K186" t="s">
        <v>910</v>
      </c>
      <c r="M186" s="209">
        <v>9</v>
      </c>
    </row>
    <row r="187" spans="1:13">
      <c r="A187">
        <v>23</v>
      </c>
      <c r="B187" t="s">
        <v>296</v>
      </c>
      <c r="C187">
        <v>3</v>
      </c>
      <c r="D187" t="s">
        <v>902</v>
      </c>
      <c r="E187" t="s">
        <v>5</v>
      </c>
      <c r="F187">
        <v>1</v>
      </c>
      <c r="G187" t="s">
        <v>557</v>
      </c>
      <c r="H187" t="s">
        <v>12</v>
      </c>
      <c r="I187" t="s">
        <v>900</v>
      </c>
      <c r="J187" t="s">
        <v>6</v>
      </c>
      <c r="K187" t="s">
        <v>907</v>
      </c>
      <c r="M187" s="209">
        <v>9</v>
      </c>
    </row>
    <row r="188" spans="1:13">
      <c r="A188">
        <v>24</v>
      </c>
      <c r="B188" t="s">
        <v>294</v>
      </c>
      <c r="C188">
        <v>3</v>
      </c>
      <c r="D188" t="s">
        <v>902</v>
      </c>
      <c r="E188" t="s">
        <v>5</v>
      </c>
      <c r="F188">
        <v>1</v>
      </c>
      <c r="G188" t="s">
        <v>908</v>
      </c>
      <c r="H188" t="s">
        <v>8</v>
      </c>
      <c r="I188" t="s">
        <v>909</v>
      </c>
      <c r="J188" t="s">
        <v>9</v>
      </c>
      <c r="K188" t="s">
        <v>911</v>
      </c>
      <c r="M188" s="209">
        <v>9</v>
      </c>
    </row>
    <row r="189" spans="1:13">
      <c r="A189">
        <v>25</v>
      </c>
      <c r="B189" t="s">
        <v>296</v>
      </c>
      <c r="C189">
        <v>2</v>
      </c>
      <c r="D189" t="s">
        <v>857</v>
      </c>
      <c r="E189" t="s">
        <v>1</v>
      </c>
      <c r="F189">
        <v>4</v>
      </c>
      <c r="G189" t="s">
        <v>901</v>
      </c>
      <c r="H189" t="s">
        <v>12</v>
      </c>
      <c r="I189" t="s">
        <v>900</v>
      </c>
      <c r="J189" t="s">
        <v>6</v>
      </c>
      <c r="K189" t="s">
        <v>319</v>
      </c>
      <c r="M189" s="209">
        <v>9</v>
      </c>
    </row>
    <row r="190" spans="1:13">
      <c r="A190">
        <v>26</v>
      </c>
      <c r="B190" t="s">
        <v>296</v>
      </c>
      <c r="C190">
        <v>2</v>
      </c>
      <c r="D190" t="s">
        <v>857</v>
      </c>
      <c r="E190" t="s">
        <v>1</v>
      </c>
      <c r="F190">
        <v>3</v>
      </c>
      <c r="G190" t="s">
        <v>901</v>
      </c>
      <c r="H190" t="s">
        <v>12</v>
      </c>
      <c r="I190" t="s">
        <v>900</v>
      </c>
      <c r="J190" t="s">
        <v>6</v>
      </c>
      <c r="K190" t="s">
        <v>319</v>
      </c>
      <c r="M190" s="209">
        <v>9</v>
      </c>
    </row>
    <row r="191" spans="1:13">
      <c r="A191">
        <v>27</v>
      </c>
      <c r="B191" t="s">
        <v>296</v>
      </c>
      <c r="C191">
        <v>2</v>
      </c>
      <c r="D191" t="s">
        <v>857</v>
      </c>
      <c r="E191" t="s">
        <v>5</v>
      </c>
      <c r="F191">
        <v>4</v>
      </c>
      <c r="G191" t="s">
        <v>377</v>
      </c>
      <c r="H191" t="s">
        <v>12</v>
      </c>
      <c r="I191" t="s">
        <v>900</v>
      </c>
      <c r="J191" t="s">
        <v>6</v>
      </c>
      <c r="K191" t="s">
        <v>912</v>
      </c>
      <c r="M191" s="209">
        <v>9</v>
      </c>
    </row>
    <row r="192" spans="1:13">
      <c r="A192">
        <v>28</v>
      </c>
      <c r="B192" t="s">
        <v>296</v>
      </c>
      <c r="C192">
        <v>2</v>
      </c>
      <c r="D192" t="s">
        <v>857</v>
      </c>
      <c r="E192" t="s">
        <v>5</v>
      </c>
      <c r="F192">
        <v>4</v>
      </c>
      <c r="G192" t="s">
        <v>913</v>
      </c>
      <c r="H192" t="s">
        <v>156</v>
      </c>
      <c r="I192" t="s">
        <v>914</v>
      </c>
      <c r="J192" t="s">
        <v>3</v>
      </c>
      <c r="K192" t="s">
        <v>915</v>
      </c>
      <c r="M192" s="209">
        <v>9</v>
      </c>
    </row>
    <row r="193" spans="1:13">
      <c r="A193">
        <v>29</v>
      </c>
      <c r="B193" t="s">
        <v>296</v>
      </c>
      <c r="C193">
        <v>2</v>
      </c>
      <c r="D193" t="s">
        <v>857</v>
      </c>
      <c r="E193" t="s">
        <v>5</v>
      </c>
      <c r="F193">
        <v>3</v>
      </c>
      <c r="G193" t="s">
        <v>377</v>
      </c>
      <c r="H193" t="s">
        <v>12</v>
      </c>
      <c r="I193" t="s">
        <v>900</v>
      </c>
      <c r="J193" t="s">
        <v>6</v>
      </c>
      <c r="K193" t="s">
        <v>912</v>
      </c>
      <c r="M193" s="209">
        <v>9</v>
      </c>
    </row>
    <row r="194" spans="1:13">
      <c r="A194">
        <v>30</v>
      </c>
      <c r="B194" t="s">
        <v>296</v>
      </c>
      <c r="C194">
        <v>2</v>
      </c>
      <c r="D194" t="s">
        <v>857</v>
      </c>
      <c r="E194" t="s">
        <v>5</v>
      </c>
      <c r="F194">
        <v>3</v>
      </c>
      <c r="G194" t="s">
        <v>913</v>
      </c>
      <c r="H194" t="s">
        <v>156</v>
      </c>
      <c r="I194" t="s">
        <v>914</v>
      </c>
      <c r="J194" t="s">
        <v>3</v>
      </c>
      <c r="K194" t="s">
        <v>915</v>
      </c>
      <c r="M194" s="209">
        <v>9</v>
      </c>
    </row>
    <row r="195" spans="1:13">
      <c r="A195">
        <v>31</v>
      </c>
      <c r="B195" t="s">
        <v>295</v>
      </c>
      <c r="C195">
        <v>2</v>
      </c>
      <c r="D195" t="s">
        <v>857</v>
      </c>
      <c r="E195" t="s">
        <v>5</v>
      </c>
      <c r="F195">
        <v>2</v>
      </c>
      <c r="G195" t="s">
        <v>916</v>
      </c>
      <c r="H195" t="s">
        <v>156</v>
      </c>
      <c r="I195" t="s">
        <v>914</v>
      </c>
      <c r="J195" t="s">
        <v>3</v>
      </c>
      <c r="K195" t="s">
        <v>376</v>
      </c>
      <c r="M195" s="209">
        <v>9</v>
      </c>
    </row>
    <row r="196" spans="1:13">
      <c r="A196">
        <v>32</v>
      </c>
      <c r="B196" t="s">
        <v>296</v>
      </c>
      <c r="C196">
        <v>2</v>
      </c>
      <c r="D196" t="s">
        <v>857</v>
      </c>
      <c r="E196" t="s">
        <v>5</v>
      </c>
      <c r="F196">
        <v>2</v>
      </c>
      <c r="G196" t="s">
        <v>917</v>
      </c>
      <c r="H196" t="s">
        <v>12</v>
      </c>
      <c r="I196" t="s">
        <v>900</v>
      </c>
      <c r="J196" t="s">
        <v>6</v>
      </c>
      <c r="K196" t="s">
        <v>918</v>
      </c>
      <c r="M196" s="209">
        <v>9</v>
      </c>
    </row>
    <row r="197" spans="1:13">
      <c r="A197">
        <v>33</v>
      </c>
      <c r="B197" t="s">
        <v>295</v>
      </c>
      <c r="C197">
        <v>2</v>
      </c>
      <c r="D197" t="s">
        <v>857</v>
      </c>
      <c r="E197" t="s">
        <v>5</v>
      </c>
      <c r="F197">
        <v>1</v>
      </c>
      <c r="G197" t="s">
        <v>916</v>
      </c>
      <c r="H197" t="s">
        <v>156</v>
      </c>
      <c r="I197" t="s">
        <v>914</v>
      </c>
      <c r="J197" t="s">
        <v>3</v>
      </c>
      <c r="K197" t="s">
        <v>376</v>
      </c>
      <c r="M197" s="209">
        <v>9</v>
      </c>
    </row>
    <row r="198" spans="1:13">
      <c r="A198">
        <v>34</v>
      </c>
      <c r="B198" t="s">
        <v>296</v>
      </c>
      <c r="C198">
        <v>2</v>
      </c>
      <c r="D198" t="s">
        <v>857</v>
      </c>
      <c r="E198" t="s">
        <v>5</v>
      </c>
      <c r="F198">
        <v>1</v>
      </c>
      <c r="G198" t="s">
        <v>917</v>
      </c>
      <c r="H198" t="s">
        <v>12</v>
      </c>
      <c r="I198" t="s">
        <v>900</v>
      </c>
      <c r="J198" t="s">
        <v>6</v>
      </c>
      <c r="K198" t="s">
        <v>918</v>
      </c>
      <c r="M198" s="209">
        <v>9</v>
      </c>
    </row>
    <row r="199" spans="1:13">
      <c r="A199">
        <v>35</v>
      </c>
      <c r="B199" t="s">
        <v>296</v>
      </c>
      <c r="C199">
        <v>2</v>
      </c>
      <c r="D199" t="s">
        <v>857</v>
      </c>
      <c r="E199" t="s">
        <v>5</v>
      </c>
      <c r="F199">
        <v>1</v>
      </c>
      <c r="G199" t="s">
        <v>919</v>
      </c>
      <c r="H199" t="s">
        <v>7</v>
      </c>
      <c r="I199" t="s">
        <v>920</v>
      </c>
      <c r="J199" t="s">
        <v>6</v>
      </c>
      <c r="K199" t="s">
        <v>921</v>
      </c>
      <c r="M199" s="209">
        <v>9</v>
      </c>
    </row>
    <row r="200" spans="1:13">
      <c r="A200">
        <v>36</v>
      </c>
      <c r="B200" t="s">
        <v>296</v>
      </c>
      <c r="C200">
        <v>6</v>
      </c>
      <c r="D200" t="s">
        <v>866</v>
      </c>
      <c r="E200" t="s">
        <v>1</v>
      </c>
      <c r="F200">
        <v>4</v>
      </c>
      <c r="G200" t="s">
        <v>377</v>
      </c>
      <c r="H200" t="s">
        <v>419</v>
      </c>
      <c r="I200" t="s">
        <v>868</v>
      </c>
      <c r="J200" t="s">
        <v>6</v>
      </c>
      <c r="K200" t="s">
        <v>922</v>
      </c>
      <c r="M200" s="209">
        <v>9</v>
      </c>
    </row>
    <row r="201" spans="1:13">
      <c r="A201">
        <v>37</v>
      </c>
      <c r="B201" t="s">
        <v>296</v>
      </c>
      <c r="C201">
        <v>6</v>
      </c>
      <c r="D201" t="s">
        <v>866</v>
      </c>
      <c r="E201" t="s">
        <v>1</v>
      </c>
      <c r="F201">
        <v>2</v>
      </c>
      <c r="G201" t="s">
        <v>544</v>
      </c>
      <c r="H201" t="s">
        <v>554</v>
      </c>
      <c r="I201" t="s">
        <v>868</v>
      </c>
      <c r="J201" t="s">
        <v>6</v>
      </c>
      <c r="K201" t="s">
        <v>923</v>
      </c>
      <c r="M201" s="209">
        <v>9</v>
      </c>
    </row>
    <row r="202" spans="1:13">
      <c r="A202">
        <v>38</v>
      </c>
      <c r="B202" t="s">
        <v>296</v>
      </c>
      <c r="C202">
        <v>6</v>
      </c>
      <c r="D202" t="s">
        <v>866</v>
      </c>
      <c r="E202" t="s">
        <v>1</v>
      </c>
      <c r="F202">
        <v>1</v>
      </c>
      <c r="G202" t="s">
        <v>544</v>
      </c>
      <c r="H202" t="s">
        <v>554</v>
      </c>
      <c r="I202" t="s">
        <v>868</v>
      </c>
      <c r="J202" t="s">
        <v>6</v>
      </c>
      <c r="K202" t="s">
        <v>923</v>
      </c>
      <c r="M202" s="209">
        <v>9</v>
      </c>
    </row>
    <row r="203" spans="1:13">
      <c r="A203">
        <v>39</v>
      </c>
      <c r="B203" t="s">
        <v>296</v>
      </c>
      <c r="C203">
        <v>5</v>
      </c>
      <c r="D203" t="s">
        <v>869</v>
      </c>
      <c r="E203" t="s">
        <v>1</v>
      </c>
      <c r="F203">
        <v>1</v>
      </c>
      <c r="G203" t="s">
        <v>377</v>
      </c>
      <c r="H203" t="s">
        <v>554</v>
      </c>
      <c r="I203" t="s">
        <v>868</v>
      </c>
      <c r="J203" t="s">
        <v>6</v>
      </c>
      <c r="K203" t="s">
        <v>924</v>
      </c>
      <c r="M203" s="209">
        <v>9</v>
      </c>
    </row>
    <row r="204" spans="1:13">
      <c r="A204">
        <v>40</v>
      </c>
      <c r="B204" t="s">
        <v>296</v>
      </c>
      <c r="C204">
        <v>5</v>
      </c>
      <c r="D204" t="s">
        <v>869</v>
      </c>
      <c r="E204" t="s">
        <v>5</v>
      </c>
      <c r="F204">
        <v>4</v>
      </c>
      <c r="G204" t="s">
        <v>544</v>
      </c>
      <c r="H204" t="s">
        <v>554</v>
      </c>
      <c r="I204" t="s">
        <v>868</v>
      </c>
      <c r="J204" t="s">
        <v>6</v>
      </c>
      <c r="K204" t="s">
        <v>924</v>
      </c>
      <c r="M204" s="209">
        <v>9</v>
      </c>
    </row>
    <row r="205" spans="1:13">
      <c r="A205">
        <v>41</v>
      </c>
      <c r="B205" t="s">
        <v>296</v>
      </c>
      <c r="C205">
        <v>5</v>
      </c>
      <c r="D205" t="s">
        <v>869</v>
      </c>
      <c r="E205" t="s">
        <v>5</v>
      </c>
      <c r="F205">
        <v>3</v>
      </c>
      <c r="G205" t="s">
        <v>557</v>
      </c>
      <c r="H205" t="s">
        <v>554</v>
      </c>
      <c r="I205" t="s">
        <v>868</v>
      </c>
      <c r="J205" t="s">
        <v>6</v>
      </c>
      <c r="K205" t="s">
        <v>925</v>
      </c>
      <c r="M205" s="209">
        <v>9</v>
      </c>
    </row>
    <row r="206" spans="1:13">
      <c r="A206">
        <v>42</v>
      </c>
      <c r="B206" t="s">
        <v>296</v>
      </c>
      <c r="C206">
        <v>5</v>
      </c>
      <c r="D206" t="s">
        <v>869</v>
      </c>
      <c r="E206" t="s">
        <v>5</v>
      </c>
      <c r="F206">
        <v>2</v>
      </c>
      <c r="G206" t="s">
        <v>926</v>
      </c>
      <c r="H206" t="s">
        <v>554</v>
      </c>
      <c r="I206" t="s">
        <v>868</v>
      </c>
      <c r="J206" t="s">
        <v>6</v>
      </c>
      <c r="K206" t="s">
        <v>925</v>
      </c>
      <c r="M206" s="209">
        <v>9</v>
      </c>
    </row>
    <row r="207" spans="1:13">
      <c r="A207">
        <v>43</v>
      </c>
      <c r="B207" t="s">
        <v>296</v>
      </c>
      <c r="C207">
        <v>5</v>
      </c>
      <c r="D207" t="s">
        <v>869</v>
      </c>
      <c r="E207" t="s">
        <v>5</v>
      </c>
      <c r="F207">
        <v>1</v>
      </c>
      <c r="G207" t="s">
        <v>926</v>
      </c>
      <c r="H207" t="s">
        <v>554</v>
      </c>
      <c r="I207" t="s">
        <v>868</v>
      </c>
      <c r="J207" t="s">
        <v>6</v>
      </c>
      <c r="K207" t="s">
        <v>925</v>
      </c>
      <c r="M207" s="209">
        <v>9</v>
      </c>
    </row>
    <row r="208" spans="1:13">
      <c r="A208">
        <v>44</v>
      </c>
      <c r="B208" t="s">
        <v>296</v>
      </c>
      <c r="C208">
        <v>4</v>
      </c>
      <c r="D208" t="s">
        <v>870</v>
      </c>
      <c r="E208" t="s">
        <v>1</v>
      </c>
      <c r="F208">
        <v>4</v>
      </c>
      <c r="G208" t="s">
        <v>927</v>
      </c>
      <c r="H208" t="s">
        <v>928</v>
      </c>
      <c r="I208" t="s">
        <v>929</v>
      </c>
      <c r="J208" t="s">
        <v>6</v>
      </c>
      <c r="K208" t="s">
        <v>704</v>
      </c>
      <c r="M208" s="209">
        <v>9</v>
      </c>
    </row>
    <row r="209" spans="1:13">
      <c r="A209">
        <v>45</v>
      </c>
      <c r="B209" t="s">
        <v>296</v>
      </c>
      <c r="C209">
        <v>4</v>
      </c>
      <c r="D209" t="s">
        <v>870</v>
      </c>
      <c r="E209" t="s">
        <v>1</v>
      </c>
      <c r="F209">
        <v>2</v>
      </c>
      <c r="G209" t="s">
        <v>930</v>
      </c>
      <c r="H209" t="s">
        <v>928</v>
      </c>
      <c r="I209" t="s">
        <v>929</v>
      </c>
      <c r="J209" t="s">
        <v>6</v>
      </c>
      <c r="K209" t="s">
        <v>704</v>
      </c>
      <c r="M209" s="209">
        <v>9</v>
      </c>
    </row>
    <row r="210" spans="1:13">
      <c r="A210">
        <v>46</v>
      </c>
      <c r="B210" t="s">
        <v>294</v>
      </c>
      <c r="C210">
        <v>4</v>
      </c>
      <c r="D210" t="s">
        <v>870</v>
      </c>
      <c r="E210" t="s">
        <v>1</v>
      </c>
      <c r="F210">
        <v>1</v>
      </c>
      <c r="G210" t="s">
        <v>931</v>
      </c>
      <c r="H210" t="s">
        <v>928</v>
      </c>
      <c r="I210" t="s">
        <v>929</v>
      </c>
      <c r="J210" t="s">
        <v>6</v>
      </c>
      <c r="K210" t="s">
        <v>704</v>
      </c>
      <c r="M210" s="209">
        <v>9</v>
      </c>
    </row>
    <row r="211" spans="1:13">
      <c r="A211">
        <v>47</v>
      </c>
      <c r="B211" t="s">
        <v>295</v>
      </c>
      <c r="C211">
        <v>4</v>
      </c>
      <c r="D211" t="s">
        <v>870</v>
      </c>
      <c r="E211" t="s">
        <v>5</v>
      </c>
      <c r="F211">
        <v>5</v>
      </c>
      <c r="G211" t="s">
        <v>574</v>
      </c>
      <c r="H211" t="s">
        <v>575</v>
      </c>
      <c r="I211" t="s">
        <v>576</v>
      </c>
      <c r="J211" t="s">
        <v>577</v>
      </c>
      <c r="K211" t="s">
        <v>932</v>
      </c>
      <c r="M211" s="209">
        <v>9</v>
      </c>
    </row>
    <row r="212" spans="1:13">
      <c r="A212">
        <v>48</v>
      </c>
      <c r="B212" t="s">
        <v>294</v>
      </c>
      <c r="C212">
        <v>3</v>
      </c>
      <c r="D212" t="s">
        <v>874</v>
      </c>
      <c r="E212" t="s">
        <v>1</v>
      </c>
      <c r="F212">
        <v>2</v>
      </c>
      <c r="G212" t="s">
        <v>933</v>
      </c>
      <c r="H212" t="s">
        <v>11</v>
      </c>
      <c r="I212" t="s">
        <v>934</v>
      </c>
      <c r="J212" t="s">
        <v>6</v>
      </c>
      <c r="K212" t="s">
        <v>935</v>
      </c>
      <c r="M212" s="209">
        <v>9</v>
      </c>
    </row>
    <row r="213" spans="1:13">
      <c r="A213">
        <v>49</v>
      </c>
      <c r="B213" t="s">
        <v>294</v>
      </c>
      <c r="C213">
        <v>3</v>
      </c>
      <c r="D213" t="s">
        <v>874</v>
      </c>
      <c r="E213" t="s">
        <v>1</v>
      </c>
      <c r="F213">
        <v>1</v>
      </c>
      <c r="G213" t="s">
        <v>933</v>
      </c>
      <c r="H213" t="s">
        <v>11</v>
      </c>
      <c r="I213" t="s">
        <v>934</v>
      </c>
      <c r="J213" t="s">
        <v>6</v>
      </c>
      <c r="K213" t="s">
        <v>935</v>
      </c>
      <c r="M213" s="209">
        <v>9</v>
      </c>
    </row>
    <row r="214" spans="1:13">
      <c r="A214">
        <v>50</v>
      </c>
      <c r="B214" t="s">
        <v>296</v>
      </c>
      <c r="C214">
        <v>3</v>
      </c>
      <c r="D214" t="s">
        <v>874</v>
      </c>
      <c r="E214" t="s">
        <v>5</v>
      </c>
      <c r="F214">
        <v>5</v>
      </c>
      <c r="G214" t="s">
        <v>936</v>
      </c>
      <c r="H214" t="s">
        <v>12</v>
      </c>
      <c r="I214" t="s">
        <v>567</v>
      </c>
      <c r="J214" t="s">
        <v>6</v>
      </c>
      <c r="K214" t="s">
        <v>555</v>
      </c>
      <c r="M214" s="209">
        <v>9</v>
      </c>
    </row>
    <row r="215" spans="1:13">
      <c r="A215">
        <v>51</v>
      </c>
      <c r="B215" t="s">
        <v>296</v>
      </c>
      <c r="C215">
        <v>3</v>
      </c>
      <c r="D215" t="s">
        <v>874</v>
      </c>
      <c r="E215" t="s">
        <v>5</v>
      </c>
      <c r="F215">
        <v>4</v>
      </c>
      <c r="G215" t="s">
        <v>936</v>
      </c>
      <c r="H215" t="s">
        <v>12</v>
      </c>
      <c r="I215" t="s">
        <v>567</v>
      </c>
      <c r="J215" t="s">
        <v>6</v>
      </c>
      <c r="K215" t="s">
        <v>555</v>
      </c>
      <c r="M215" s="209">
        <v>9</v>
      </c>
    </row>
    <row r="216" spans="1:13">
      <c r="A216">
        <v>52</v>
      </c>
      <c r="B216" t="s">
        <v>294</v>
      </c>
      <c r="C216">
        <v>2</v>
      </c>
      <c r="D216" t="s">
        <v>937</v>
      </c>
      <c r="E216" t="s">
        <v>1</v>
      </c>
      <c r="F216">
        <v>4</v>
      </c>
      <c r="G216" t="s">
        <v>938</v>
      </c>
      <c r="H216" t="s">
        <v>10</v>
      </c>
      <c r="I216" t="s">
        <v>374</v>
      </c>
      <c r="J216" t="s">
        <v>9</v>
      </c>
      <c r="K216" t="s">
        <v>939</v>
      </c>
      <c r="M216" s="209">
        <v>9</v>
      </c>
    </row>
    <row r="217" spans="1:13">
      <c r="A217">
        <v>53</v>
      </c>
      <c r="B217" t="s">
        <v>294</v>
      </c>
      <c r="C217">
        <v>2</v>
      </c>
      <c r="D217" t="s">
        <v>937</v>
      </c>
      <c r="E217" t="s">
        <v>1</v>
      </c>
      <c r="F217">
        <v>3</v>
      </c>
      <c r="G217" t="s">
        <v>938</v>
      </c>
      <c r="H217" t="s">
        <v>940</v>
      </c>
      <c r="I217" t="s">
        <v>374</v>
      </c>
      <c r="J217" t="s">
        <v>9</v>
      </c>
      <c r="K217" t="s">
        <v>939</v>
      </c>
      <c r="M217" s="209">
        <v>9</v>
      </c>
    </row>
    <row r="218" spans="1:13">
      <c r="A218">
        <v>54</v>
      </c>
      <c r="B218" t="s">
        <v>296</v>
      </c>
      <c r="C218">
        <v>2</v>
      </c>
      <c r="D218" t="s">
        <v>937</v>
      </c>
      <c r="E218" t="s">
        <v>1</v>
      </c>
      <c r="F218">
        <v>3</v>
      </c>
      <c r="G218" t="s">
        <v>373</v>
      </c>
      <c r="H218" t="s">
        <v>12</v>
      </c>
      <c r="I218" t="s">
        <v>567</v>
      </c>
      <c r="J218" t="s">
        <v>6</v>
      </c>
      <c r="K218" t="s">
        <v>912</v>
      </c>
      <c r="M218" s="209">
        <v>9</v>
      </c>
    </row>
    <row r="219" spans="1:13">
      <c r="A219">
        <v>55</v>
      </c>
      <c r="B219" t="s">
        <v>296</v>
      </c>
      <c r="C219">
        <v>2</v>
      </c>
      <c r="D219" t="s">
        <v>937</v>
      </c>
      <c r="E219" t="s">
        <v>1</v>
      </c>
      <c r="F219">
        <v>2</v>
      </c>
      <c r="G219" t="s">
        <v>373</v>
      </c>
      <c r="H219" t="s">
        <v>12</v>
      </c>
      <c r="I219" t="s">
        <v>567</v>
      </c>
      <c r="J219" t="s">
        <v>6</v>
      </c>
      <c r="K219" t="s">
        <v>317</v>
      </c>
      <c r="M219" s="209">
        <v>9</v>
      </c>
    </row>
    <row r="220" spans="1:13">
      <c r="A220">
        <v>56</v>
      </c>
      <c r="B220" t="s">
        <v>295</v>
      </c>
      <c r="C220">
        <v>2</v>
      </c>
      <c r="D220" t="s">
        <v>937</v>
      </c>
      <c r="E220" t="s">
        <v>5</v>
      </c>
      <c r="F220">
        <v>5</v>
      </c>
      <c r="G220" t="s">
        <v>941</v>
      </c>
      <c r="H220" t="s">
        <v>575</v>
      </c>
      <c r="I220" t="s">
        <v>942</v>
      </c>
      <c r="J220" t="s">
        <v>6</v>
      </c>
      <c r="K220" t="s">
        <v>578</v>
      </c>
      <c r="M220" s="209">
        <v>9</v>
      </c>
    </row>
    <row r="221" spans="1:13">
      <c r="A221">
        <v>57</v>
      </c>
      <c r="B221" t="s">
        <v>295</v>
      </c>
      <c r="C221">
        <v>2</v>
      </c>
      <c r="D221" t="s">
        <v>937</v>
      </c>
      <c r="E221" t="s">
        <v>5</v>
      </c>
      <c r="F221">
        <v>4</v>
      </c>
      <c r="G221" t="s">
        <v>941</v>
      </c>
      <c r="H221" t="s">
        <v>575</v>
      </c>
      <c r="I221" t="s">
        <v>942</v>
      </c>
      <c r="J221" t="s">
        <v>6</v>
      </c>
      <c r="K221" t="s">
        <v>579</v>
      </c>
      <c r="M221" s="209">
        <v>9</v>
      </c>
    </row>
    <row r="222" spans="1:13">
      <c r="A222">
        <v>58</v>
      </c>
      <c r="B222" t="s">
        <v>295</v>
      </c>
      <c r="C222">
        <v>2</v>
      </c>
      <c r="D222" t="s">
        <v>937</v>
      </c>
      <c r="E222" t="s">
        <v>5</v>
      </c>
      <c r="F222">
        <v>4</v>
      </c>
      <c r="G222" t="s">
        <v>943</v>
      </c>
      <c r="H222" t="s">
        <v>12</v>
      </c>
      <c r="I222" t="s">
        <v>567</v>
      </c>
      <c r="J222" t="s">
        <v>6</v>
      </c>
      <c r="K222" t="s">
        <v>912</v>
      </c>
      <c r="M222" s="209">
        <v>9</v>
      </c>
    </row>
    <row r="223" spans="1:13">
      <c r="A223">
        <v>59</v>
      </c>
      <c r="B223" t="s">
        <v>296</v>
      </c>
      <c r="C223">
        <v>2</v>
      </c>
      <c r="D223" t="s">
        <v>937</v>
      </c>
      <c r="E223" t="s">
        <v>5</v>
      </c>
      <c r="F223">
        <v>4</v>
      </c>
      <c r="G223" t="s">
        <v>882</v>
      </c>
      <c r="H223" t="s">
        <v>156</v>
      </c>
      <c r="I223" t="s">
        <v>158</v>
      </c>
      <c r="J223" t="s">
        <v>3</v>
      </c>
      <c r="K223" t="s">
        <v>545</v>
      </c>
      <c r="M223" s="209">
        <v>9</v>
      </c>
    </row>
    <row r="224" spans="1:13">
      <c r="A224">
        <v>60</v>
      </c>
      <c r="B224" t="s">
        <v>294</v>
      </c>
      <c r="C224">
        <v>2</v>
      </c>
      <c r="D224" t="s">
        <v>937</v>
      </c>
      <c r="E224" t="s">
        <v>5</v>
      </c>
      <c r="F224">
        <v>4</v>
      </c>
      <c r="G224" t="s">
        <v>938</v>
      </c>
      <c r="H224" t="s">
        <v>8</v>
      </c>
      <c r="I224" t="s">
        <v>374</v>
      </c>
      <c r="J224" t="s">
        <v>9</v>
      </c>
      <c r="K224" t="s">
        <v>910</v>
      </c>
      <c r="M224" s="209">
        <v>9</v>
      </c>
    </row>
    <row r="225" spans="1:13">
      <c r="A225">
        <v>61</v>
      </c>
      <c r="B225" t="s">
        <v>295</v>
      </c>
      <c r="C225">
        <v>2</v>
      </c>
      <c r="D225" t="s">
        <v>937</v>
      </c>
      <c r="E225" t="s">
        <v>5</v>
      </c>
      <c r="F225">
        <v>3</v>
      </c>
      <c r="G225" t="s">
        <v>941</v>
      </c>
      <c r="H225" t="s">
        <v>575</v>
      </c>
      <c r="I225" t="s">
        <v>942</v>
      </c>
      <c r="J225" t="s">
        <v>6</v>
      </c>
      <c r="K225" t="s">
        <v>417</v>
      </c>
      <c r="M225" s="209">
        <v>9</v>
      </c>
    </row>
    <row r="226" spans="1:13">
      <c r="A226">
        <v>62</v>
      </c>
      <c r="B226" t="s">
        <v>295</v>
      </c>
      <c r="C226">
        <v>2</v>
      </c>
      <c r="D226" t="s">
        <v>937</v>
      </c>
      <c r="E226" t="s">
        <v>5</v>
      </c>
      <c r="F226">
        <v>3</v>
      </c>
      <c r="G226" t="s">
        <v>943</v>
      </c>
      <c r="H226" t="s">
        <v>12</v>
      </c>
      <c r="I226" t="s">
        <v>567</v>
      </c>
      <c r="J226" t="s">
        <v>6</v>
      </c>
      <c r="K226" t="s">
        <v>912</v>
      </c>
      <c r="M226" s="209">
        <v>9</v>
      </c>
    </row>
    <row r="227" spans="1:13">
      <c r="A227">
        <v>63</v>
      </c>
      <c r="B227" t="s">
        <v>296</v>
      </c>
      <c r="C227">
        <v>2</v>
      </c>
      <c r="D227" t="s">
        <v>937</v>
      </c>
      <c r="E227" t="s">
        <v>5</v>
      </c>
      <c r="F227">
        <v>3</v>
      </c>
      <c r="G227" t="s">
        <v>882</v>
      </c>
      <c r="H227" t="s">
        <v>156</v>
      </c>
      <c r="I227" t="s">
        <v>158</v>
      </c>
      <c r="J227" t="s">
        <v>3</v>
      </c>
      <c r="K227" t="s">
        <v>545</v>
      </c>
      <c r="M227" s="209">
        <v>9</v>
      </c>
    </row>
    <row r="228" spans="1:13">
      <c r="A228">
        <v>64</v>
      </c>
      <c r="B228" t="s">
        <v>294</v>
      </c>
      <c r="C228">
        <v>2</v>
      </c>
      <c r="D228" t="s">
        <v>937</v>
      </c>
      <c r="E228" t="s">
        <v>5</v>
      </c>
      <c r="F228">
        <v>3</v>
      </c>
      <c r="G228" t="s">
        <v>938</v>
      </c>
      <c r="H228" t="s">
        <v>8</v>
      </c>
      <c r="I228" t="s">
        <v>374</v>
      </c>
      <c r="J228" t="s">
        <v>9</v>
      </c>
      <c r="K228" t="s">
        <v>910</v>
      </c>
      <c r="M228" s="209">
        <v>9</v>
      </c>
    </row>
    <row r="229" spans="1:13">
      <c r="A229">
        <v>65</v>
      </c>
      <c r="B229" t="s">
        <v>296</v>
      </c>
      <c r="C229">
        <v>2</v>
      </c>
      <c r="D229" t="s">
        <v>937</v>
      </c>
      <c r="E229" t="s">
        <v>5</v>
      </c>
      <c r="F229">
        <v>2</v>
      </c>
      <c r="G229" t="s">
        <v>944</v>
      </c>
      <c r="H229" t="s">
        <v>945</v>
      </c>
      <c r="I229" t="s">
        <v>942</v>
      </c>
      <c r="J229" t="s">
        <v>6</v>
      </c>
      <c r="K229" t="s">
        <v>889</v>
      </c>
      <c r="M229" s="209">
        <v>9</v>
      </c>
    </row>
    <row r="230" spans="1:13">
      <c r="A230">
        <v>66</v>
      </c>
      <c r="B230" t="s">
        <v>296</v>
      </c>
      <c r="C230">
        <v>2</v>
      </c>
      <c r="D230" t="s">
        <v>937</v>
      </c>
      <c r="E230" t="s">
        <v>5</v>
      </c>
      <c r="F230">
        <v>2</v>
      </c>
      <c r="G230" t="s">
        <v>936</v>
      </c>
      <c r="H230" t="s">
        <v>12</v>
      </c>
      <c r="I230" t="s">
        <v>567</v>
      </c>
      <c r="J230" t="s">
        <v>6</v>
      </c>
      <c r="K230" t="s">
        <v>907</v>
      </c>
      <c r="M230" s="209">
        <v>9</v>
      </c>
    </row>
    <row r="231" spans="1:13">
      <c r="A231">
        <v>67</v>
      </c>
      <c r="B231" t="s">
        <v>294</v>
      </c>
      <c r="C231">
        <v>2</v>
      </c>
      <c r="D231" t="s">
        <v>937</v>
      </c>
      <c r="E231" t="s">
        <v>5</v>
      </c>
      <c r="F231">
        <v>1</v>
      </c>
      <c r="G231" t="s">
        <v>938</v>
      </c>
      <c r="H231" t="s">
        <v>7</v>
      </c>
      <c r="I231" t="s">
        <v>374</v>
      </c>
      <c r="J231" t="s">
        <v>9</v>
      </c>
      <c r="K231" t="s">
        <v>910</v>
      </c>
      <c r="M231" s="209">
        <v>9</v>
      </c>
    </row>
    <row r="232" spans="1:13">
      <c r="A232">
        <v>68</v>
      </c>
      <c r="B232" t="s">
        <v>296</v>
      </c>
      <c r="C232">
        <v>2</v>
      </c>
      <c r="D232" t="s">
        <v>937</v>
      </c>
      <c r="E232" t="s">
        <v>5</v>
      </c>
      <c r="F232">
        <v>1</v>
      </c>
      <c r="G232" t="s">
        <v>944</v>
      </c>
      <c r="H232" t="s">
        <v>945</v>
      </c>
      <c r="I232" t="s">
        <v>942</v>
      </c>
      <c r="J232" t="s">
        <v>6</v>
      </c>
      <c r="K232" t="s">
        <v>889</v>
      </c>
      <c r="M232" s="209">
        <v>9</v>
      </c>
    </row>
    <row r="233" spans="1:13">
      <c r="A233">
        <v>69</v>
      </c>
      <c r="B233" t="s">
        <v>296</v>
      </c>
      <c r="C233">
        <v>2</v>
      </c>
      <c r="D233" t="s">
        <v>937</v>
      </c>
      <c r="E233" t="s">
        <v>5</v>
      </c>
      <c r="F233">
        <v>1</v>
      </c>
      <c r="G233" t="s">
        <v>936</v>
      </c>
      <c r="H233" t="s">
        <v>12</v>
      </c>
      <c r="I233" t="s">
        <v>567</v>
      </c>
      <c r="J233" t="s">
        <v>6</v>
      </c>
      <c r="K233" t="s">
        <v>907</v>
      </c>
      <c r="M233" s="209">
        <v>9</v>
      </c>
    </row>
    <row r="234" spans="1:13">
      <c r="A234">
        <v>70</v>
      </c>
      <c r="B234" t="s">
        <v>296</v>
      </c>
      <c r="C234">
        <v>5</v>
      </c>
      <c r="D234" t="s">
        <v>946</v>
      </c>
      <c r="E234" t="s">
        <v>5</v>
      </c>
      <c r="F234">
        <v>2</v>
      </c>
      <c r="G234" t="s">
        <v>901</v>
      </c>
      <c r="H234" t="s">
        <v>7</v>
      </c>
      <c r="I234" t="s">
        <v>947</v>
      </c>
      <c r="J234" t="s">
        <v>6</v>
      </c>
      <c r="K234" t="s">
        <v>948</v>
      </c>
      <c r="M234" s="209">
        <v>9</v>
      </c>
    </row>
    <row r="235" spans="1:13">
      <c r="A235">
        <v>71</v>
      </c>
      <c r="B235" t="s">
        <v>296</v>
      </c>
      <c r="C235">
        <v>5</v>
      </c>
      <c r="D235" t="s">
        <v>946</v>
      </c>
      <c r="E235" t="s">
        <v>5</v>
      </c>
      <c r="F235">
        <v>1</v>
      </c>
      <c r="G235" t="s">
        <v>901</v>
      </c>
      <c r="H235" t="s">
        <v>7</v>
      </c>
      <c r="I235" t="s">
        <v>947</v>
      </c>
      <c r="J235" t="s">
        <v>6</v>
      </c>
      <c r="K235" t="s">
        <v>948</v>
      </c>
      <c r="M235" s="209">
        <v>9</v>
      </c>
    </row>
    <row r="236" spans="1:13">
      <c r="A236">
        <v>72</v>
      </c>
      <c r="B236" t="s">
        <v>297</v>
      </c>
      <c r="C236">
        <v>4</v>
      </c>
      <c r="D236" t="s">
        <v>949</v>
      </c>
      <c r="E236" t="s">
        <v>1</v>
      </c>
      <c r="F236">
        <v>2</v>
      </c>
      <c r="G236" t="s">
        <v>950</v>
      </c>
      <c r="H236" t="s">
        <v>2</v>
      </c>
      <c r="I236" t="s">
        <v>420</v>
      </c>
      <c r="J236" t="s">
        <v>4</v>
      </c>
      <c r="K236" t="s">
        <v>550</v>
      </c>
      <c r="M236" s="209">
        <v>9</v>
      </c>
    </row>
    <row r="237" spans="1:13">
      <c r="A237">
        <v>73</v>
      </c>
      <c r="B237" t="s">
        <v>297</v>
      </c>
      <c r="C237">
        <v>4</v>
      </c>
      <c r="D237" t="s">
        <v>949</v>
      </c>
      <c r="E237" t="s">
        <v>1</v>
      </c>
      <c r="F237">
        <v>1</v>
      </c>
      <c r="G237" t="s">
        <v>951</v>
      </c>
      <c r="H237" t="s">
        <v>2</v>
      </c>
      <c r="I237" t="s">
        <v>420</v>
      </c>
      <c r="J237" t="s">
        <v>4</v>
      </c>
      <c r="K237" t="s">
        <v>550</v>
      </c>
      <c r="M237" s="209">
        <v>9</v>
      </c>
    </row>
    <row r="238" spans="1:13">
      <c r="A238">
        <v>74</v>
      </c>
      <c r="B238" t="s">
        <v>296</v>
      </c>
      <c r="C238">
        <v>4</v>
      </c>
      <c r="D238" t="s">
        <v>949</v>
      </c>
      <c r="E238" t="s">
        <v>5</v>
      </c>
      <c r="F238">
        <v>4</v>
      </c>
      <c r="G238" t="s">
        <v>558</v>
      </c>
      <c r="H238" t="s">
        <v>7</v>
      </c>
      <c r="I238" t="s">
        <v>952</v>
      </c>
      <c r="J238" t="s">
        <v>6</v>
      </c>
      <c r="K238" t="s">
        <v>920</v>
      </c>
      <c r="M238" s="209">
        <v>9</v>
      </c>
    </row>
    <row r="239" spans="1:13">
      <c r="A239">
        <v>75</v>
      </c>
      <c r="B239" t="s">
        <v>296</v>
      </c>
      <c r="C239">
        <v>4</v>
      </c>
      <c r="D239" t="s">
        <v>949</v>
      </c>
      <c r="E239" t="s">
        <v>5</v>
      </c>
      <c r="F239">
        <v>3</v>
      </c>
      <c r="G239" t="s">
        <v>558</v>
      </c>
      <c r="H239" t="s">
        <v>7</v>
      </c>
      <c r="I239" t="s">
        <v>952</v>
      </c>
      <c r="J239" t="s">
        <v>6</v>
      </c>
      <c r="K239" t="s">
        <v>920</v>
      </c>
      <c r="M239" s="209">
        <v>9</v>
      </c>
    </row>
    <row r="240" spans="1:13">
      <c r="A240">
        <v>76</v>
      </c>
      <c r="B240" t="s">
        <v>296</v>
      </c>
      <c r="C240">
        <v>3</v>
      </c>
      <c r="D240" t="s">
        <v>953</v>
      </c>
      <c r="E240" t="s">
        <v>1</v>
      </c>
      <c r="F240">
        <v>3</v>
      </c>
      <c r="G240" t="s">
        <v>558</v>
      </c>
      <c r="H240" t="s">
        <v>7</v>
      </c>
      <c r="I240" t="s">
        <v>952</v>
      </c>
      <c r="J240" t="s">
        <v>6</v>
      </c>
      <c r="K240" t="s">
        <v>948</v>
      </c>
      <c r="M240" s="209">
        <v>9</v>
      </c>
    </row>
    <row r="241" spans="1:13">
      <c r="A241">
        <v>77</v>
      </c>
      <c r="B241" t="s">
        <v>295</v>
      </c>
      <c r="C241">
        <v>3</v>
      </c>
      <c r="D241" t="s">
        <v>953</v>
      </c>
      <c r="E241" t="s">
        <v>1</v>
      </c>
      <c r="F241">
        <v>2</v>
      </c>
      <c r="G241" t="s">
        <v>954</v>
      </c>
      <c r="H241" t="s">
        <v>7</v>
      </c>
      <c r="I241" t="s">
        <v>952</v>
      </c>
      <c r="J241" t="s">
        <v>6</v>
      </c>
      <c r="K241" t="s">
        <v>948</v>
      </c>
      <c r="M241" s="209">
        <v>9</v>
      </c>
    </row>
    <row r="242" spans="1:13">
      <c r="A242">
        <v>78</v>
      </c>
      <c r="B242" t="s">
        <v>295</v>
      </c>
      <c r="C242">
        <v>3</v>
      </c>
      <c r="D242" t="s">
        <v>953</v>
      </c>
      <c r="E242" t="s">
        <v>1</v>
      </c>
      <c r="F242">
        <v>1</v>
      </c>
      <c r="G242" t="s">
        <v>954</v>
      </c>
      <c r="H242" t="s">
        <v>7</v>
      </c>
      <c r="I242" t="s">
        <v>952</v>
      </c>
      <c r="J242" t="s">
        <v>6</v>
      </c>
      <c r="K242" t="s">
        <v>948</v>
      </c>
      <c r="M242" s="209">
        <v>9</v>
      </c>
    </row>
    <row r="243" spans="1:13">
      <c r="A243">
        <v>79</v>
      </c>
      <c r="B243" t="s">
        <v>295</v>
      </c>
      <c r="C243">
        <v>3</v>
      </c>
      <c r="D243" t="s">
        <v>953</v>
      </c>
      <c r="E243" t="s">
        <v>5</v>
      </c>
      <c r="F243">
        <v>5</v>
      </c>
      <c r="G243" t="s">
        <v>574</v>
      </c>
      <c r="H243" t="s">
        <v>955</v>
      </c>
      <c r="I243" t="s">
        <v>952</v>
      </c>
      <c r="J243" t="s">
        <v>6</v>
      </c>
      <c r="K243" t="s">
        <v>956</v>
      </c>
      <c r="M243" s="209">
        <v>9</v>
      </c>
    </row>
    <row r="244" spans="1:13">
      <c r="A244">
        <v>80</v>
      </c>
      <c r="B244" t="s">
        <v>295</v>
      </c>
      <c r="C244">
        <v>3</v>
      </c>
      <c r="D244" t="s">
        <v>953</v>
      </c>
      <c r="E244" t="s">
        <v>5</v>
      </c>
      <c r="F244">
        <v>4</v>
      </c>
      <c r="G244" t="s">
        <v>957</v>
      </c>
      <c r="H244" t="s">
        <v>7</v>
      </c>
      <c r="I244" t="s">
        <v>952</v>
      </c>
      <c r="J244" t="s">
        <v>6</v>
      </c>
      <c r="K244" t="s">
        <v>948</v>
      </c>
      <c r="M244" s="209">
        <v>9</v>
      </c>
    </row>
    <row r="245" spans="1:13">
      <c r="A245">
        <v>81</v>
      </c>
      <c r="B245" t="s">
        <v>296</v>
      </c>
      <c r="C245">
        <v>3</v>
      </c>
      <c r="D245" t="s">
        <v>953</v>
      </c>
      <c r="E245" t="s">
        <v>5</v>
      </c>
      <c r="F245">
        <v>2</v>
      </c>
      <c r="G245" t="s">
        <v>544</v>
      </c>
      <c r="H245" t="s">
        <v>7</v>
      </c>
      <c r="I245" t="s">
        <v>952</v>
      </c>
      <c r="J245" t="s">
        <v>6</v>
      </c>
      <c r="K245" t="s">
        <v>948</v>
      </c>
      <c r="M245" s="209">
        <v>9</v>
      </c>
    </row>
    <row r="246" spans="1:13">
      <c r="A246">
        <v>82</v>
      </c>
      <c r="B246" t="s">
        <v>296</v>
      </c>
      <c r="C246">
        <v>3</v>
      </c>
      <c r="D246" t="s">
        <v>953</v>
      </c>
      <c r="E246" t="s">
        <v>5</v>
      </c>
      <c r="F246">
        <v>1</v>
      </c>
      <c r="G246" t="s">
        <v>544</v>
      </c>
      <c r="H246" t="s">
        <v>7</v>
      </c>
      <c r="I246" t="s">
        <v>952</v>
      </c>
      <c r="J246" t="s">
        <v>6</v>
      </c>
      <c r="K246" t="s">
        <v>956</v>
      </c>
      <c r="M246" s="209">
        <v>9</v>
      </c>
    </row>
    <row r="247" spans="1:13">
      <c r="A247">
        <v>83</v>
      </c>
      <c r="B247" t="s">
        <v>296</v>
      </c>
      <c r="C247">
        <v>2</v>
      </c>
      <c r="D247" t="s">
        <v>881</v>
      </c>
      <c r="E247" t="s">
        <v>5</v>
      </c>
      <c r="F247">
        <v>4</v>
      </c>
      <c r="G247" t="s">
        <v>958</v>
      </c>
      <c r="H247" t="s">
        <v>554</v>
      </c>
      <c r="I247" t="s">
        <v>883</v>
      </c>
      <c r="J247"/>
      <c r="K247" t="s">
        <v>959</v>
      </c>
      <c r="M247" s="209">
        <v>9</v>
      </c>
    </row>
    <row r="248" spans="1:13">
      <c r="A248">
        <v>84</v>
      </c>
      <c r="B248" t="s">
        <v>296</v>
      </c>
      <c r="C248">
        <v>6</v>
      </c>
      <c r="D248" t="s">
        <v>960</v>
      </c>
      <c r="E248" t="s">
        <v>1</v>
      </c>
      <c r="F248">
        <v>4</v>
      </c>
      <c r="G248" t="s">
        <v>410</v>
      </c>
      <c r="H248" t="s">
        <v>419</v>
      </c>
      <c r="I248" t="s">
        <v>920</v>
      </c>
      <c r="J248" t="s">
        <v>6</v>
      </c>
      <c r="K248" t="s">
        <v>961</v>
      </c>
      <c r="M248" s="209">
        <v>9</v>
      </c>
    </row>
    <row r="249" spans="1:13">
      <c r="A249">
        <v>85</v>
      </c>
      <c r="B249" t="s">
        <v>296</v>
      </c>
      <c r="C249">
        <v>6</v>
      </c>
      <c r="D249" t="s">
        <v>960</v>
      </c>
      <c r="E249" t="s">
        <v>1</v>
      </c>
      <c r="F249">
        <v>3</v>
      </c>
      <c r="G249" t="s">
        <v>919</v>
      </c>
      <c r="H249" t="s">
        <v>7</v>
      </c>
      <c r="I249" t="s">
        <v>920</v>
      </c>
      <c r="J249" t="s">
        <v>6</v>
      </c>
      <c r="K249" t="s">
        <v>961</v>
      </c>
      <c r="M249" s="209">
        <v>9</v>
      </c>
    </row>
    <row r="250" spans="1:13">
      <c r="A250">
        <v>86</v>
      </c>
      <c r="B250" t="s">
        <v>296</v>
      </c>
      <c r="C250">
        <v>6</v>
      </c>
      <c r="D250" t="s">
        <v>960</v>
      </c>
      <c r="E250" t="s">
        <v>1</v>
      </c>
      <c r="F250">
        <v>3</v>
      </c>
      <c r="G250" t="s">
        <v>962</v>
      </c>
      <c r="H250" t="s">
        <v>414</v>
      </c>
      <c r="I250" t="s">
        <v>559</v>
      </c>
      <c r="J250" t="s">
        <v>6</v>
      </c>
      <c r="K250" t="s">
        <v>963</v>
      </c>
      <c r="M250" s="209">
        <v>9</v>
      </c>
    </row>
    <row r="251" spans="1:13">
      <c r="A251">
        <v>87</v>
      </c>
      <c r="B251" t="s">
        <v>296</v>
      </c>
      <c r="C251">
        <v>6</v>
      </c>
      <c r="D251" t="s">
        <v>960</v>
      </c>
      <c r="E251" t="s">
        <v>1</v>
      </c>
      <c r="F251">
        <v>2</v>
      </c>
      <c r="G251" t="s">
        <v>410</v>
      </c>
      <c r="H251" t="s">
        <v>7</v>
      </c>
      <c r="I251" t="s">
        <v>920</v>
      </c>
      <c r="J251" t="s">
        <v>6</v>
      </c>
      <c r="K251" t="s">
        <v>961</v>
      </c>
      <c r="M251" s="209">
        <v>9</v>
      </c>
    </row>
    <row r="252" spans="1:13">
      <c r="A252">
        <v>88</v>
      </c>
      <c r="B252" t="s">
        <v>296</v>
      </c>
      <c r="C252">
        <v>6</v>
      </c>
      <c r="D252" t="s">
        <v>960</v>
      </c>
      <c r="E252" t="s">
        <v>1</v>
      </c>
      <c r="F252">
        <v>1</v>
      </c>
      <c r="G252" t="s">
        <v>410</v>
      </c>
      <c r="H252" t="s">
        <v>414</v>
      </c>
      <c r="I252" t="s">
        <v>559</v>
      </c>
      <c r="J252" t="s">
        <v>6</v>
      </c>
      <c r="K252" t="s">
        <v>964</v>
      </c>
      <c r="M252" s="209">
        <v>9</v>
      </c>
    </row>
    <row r="253" spans="1:13">
      <c r="A253">
        <v>89</v>
      </c>
      <c r="B253" t="s">
        <v>296</v>
      </c>
      <c r="C253">
        <v>6</v>
      </c>
      <c r="D253" t="s">
        <v>960</v>
      </c>
      <c r="E253" t="s">
        <v>5</v>
      </c>
      <c r="F253">
        <v>4</v>
      </c>
      <c r="G253" t="s">
        <v>558</v>
      </c>
      <c r="H253" t="s">
        <v>905</v>
      </c>
      <c r="I253" t="s">
        <v>640</v>
      </c>
      <c r="J253" t="s">
        <v>6</v>
      </c>
      <c r="K253" t="s">
        <v>415</v>
      </c>
      <c r="M253" s="209">
        <v>9</v>
      </c>
    </row>
    <row r="254" spans="1:13">
      <c r="A254">
        <v>90</v>
      </c>
      <c r="B254" t="s">
        <v>294</v>
      </c>
      <c r="C254">
        <v>5</v>
      </c>
      <c r="D254" t="s">
        <v>965</v>
      </c>
      <c r="E254" t="s">
        <v>1</v>
      </c>
      <c r="F254">
        <v>4</v>
      </c>
      <c r="G254" t="s">
        <v>908</v>
      </c>
      <c r="H254" t="s">
        <v>940</v>
      </c>
      <c r="I254" t="s">
        <v>909</v>
      </c>
      <c r="J254" t="s">
        <v>9</v>
      </c>
      <c r="K254" t="s">
        <v>911</v>
      </c>
      <c r="M254" s="209">
        <v>9</v>
      </c>
    </row>
    <row r="255" spans="1:13">
      <c r="A255">
        <v>91</v>
      </c>
      <c r="B255" t="s">
        <v>294</v>
      </c>
      <c r="C255">
        <v>5</v>
      </c>
      <c r="D255" t="s">
        <v>965</v>
      </c>
      <c r="E255" t="s">
        <v>1</v>
      </c>
      <c r="F255">
        <v>3</v>
      </c>
      <c r="G255" t="s">
        <v>908</v>
      </c>
      <c r="H255" t="s">
        <v>8</v>
      </c>
      <c r="I255" t="s">
        <v>909</v>
      </c>
      <c r="J255" t="s">
        <v>9</v>
      </c>
      <c r="K255" t="s">
        <v>374</v>
      </c>
      <c r="M255" s="209">
        <v>9</v>
      </c>
    </row>
    <row r="256" spans="1:13">
      <c r="A256">
        <v>92</v>
      </c>
      <c r="B256" t="s">
        <v>294</v>
      </c>
      <c r="C256">
        <v>5</v>
      </c>
      <c r="D256" t="s">
        <v>965</v>
      </c>
      <c r="E256" t="s">
        <v>1</v>
      </c>
      <c r="F256">
        <v>2</v>
      </c>
      <c r="G256" t="s">
        <v>908</v>
      </c>
      <c r="H256" t="s">
        <v>905</v>
      </c>
      <c r="I256" t="s">
        <v>909</v>
      </c>
      <c r="J256" t="s">
        <v>9</v>
      </c>
      <c r="K256" t="s">
        <v>911</v>
      </c>
      <c r="M256" s="209">
        <v>9</v>
      </c>
    </row>
    <row r="257" spans="1:13">
      <c r="A257">
        <v>93</v>
      </c>
      <c r="B257" t="s">
        <v>294</v>
      </c>
      <c r="C257">
        <v>5</v>
      </c>
      <c r="D257" t="s">
        <v>965</v>
      </c>
      <c r="E257" t="s">
        <v>5</v>
      </c>
      <c r="F257">
        <v>1</v>
      </c>
      <c r="G257" t="s">
        <v>908</v>
      </c>
      <c r="H257" t="s">
        <v>7</v>
      </c>
      <c r="I257" t="s">
        <v>909</v>
      </c>
      <c r="J257" t="s">
        <v>9</v>
      </c>
      <c r="K257" t="s">
        <v>966</v>
      </c>
      <c r="M257" s="209">
        <v>9</v>
      </c>
    </row>
    <row r="258" spans="1:13">
      <c r="A258">
        <v>94</v>
      </c>
      <c r="B258" t="s">
        <v>294</v>
      </c>
      <c r="C258">
        <v>4</v>
      </c>
      <c r="D258" t="s">
        <v>967</v>
      </c>
      <c r="E258" t="s">
        <v>1</v>
      </c>
      <c r="F258">
        <v>4</v>
      </c>
      <c r="G258" t="s">
        <v>587</v>
      </c>
      <c r="H258" t="s">
        <v>11</v>
      </c>
      <c r="I258" t="s">
        <v>242</v>
      </c>
      <c r="J258" t="s">
        <v>6</v>
      </c>
      <c r="K258" t="s">
        <v>968</v>
      </c>
      <c r="M258" s="209">
        <v>9</v>
      </c>
    </row>
    <row r="259" spans="1:13">
      <c r="A259">
        <v>95</v>
      </c>
      <c r="B259" t="s">
        <v>296</v>
      </c>
      <c r="C259">
        <v>4</v>
      </c>
      <c r="D259" t="s">
        <v>967</v>
      </c>
      <c r="E259" t="s">
        <v>1</v>
      </c>
      <c r="F259">
        <v>4</v>
      </c>
      <c r="G259" t="s">
        <v>958</v>
      </c>
      <c r="H259" t="s">
        <v>945</v>
      </c>
      <c r="I259" t="s">
        <v>548</v>
      </c>
      <c r="J259" t="s">
        <v>6</v>
      </c>
      <c r="K259" t="s">
        <v>942</v>
      </c>
      <c r="M259" s="209">
        <v>9</v>
      </c>
    </row>
    <row r="260" spans="1:13">
      <c r="A260">
        <v>96</v>
      </c>
      <c r="B260" t="s">
        <v>294</v>
      </c>
      <c r="C260">
        <v>4</v>
      </c>
      <c r="D260" t="s">
        <v>967</v>
      </c>
      <c r="E260" t="s">
        <v>1</v>
      </c>
      <c r="F260">
        <v>3</v>
      </c>
      <c r="G260" t="s">
        <v>587</v>
      </c>
      <c r="H260" t="s">
        <v>11</v>
      </c>
      <c r="I260" t="s">
        <v>242</v>
      </c>
      <c r="J260" t="s">
        <v>6</v>
      </c>
      <c r="K260" t="s">
        <v>968</v>
      </c>
      <c r="M260" s="209">
        <v>9</v>
      </c>
    </row>
    <row r="261" spans="1:13">
      <c r="A261">
        <v>97</v>
      </c>
      <c r="B261" t="s">
        <v>296</v>
      </c>
      <c r="C261">
        <v>4</v>
      </c>
      <c r="D261" t="s">
        <v>967</v>
      </c>
      <c r="E261" t="s">
        <v>1</v>
      </c>
      <c r="F261">
        <v>3</v>
      </c>
      <c r="G261" t="s">
        <v>958</v>
      </c>
      <c r="H261" t="s">
        <v>945</v>
      </c>
      <c r="I261" t="s">
        <v>548</v>
      </c>
      <c r="J261" t="s">
        <v>6</v>
      </c>
      <c r="K261" t="s">
        <v>942</v>
      </c>
      <c r="M261" s="209">
        <v>9</v>
      </c>
    </row>
    <row r="262" spans="1:13">
      <c r="A262">
        <v>98</v>
      </c>
      <c r="B262" t="s">
        <v>295</v>
      </c>
      <c r="C262">
        <v>4</v>
      </c>
      <c r="D262" t="s">
        <v>967</v>
      </c>
      <c r="E262" t="s">
        <v>1</v>
      </c>
      <c r="F262">
        <v>2</v>
      </c>
      <c r="G262" t="s">
        <v>943</v>
      </c>
      <c r="H262" t="s">
        <v>12</v>
      </c>
      <c r="I262" t="s">
        <v>567</v>
      </c>
      <c r="J262" t="s">
        <v>6</v>
      </c>
      <c r="K262" t="s">
        <v>912</v>
      </c>
      <c r="M262" s="209">
        <v>9</v>
      </c>
    </row>
    <row r="263" spans="1:13">
      <c r="A263">
        <v>99</v>
      </c>
      <c r="B263" t="s">
        <v>295</v>
      </c>
      <c r="C263">
        <v>4</v>
      </c>
      <c r="D263" t="s">
        <v>967</v>
      </c>
      <c r="E263" t="s">
        <v>1</v>
      </c>
      <c r="F263">
        <v>2</v>
      </c>
      <c r="G263" t="s">
        <v>890</v>
      </c>
      <c r="H263" t="s">
        <v>547</v>
      </c>
      <c r="I263" t="s">
        <v>548</v>
      </c>
      <c r="J263" t="s">
        <v>6</v>
      </c>
      <c r="K263" t="s">
        <v>578</v>
      </c>
      <c r="M263" s="209">
        <v>9</v>
      </c>
    </row>
    <row r="264" spans="1:13">
      <c r="A264">
        <v>100</v>
      </c>
      <c r="B264" t="s">
        <v>294</v>
      </c>
      <c r="C264">
        <v>4</v>
      </c>
      <c r="D264" t="s">
        <v>967</v>
      </c>
      <c r="E264" t="s">
        <v>1</v>
      </c>
      <c r="F264">
        <v>2</v>
      </c>
      <c r="G264" t="s">
        <v>586</v>
      </c>
      <c r="H264" t="s">
        <v>11</v>
      </c>
      <c r="I264" t="s">
        <v>242</v>
      </c>
      <c r="J264" t="s">
        <v>6</v>
      </c>
      <c r="K264" t="s">
        <v>565</v>
      </c>
      <c r="M264" s="209">
        <v>9</v>
      </c>
    </row>
    <row r="265" spans="1:13">
      <c r="A265">
        <v>101</v>
      </c>
      <c r="B265" t="s">
        <v>295</v>
      </c>
      <c r="C265">
        <v>4</v>
      </c>
      <c r="D265" t="s">
        <v>967</v>
      </c>
      <c r="E265" t="s">
        <v>1</v>
      </c>
      <c r="F265">
        <v>1</v>
      </c>
      <c r="G265" t="s">
        <v>943</v>
      </c>
      <c r="H265" t="s">
        <v>12</v>
      </c>
      <c r="I265" t="s">
        <v>567</v>
      </c>
      <c r="J265" t="s">
        <v>6</v>
      </c>
      <c r="K265" t="s">
        <v>912</v>
      </c>
      <c r="M265" s="209">
        <v>9</v>
      </c>
    </row>
    <row r="266" spans="1:13">
      <c r="A266">
        <v>102</v>
      </c>
      <c r="B266" t="s">
        <v>294</v>
      </c>
      <c r="C266">
        <v>4</v>
      </c>
      <c r="D266" t="s">
        <v>967</v>
      </c>
      <c r="E266" t="s">
        <v>1</v>
      </c>
      <c r="F266">
        <v>1</v>
      </c>
      <c r="G266" t="s">
        <v>586</v>
      </c>
      <c r="H266" t="s">
        <v>11</v>
      </c>
      <c r="I266" t="s">
        <v>242</v>
      </c>
      <c r="J266" t="s">
        <v>6</v>
      </c>
      <c r="K266" t="s">
        <v>565</v>
      </c>
      <c r="M266" s="209">
        <v>9</v>
      </c>
    </row>
    <row r="267" spans="1:13">
      <c r="A267">
        <v>103</v>
      </c>
      <c r="B267" t="s">
        <v>294</v>
      </c>
      <c r="C267">
        <v>4</v>
      </c>
      <c r="D267" t="s">
        <v>967</v>
      </c>
      <c r="E267" t="s">
        <v>5</v>
      </c>
      <c r="F267">
        <v>4</v>
      </c>
      <c r="G267" t="s">
        <v>931</v>
      </c>
      <c r="H267" t="s">
        <v>11</v>
      </c>
      <c r="I267" t="s">
        <v>242</v>
      </c>
      <c r="J267" t="s">
        <v>6</v>
      </c>
      <c r="K267" t="s">
        <v>968</v>
      </c>
      <c r="M267" s="209">
        <v>9</v>
      </c>
    </row>
    <row r="268" spans="1:13">
      <c r="A268">
        <v>104</v>
      </c>
      <c r="B268" t="s">
        <v>294</v>
      </c>
      <c r="C268">
        <v>4</v>
      </c>
      <c r="D268" t="s">
        <v>967</v>
      </c>
      <c r="E268" t="s">
        <v>5</v>
      </c>
      <c r="F268">
        <v>3</v>
      </c>
      <c r="G268" t="s">
        <v>931</v>
      </c>
      <c r="H268" t="s">
        <v>11</v>
      </c>
      <c r="I268" t="s">
        <v>242</v>
      </c>
      <c r="J268" t="s">
        <v>6</v>
      </c>
      <c r="K268" t="s">
        <v>968</v>
      </c>
      <c r="M268" s="209">
        <v>9</v>
      </c>
    </row>
    <row r="269" spans="1:13">
      <c r="A269">
        <v>105</v>
      </c>
      <c r="B269" t="s">
        <v>294</v>
      </c>
      <c r="C269">
        <v>3</v>
      </c>
      <c r="D269" t="s">
        <v>884</v>
      </c>
      <c r="E269" t="s">
        <v>1</v>
      </c>
      <c r="F269">
        <v>2</v>
      </c>
      <c r="G269" t="s">
        <v>585</v>
      </c>
      <c r="H269" t="s">
        <v>11</v>
      </c>
      <c r="I269" t="s">
        <v>242</v>
      </c>
      <c r="J269" t="s">
        <v>6</v>
      </c>
      <c r="K269" t="s">
        <v>935</v>
      </c>
      <c r="M269" s="209">
        <v>9</v>
      </c>
    </row>
    <row r="270" spans="1:13">
      <c r="A270">
        <v>106</v>
      </c>
      <c r="B270" t="s">
        <v>294</v>
      </c>
      <c r="C270">
        <v>3</v>
      </c>
      <c r="D270" t="s">
        <v>884</v>
      </c>
      <c r="E270" t="s">
        <v>1</v>
      </c>
      <c r="F270">
        <v>1</v>
      </c>
      <c r="G270" t="s">
        <v>585</v>
      </c>
      <c r="H270" t="s">
        <v>11</v>
      </c>
      <c r="I270" t="s">
        <v>242</v>
      </c>
      <c r="J270" t="s">
        <v>6</v>
      </c>
      <c r="K270" t="s">
        <v>935</v>
      </c>
      <c r="M270" s="209">
        <v>9</v>
      </c>
    </row>
    <row r="271" spans="1:13">
      <c r="A271">
        <v>107</v>
      </c>
      <c r="B271" t="s">
        <v>294</v>
      </c>
      <c r="C271">
        <v>3</v>
      </c>
      <c r="D271" t="s">
        <v>884</v>
      </c>
      <c r="E271" t="s">
        <v>5</v>
      </c>
      <c r="F271">
        <v>4</v>
      </c>
      <c r="G271" t="s">
        <v>931</v>
      </c>
      <c r="H271" t="s">
        <v>11</v>
      </c>
      <c r="I271" t="s">
        <v>242</v>
      </c>
      <c r="J271" t="s">
        <v>6</v>
      </c>
      <c r="K271" t="s">
        <v>968</v>
      </c>
      <c r="M271" s="209">
        <v>9</v>
      </c>
    </row>
    <row r="272" spans="1:13">
      <c r="A272">
        <v>108</v>
      </c>
      <c r="B272" t="s">
        <v>294</v>
      </c>
      <c r="C272">
        <v>3</v>
      </c>
      <c r="D272" t="s">
        <v>884</v>
      </c>
      <c r="E272" t="s">
        <v>5</v>
      </c>
      <c r="F272">
        <v>3</v>
      </c>
      <c r="G272" t="s">
        <v>931</v>
      </c>
      <c r="H272" t="s">
        <v>11</v>
      </c>
      <c r="I272" t="s">
        <v>242</v>
      </c>
      <c r="J272" t="s">
        <v>6</v>
      </c>
      <c r="K272" t="s">
        <v>968</v>
      </c>
      <c r="M272" s="209">
        <v>9</v>
      </c>
    </row>
    <row r="273" spans="1:13">
      <c r="A273">
        <v>109</v>
      </c>
      <c r="B273" t="s">
        <v>296</v>
      </c>
      <c r="C273">
        <v>2</v>
      </c>
      <c r="D273" t="s">
        <v>969</v>
      </c>
      <c r="E273" t="s">
        <v>1</v>
      </c>
      <c r="F273">
        <v>4</v>
      </c>
      <c r="G273" t="s">
        <v>913</v>
      </c>
      <c r="H273" t="s">
        <v>7</v>
      </c>
      <c r="I273" t="s">
        <v>920</v>
      </c>
      <c r="J273" t="s">
        <v>6</v>
      </c>
      <c r="K273" t="s">
        <v>970</v>
      </c>
      <c r="M273" s="209">
        <v>9</v>
      </c>
    </row>
    <row r="274" spans="1:13">
      <c r="A274">
        <v>110</v>
      </c>
      <c r="B274" t="s">
        <v>296</v>
      </c>
      <c r="C274">
        <v>2</v>
      </c>
      <c r="D274" t="s">
        <v>969</v>
      </c>
      <c r="E274" t="s">
        <v>1</v>
      </c>
      <c r="F274">
        <v>3</v>
      </c>
      <c r="G274" t="s">
        <v>913</v>
      </c>
      <c r="H274" t="s">
        <v>7</v>
      </c>
      <c r="I274" t="s">
        <v>920</v>
      </c>
      <c r="J274" t="s">
        <v>6</v>
      </c>
      <c r="K274" t="s">
        <v>971</v>
      </c>
      <c r="M274" s="209">
        <v>9</v>
      </c>
    </row>
    <row r="275" spans="1:13">
      <c r="A275">
        <v>111</v>
      </c>
      <c r="B275" t="s">
        <v>296</v>
      </c>
      <c r="C275">
        <v>2</v>
      </c>
      <c r="D275" t="s">
        <v>969</v>
      </c>
      <c r="E275" t="s">
        <v>5</v>
      </c>
      <c r="F275">
        <v>2</v>
      </c>
      <c r="G275" t="s">
        <v>926</v>
      </c>
      <c r="H275" t="s">
        <v>12</v>
      </c>
      <c r="I275" t="s">
        <v>573</v>
      </c>
      <c r="J275" t="s">
        <v>6</v>
      </c>
      <c r="K275" t="s">
        <v>555</v>
      </c>
      <c r="M275" s="209">
        <v>9</v>
      </c>
    </row>
    <row r="276" spans="1:13">
      <c r="A276">
        <v>112</v>
      </c>
      <c r="B276" t="s">
        <v>296</v>
      </c>
      <c r="C276">
        <v>2</v>
      </c>
      <c r="D276" t="s">
        <v>969</v>
      </c>
      <c r="E276" t="s">
        <v>5</v>
      </c>
      <c r="F276">
        <v>1</v>
      </c>
      <c r="G276" t="s">
        <v>926</v>
      </c>
      <c r="H276" t="s">
        <v>12</v>
      </c>
      <c r="I276" t="s">
        <v>573</v>
      </c>
      <c r="J276" t="s">
        <v>6</v>
      </c>
      <c r="K276" t="s">
        <v>555</v>
      </c>
      <c r="M276" s="209">
        <v>9</v>
      </c>
    </row>
    <row r="277" spans="1:13">
      <c r="A277">
        <v>113</v>
      </c>
      <c r="B277" t="s">
        <v>296</v>
      </c>
      <c r="C277">
        <v>7</v>
      </c>
      <c r="D277" t="s">
        <v>972</v>
      </c>
      <c r="E277" t="s">
        <v>1</v>
      </c>
      <c r="F277">
        <v>3</v>
      </c>
      <c r="G277" t="s">
        <v>410</v>
      </c>
      <c r="H277" t="s">
        <v>412</v>
      </c>
      <c r="I277" t="s">
        <v>318</v>
      </c>
      <c r="J277" t="s">
        <v>6</v>
      </c>
      <c r="K277" t="s">
        <v>413</v>
      </c>
      <c r="M277" s="209">
        <v>9</v>
      </c>
    </row>
    <row r="278" spans="1:13">
      <c r="A278">
        <v>114</v>
      </c>
      <c r="B278" t="s">
        <v>296</v>
      </c>
      <c r="C278">
        <v>6</v>
      </c>
      <c r="D278" t="s">
        <v>886</v>
      </c>
      <c r="E278" t="s">
        <v>1</v>
      </c>
      <c r="F278">
        <v>2</v>
      </c>
      <c r="G278" t="s">
        <v>558</v>
      </c>
      <c r="H278" t="s">
        <v>973</v>
      </c>
      <c r="I278" t="s">
        <v>887</v>
      </c>
      <c r="J278" t="s">
        <v>6</v>
      </c>
      <c r="K278" t="s">
        <v>548</v>
      </c>
      <c r="M278" s="209">
        <v>9</v>
      </c>
    </row>
    <row r="279" spans="1:13">
      <c r="A279">
        <v>115</v>
      </c>
      <c r="B279" t="s">
        <v>296</v>
      </c>
      <c r="C279">
        <v>6</v>
      </c>
      <c r="D279" t="s">
        <v>886</v>
      </c>
      <c r="E279" t="s">
        <v>1</v>
      </c>
      <c r="F279">
        <v>1</v>
      </c>
      <c r="G279" t="s">
        <v>917</v>
      </c>
      <c r="H279" t="s">
        <v>973</v>
      </c>
      <c r="I279" t="s">
        <v>889</v>
      </c>
      <c r="J279" t="s">
        <v>6</v>
      </c>
      <c r="K279" t="s">
        <v>974</v>
      </c>
      <c r="M279" s="209">
        <v>9</v>
      </c>
    </row>
    <row r="280" spans="1:13">
      <c r="A280">
        <v>116</v>
      </c>
      <c r="B280" t="s">
        <v>294</v>
      </c>
      <c r="C280">
        <v>6</v>
      </c>
      <c r="D280" t="s">
        <v>886</v>
      </c>
      <c r="E280" t="s">
        <v>5</v>
      </c>
      <c r="F280">
        <v>4</v>
      </c>
      <c r="G280" t="s">
        <v>975</v>
      </c>
      <c r="H280" t="s">
        <v>8</v>
      </c>
      <c r="I280" t="s">
        <v>411</v>
      </c>
      <c r="J280" t="s">
        <v>9</v>
      </c>
      <c r="K280" t="s">
        <v>910</v>
      </c>
      <c r="M280" s="209">
        <v>9</v>
      </c>
    </row>
    <row r="281" spans="1:13">
      <c r="A281">
        <v>117</v>
      </c>
      <c r="B281" t="s">
        <v>294</v>
      </c>
      <c r="C281">
        <v>6</v>
      </c>
      <c r="D281" t="s">
        <v>886</v>
      </c>
      <c r="E281" t="s">
        <v>5</v>
      </c>
      <c r="F281">
        <v>3</v>
      </c>
      <c r="G281" t="s">
        <v>975</v>
      </c>
      <c r="H281" t="s">
        <v>8</v>
      </c>
      <c r="I281" t="s">
        <v>411</v>
      </c>
      <c r="J281" t="s">
        <v>9</v>
      </c>
      <c r="K281" t="s">
        <v>374</v>
      </c>
      <c r="M281" s="209">
        <v>9</v>
      </c>
    </row>
    <row r="282" spans="1:13">
      <c r="A282">
        <v>118</v>
      </c>
      <c r="B282" t="s">
        <v>296</v>
      </c>
      <c r="C282">
        <v>6</v>
      </c>
      <c r="D282" t="s">
        <v>886</v>
      </c>
      <c r="E282" t="s">
        <v>5</v>
      </c>
      <c r="F282">
        <v>2</v>
      </c>
      <c r="G282" t="s">
        <v>544</v>
      </c>
      <c r="H282" t="s">
        <v>976</v>
      </c>
      <c r="I282" t="s">
        <v>887</v>
      </c>
      <c r="J282" t="s">
        <v>6</v>
      </c>
      <c r="K282" t="s">
        <v>548</v>
      </c>
      <c r="M282" s="209">
        <v>9</v>
      </c>
    </row>
    <row r="283" spans="1:13">
      <c r="A283">
        <v>119</v>
      </c>
      <c r="B283" t="s">
        <v>294</v>
      </c>
      <c r="C283">
        <v>6</v>
      </c>
      <c r="D283" t="s">
        <v>886</v>
      </c>
      <c r="E283" t="s">
        <v>5</v>
      </c>
      <c r="F283">
        <v>2</v>
      </c>
      <c r="G283" t="s">
        <v>975</v>
      </c>
      <c r="H283" t="s">
        <v>7</v>
      </c>
      <c r="I283" t="s">
        <v>411</v>
      </c>
      <c r="J283" t="s">
        <v>9</v>
      </c>
      <c r="K283" t="s">
        <v>977</v>
      </c>
      <c r="M283" s="209">
        <v>9</v>
      </c>
    </row>
    <row r="284" spans="1:13">
      <c r="A284">
        <v>120</v>
      </c>
      <c r="B284" t="s">
        <v>296</v>
      </c>
      <c r="C284">
        <v>6</v>
      </c>
      <c r="D284" t="s">
        <v>886</v>
      </c>
      <c r="E284" t="s">
        <v>5</v>
      </c>
      <c r="F284">
        <v>1</v>
      </c>
      <c r="G284" t="s">
        <v>882</v>
      </c>
      <c r="H284" t="s">
        <v>973</v>
      </c>
      <c r="I284" t="s">
        <v>887</v>
      </c>
      <c r="J284" t="s">
        <v>6</v>
      </c>
      <c r="K284" t="s">
        <v>548</v>
      </c>
      <c r="M284" s="209">
        <v>9</v>
      </c>
    </row>
    <row r="285" spans="1:13">
      <c r="A285">
        <v>121</v>
      </c>
      <c r="B285" t="s">
        <v>294</v>
      </c>
      <c r="C285">
        <v>5</v>
      </c>
      <c r="D285" t="s">
        <v>978</v>
      </c>
      <c r="E285" t="s">
        <v>1</v>
      </c>
      <c r="F285">
        <v>4</v>
      </c>
      <c r="G285" t="s">
        <v>975</v>
      </c>
      <c r="H285" t="s">
        <v>8</v>
      </c>
      <c r="I285" t="s">
        <v>411</v>
      </c>
      <c r="J285" t="s">
        <v>9</v>
      </c>
      <c r="K285" t="s">
        <v>977</v>
      </c>
      <c r="M285" s="209">
        <v>9</v>
      </c>
    </row>
    <row r="286" spans="1:13">
      <c r="A286">
        <v>122</v>
      </c>
      <c r="B286" t="s">
        <v>294</v>
      </c>
      <c r="C286">
        <v>5</v>
      </c>
      <c r="D286" t="s">
        <v>978</v>
      </c>
      <c r="E286" t="s">
        <v>1</v>
      </c>
      <c r="F286">
        <v>3</v>
      </c>
      <c r="G286" t="s">
        <v>975</v>
      </c>
      <c r="H286" t="s">
        <v>8</v>
      </c>
      <c r="I286" t="s">
        <v>411</v>
      </c>
      <c r="J286" t="s">
        <v>9</v>
      </c>
      <c r="K286" t="s">
        <v>977</v>
      </c>
      <c r="M286" s="209">
        <v>9</v>
      </c>
    </row>
    <row r="287" spans="1:13">
      <c r="A287">
        <v>123</v>
      </c>
      <c r="B287" t="s">
        <v>294</v>
      </c>
      <c r="C287">
        <v>5</v>
      </c>
      <c r="D287" t="s">
        <v>978</v>
      </c>
      <c r="E287" t="s">
        <v>1</v>
      </c>
      <c r="F287">
        <v>1</v>
      </c>
      <c r="G287" t="s">
        <v>975</v>
      </c>
      <c r="H287" t="s">
        <v>7</v>
      </c>
      <c r="I287" t="s">
        <v>411</v>
      </c>
      <c r="J287" t="s">
        <v>9</v>
      </c>
      <c r="K287" t="s">
        <v>977</v>
      </c>
      <c r="M287" s="209">
        <v>9</v>
      </c>
    </row>
    <row r="288" spans="1:13">
      <c r="A288">
        <v>124</v>
      </c>
      <c r="B288" t="s">
        <v>294</v>
      </c>
      <c r="C288">
        <v>5</v>
      </c>
      <c r="D288" t="s">
        <v>978</v>
      </c>
      <c r="E288" t="s">
        <v>5</v>
      </c>
      <c r="F288">
        <v>2</v>
      </c>
      <c r="G288" t="s">
        <v>975</v>
      </c>
      <c r="H288" t="s">
        <v>8</v>
      </c>
      <c r="I288" t="s">
        <v>411</v>
      </c>
      <c r="J288" t="s">
        <v>9</v>
      </c>
      <c r="K288" t="s">
        <v>911</v>
      </c>
      <c r="M288" s="209">
        <v>9</v>
      </c>
    </row>
    <row r="289" spans="1:13">
      <c r="A289">
        <v>125</v>
      </c>
      <c r="B289" t="s">
        <v>294</v>
      </c>
      <c r="C289">
        <v>5</v>
      </c>
      <c r="D289" t="s">
        <v>978</v>
      </c>
      <c r="E289" t="s">
        <v>5</v>
      </c>
      <c r="F289">
        <v>1</v>
      </c>
      <c r="G289" t="s">
        <v>975</v>
      </c>
      <c r="H289" t="s">
        <v>8</v>
      </c>
      <c r="I289" t="s">
        <v>411</v>
      </c>
      <c r="J289" t="s">
        <v>9</v>
      </c>
      <c r="K289" t="s">
        <v>911</v>
      </c>
      <c r="M289" s="209">
        <v>9</v>
      </c>
    </row>
  </sheetData>
  <pageMargins left="0.7" right="0.7" top="0.75" bottom="0.75" header="0.3" footer="0.3"/>
  <pageSetup orientation="portrait" r:id="rId3"/>
  <tableParts count="1">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2BDD2-5C26-4F80-A082-B8669722AD44}">
  <dimension ref="A1:Z133"/>
  <sheetViews>
    <sheetView zoomScale="55" zoomScaleNormal="55" workbookViewId="0">
      <pane xSplit="2" ySplit="1" topLeftCell="H48" activePane="bottomRight" state="frozen"/>
      <selection activeCell="M12" sqref="M12"/>
      <selection pane="topRight" activeCell="M12" sqref="M12"/>
      <selection pane="bottomLeft" activeCell="M12" sqref="M12"/>
      <selection pane="bottomRight" activeCell="M12" sqref="M12"/>
    </sheetView>
  </sheetViews>
  <sheetFormatPr defaultColWidth="8.7265625" defaultRowHeight="19.5" customHeight="1"/>
  <cols>
    <col min="1" max="1" width="16.90625" style="2" bestFit="1" customWidth="1"/>
    <col min="2" max="2" width="42.08984375" style="2" customWidth="1"/>
    <col min="3" max="3" width="13.6328125" style="2" customWidth="1"/>
    <col min="4" max="4" width="12.453125" style="2" customWidth="1"/>
    <col min="5" max="6" width="11.6328125" style="2" customWidth="1"/>
    <col min="7" max="7" width="19.54296875" style="37" customWidth="1"/>
    <col min="8" max="8" width="20.90625" style="2" customWidth="1"/>
    <col min="9" max="9" width="20.1796875" style="2" customWidth="1"/>
    <col min="10" max="10" width="18" style="2" customWidth="1"/>
    <col min="11" max="11" width="17.453125" style="2" customWidth="1"/>
    <col min="12" max="12" width="9.453125" style="2" customWidth="1"/>
    <col min="13" max="13" width="3.1796875" style="2" customWidth="1"/>
    <col min="14" max="14" width="31" style="2" customWidth="1"/>
    <col min="15" max="25" width="11" style="2" customWidth="1"/>
    <col min="26" max="27" width="8.7265625" style="2"/>
    <col min="28" max="28" width="10.7265625" style="2" customWidth="1"/>
    <col min="29" max="16384" width="8.7265625" style="2"/>
  </cols>
  <sheetData>
    <row r="1" spans="1:26" s="150" customFormat="1" ht="33" customHeight="1">
      <c r="A1" s="151" t="s">
        <v>353</v>
      </c>
      <c r="B1" s="151" t="s">
        <v>354</v>
      </c>
      <c r="C1" s="151" t="s">
        <v>363</v>
      </c>
      <c r="D1" s="151" t="s">
        <v>364</v>
      </c>
      <c r="E1" s="151" t="s">
        <v>365</v>
      </c>
      <c r="F1" s="151" t="s">
        <v>366</v>
      </c>
      <c r="G1" s="151" t="s">
        <v>349</v>
      </c>
      <c r="H1" s="151" t="s">
        <v>350</v>
      </c>
      <c r="I1" s="151" t="s">
        <v>367</v>
      </c>
      <c r="J1" s="151" t="s">
        <v>351</v>
      </c>
      <c r="K1" s="151" t="s">
        <v>352</v>
      </c>
      <c r="L1" s="198" t="s">
        <v>833</v>
      </c>
      <c r="N1" s="205"/>
      <c r="O1" s="206" t="s">
        <v>346</v>
      </c>
      <c r="P1" s="206" t="s">
        <v>372</v>
      </c>
      <c r="Q1" s="206" t="s">
        <v>347</v>
      </c>
      <c r="R1" s="207" t="s">
        <v>348</v>
      </c>
      <c r="S1" s="148"/>
    </row>
    <row r="2" spans="1:26" s="16" customFormat="1" ht="19.5" customHeight="1">
      <c r="A2" s="144" t="s">
        <v>66</v>
      </c>
      <c r="B2" s="144" t="s">
        <v>67</v>
      </c>
      <c r="C2" s="144">
        <v>37</v>
      </c>
      <c r="D2" s="144">
        <v>35</v>
      </c>
      <c r="E2" s="144">
        <v>18</v>
      </c>
      <c r="F2" s="144">
        <v>4</v>
      </c>
      <c r="G2" s="144">
        <v>113</v>
      </c>
      <c r="H2" s="144">
        <v>51</v>
      </c>
      <c r="I2" s="144">
        <v>39</v>
      </c>
      <c r="J2" s="144">
        <v>19</v>
      </c>
      <c r="K2" s="144">
        <v>4</v>
      </c>
      <c r="L2" s="16">
        <v>8</v>
      </c>
      <c r="N2" s="199" t="s">
        <v>355</v>
      </c>
      <c r="O2" s="200">
        <f>O3/SUM($O$3:$S$3)</f>
        <v>8.4349098000975134E-2</v>
      </c>
      <c r="P2" s="200">
        <f>P3/SUM($O$3:$S$3)</f>
        <v>0.41491955143832276</v>
      </c>
      <c r="Q2" s="200">
        <f>Q3/SUM($O$3:$S$3)</f>
        <v>0.35104826913700632</v>
      </c>
      <c r="R2" s="201">
        <f>R3/SUM($O$3:$S$3)</f>
        <v>0.14968308142369577</v>
      </c>
      <c r="S2" s="147"/>
    </row>
    <row r="3" spans="1:26" s="16" customFormat="1" ht="19.5" customHeight="1" thickBot="1">
      <c r="A3" s="144" t="s">
        <v>66</v>
      </c>
      <c r="B3" s="144" t="s">
        <v>522</v>
      </c>
      <c r="C3" s="144">
        <v>0</v>
      </c>
      <c r="D3" s="144">
        <v>0</v>
      </c>
      <c r="E3" s="144">
        <v>0</v>
      </c>
      <c r="F3" s="144">
        <v>1</v>
      </c>
      <c r="G3" s="144">
        <v>1</v>
      </c>
      <c r="H3" s="144">
        <v>0</v>
      </c>
      <c r="I3" s="144">
        <v>0</v>
      </c>
      <c r="J3" s="144">
        <v>0</v>
      </c>
      <c r="K3" s="144">
        <v>1</v>
      </c>
      <c r="L3" s="16">
        <v>8</v>
      </c>
      <c r="N3" s="202" t="s">
        <v>138</v>
      </c>
      <c r="O3" s="203">
        <f>SUM(C:C)</f>
        <v>173</v>
      </c>
      <c r="P3" s="203">
        <f>SUM(D:D)</f>
        <v>851</v>
      </c>
      <c r="Q3" s="203">
        <f>SUM(E:E)</f>
        <v>720</v>
      </c>
      <c r="R3" s="204">
        <f>SUM(F:F)</f>
        <v>307</v>
      </c>
    </row>
    <row r="4" spans="1:26" s="16" customFormat="1" ht="19.5" customHeight="1">
      <c r="A4" s="144" t="s">
        <v>68</v>
      </c>
      <c r="B4" s="144" t="s">
        <v>69</v>
      </c>
      <c r="C4" s="144">
        <v>2</v>
      </c>
      <c r="D4" s="144">
        <v>4</v>
      </c>
      <c r="E4" s="144">
        <v>3</v>
      </c>
      <c r="F4" s="144">
        <v>1</v>
      </c>
      <c r="G4" s="144">
        <v>10</v>
      </c>
      <c r="H4" s="144">
        <v>2</v>
      </c>
      <c r="I4" s="144">
        <v>4</v>
      </c>
      <c r="J4" s="144">
        <v>3</v>
      </c>
      <c r="K4" s="144">
        <v>1</v>
      </c>
      <c r="L4" s="16">
        <v>8</v>
      </c>
      <c r="N4"/>
      <c r="O4"/>
      <c r="P4"/>
      <c r="R4"/>
      <c r="S4"/>
      <c r="T4"/>
    </row>
    <row r="5" spans="1:26" s="16" customFormat="1" ht="19.5" customHeight="1">
      <c r="A5" s="144" t="s">
        <v>70</v>
      </c>
      <c r="B5" s="144" t="s">
        <v>72</v>
      </c>
      <c r="C5" s="144">
        <v>0</v>
      </c>
      <c r="D5" s="144">
        <v>27</v>
      </c>
      <c r="E5" s="144">
        <v>26</v>
      </c>
      <c r="F5" s="144">
        <v>10</v>
      </c>
      <c r="G5" s="144">
        <v>70</v>
      </c>
      <c r="H5" s="144">
        <v>0</v>
      </c>
      <c r="I5" s="144">
        <v>29</v>
      </c>
      <c r="J5" s="144">
        <v>31</v>
      </c>
      <c r="K5" s="144">
        <v>10</v>
      </c>
      <c r="L5" s="16">
        <v>8</v>
      </c>
      <c r="N5" s="21" t="s">
        <v>1005</v>
      </c>
      <c r="O5" s="21" t="s">
        <v>123</v>
      </c>
      <c r="P5"/>
      <c r="Q5"/>
      <c r="R5"/>
      <c r="S5"/>
      <c r="T5"/>
    </row>
    <row r="6" spans="1:26" s="16" customFormat="1" ht="19.5" customHeight="1">
      <c r="A6" s="144" t="s">
        <v>70</v>
      </c>
      <c r="B6" s="144" t="s">
        <v>73</v>
      </c>
      <c r="C6" s="144">
        <v>0</v>
      </c>
      <c r="D6" s="144">
        <v>10</v>
      </c>
      <c r="E6" s="144">
        <v>24</v>
      </c>
      <c r="F6" s="144">
        <v>8</v>
      </c>
      <c r="G6" s="144">
        <v>48</v>
      </c>
      <c r="H6" s="144">
        <v>0</v>
      </c>
      <c r="I6" s="144">
        <v>11</v>
      </c>
      <c r="J6" s="144">
        <v>27</v>
      </c>
      <c r="K6" s="144">
        <v>10</v>
      </c>
      <c r="L6" s="16">
        <v>8</v>
      </c>
      <c r="N6" s="21" t="s">
        <v>120</v>
      </c>
      <c r="O6">
        <v>9</v>
      </c>
      <c r="P6" t="s">
        <v>119</v>
      </c>
      <c r="Q6"/>
      <c r="R6"/>
      <c r="S6" s="208"/>
      <c r="T6" s="208"/>
      <c r="U6" s="208"/>
      <c r="V6" s="208"/>
      <c r="W6" s="208"/>
      <c r="X6" s="208"/>
      <c r="Y6" s="208"/>
      <c r="Z6" s="141"/>
    </row>
    <row r="7" spans="1:26" s="16" customFormat="1" ht="19.5" customHeight="1">
      <c r="A7" s="144" t="s">
        <v>70</v>
      </c>
      <c r="B7" s="144" t="s">
        <v>71</v>
      </c>
      <c r="C7" s="144">
        <v>1</v>
      </c>
      <c r="D7" s="144">
        <v>6</v>
      </c>
      <c r="E7" s="144">
        <v>9</v>
      </c>
      <c r="F7" s="144">
        <v>3</v>
      </c>
      <c r="G7" s="144">
        <v>19</v>
      </c>
      <c r="H7" s="144">
        <v>1</v>
      </c>
      <c r="I7" s="144">
        <v>6</v>
      </c>
      <c r="J7" s="144">
        <v>9</v>
      </c>
      <c r="K7" s="144">
        <v>3</v>
      </c>
      <c r="L7" s="16">
        <v>8</v>
      </c>
      <c r="N7" s="22" t="s">
        <v>66</v>
      </c>
      <c r="O7">
        <v>97</v>
      </c>
      <c r="P7">
        <v>97</v>
      </c>
      <c r="Q7"/>
      <c r="R7"/>
      <c r="S7" s="155"/>
      <c r="T7" s="155"/>
      <c r="U7" s="155"/>
      <c r="V7" s="155"/>
      <c r="W7" s="155"/>
      <c r="X7" s="155"/>
      <c r="Y7" s="155"/>
    </row>
    <row r="8" spans="1:26" s="16" customFormat="1" ht="19.5" customHeight="1">
      <c r="A8" s="144" t="s">
        <v>74</v>
      </c>
      <c r="B8" s="144" t="s">
        <v>311</v>
      </c>
      <c r="C8" s="144">
        <v>0</v>
      </c>
      <c r="D8" s="144">
        <v>5</v>
      </c>
      <c r="E8" s="144">
        <v>0</v>
      </c>
      <c r="F8" s="144">
        <v>1</v>
      </c>
      <c r="G8" s="144">
        <v>7</v>
      </c>
      <c r="H8" s="144">
        <v>0</v>
      </c>
      <c r="I8" s="144">
        <v>5</v>
      </c>
      <c r="J8" s="144">
        <v>0</v>
      </c>
      <c r="K8" s="144">
        <v>2</v>
      </c>
      <c r="L8" s="16">
        <v>8</v>
      </c>
      <c r="N8" s="22" t="s">
        <v>68</v>
      </c>
      <c r="O8">
        <v>0</v>
      </c>
      <c r="P8">
        <v>0</v>
      </c>
      <c r="Q8"/>
      <c r="R8"/>
      <c r="S8" s="155"/>
      <c r="T8" s="155"/>
      <c r="U8" s="155"/>
      <c r="V8" s="155"/>
      <c r="W8" s="155"/>
      <c r="X8" s="155"/>
      <c r="Y8" s="155"/>
    </row>
    <row r="9" spans="1:26" s="16" customFormat="1" ht="19.5" customHeight="1">
      <c r="A9" s="144" t="s">
        <v>74</v>
      </c>
      <c r="B9" s="144" t="s">
        <v>76</v>
      </c>
      <c r="C9" s="144">
        <v>2</v>
      </c>
      <c r="D9" s="144">
        <v>2</v>
      </c>
      <c r="E9" s="144">
        <v>0</v>
      </c>
      <c r="F9" s="144">
        <v>1</v>
      </c>
      <c r="G9" s="144">
        <v>5</v>
      </c>
      <c r="H9" s="144">
        <v>2</v>
      </c>
      <c r="I9" s="144">
        <v>2</v>
      </c>
      <c r="J9" s="144">
        <v>0</v>
      </c>
      <c r="K9" s="144">
        <v>1</v>
      </c>
      <c r="L9" s="16">
        <v>8</v>
      </c>
      <c r="N9" s="22" t="s">
        <v>70</v>
      </c>
      <c r="O9">
        <v>1</v>
      </c>
      <c r="P9">
        <v>1</v>
      </c>
      <c r="Q9"/>
      <c r="R9"/>
      <c r="S9" s="155"/>
      <c r="T9" s="155"/>
      <c r="U9" s="155"/>
      <c r="V9" s="155"/>
      <c r="W9" s="155"/>
      <c r="X9" s="155"/>
      <c r="Y9" s="155"/>
    </row>
    <row r="10" spans="1:26" s="16" customFormat="1" ht="19.5" customHeight="1">
      <c r="A10" s="144" t="s">
        <v>74</v>
      </c>
      <c r="B10" s="144" t="s">
        <v>524</v>
      </c>
      <c r="C10" s="144">
        <v>0</v>
      </c>
      <c r="D10" s="144">
        <v>2</v>
      </c>
      <c r="E10" s="144">
        <v>0</v>
      </c>
      <c r="F10" s="144">
        <v>1</v>
      </c>
      <c r="G10" s="144">
        <v>3</v>
      </c>
      <c r="H10" s="144">
        <v>0</v>
      </c>
      <c r="I10" s="144">
        <v>2</v>
      </c>
      <c r="J10" s="144">
        <v>0</v>
      </c>
      <c r="K10" s="144">
        <v>1</v>
      </c>
      <c r="L10" s="16">
        <v>8</v>
      </c>
      <c r="N10" s="22" t="s">
        <v>74</v>
      </c>
      <c r="O10">
        <v>5</v>
      </c>
      <c r="P10">
        <v>5</v>
      </c>
      <c r="Q10"/>
      <c r="R10"/>
      <c r="S10" s="155"/>
      <c r="T10" s="155"/>
      <c r="U10" s="155"/>
      <c r="V10" s="155"/>
      <c r="W10" s="155"/>
      <c r="X10" s="155"/>
      <c r="Y10" s="155"/>
    </row>
    <row r="11" spans="1:26" s="16" customFormat="1" ht="19.5" customHeight="1">
      <c r="A11" s="144" t="s">
        <v>74</v>
      </c>
      <c r="B11" s="144" t="s">
        <v>527</v>
      </c>
      <c r="C11" s="144">
        <v>0</v>
      </c>
      <c r="D11" s="144">
        <v>0</v>
      </c>
      <c r="E11" s="144">
        <v>0</v>
      </c>
      <c r="F11" s="144">
        <v>1</v>
      </c>
      <c r="G11" s="144">
        <v>1</v>
      </c>
      <c r="H11" s="144">
        <v>0</v>
      </c>
      <c r="I11" s="144">
        <v>0</v>
      </c>
      <c r="J11" s="144">
        <v>0</v>
      </c>
      <c r="K11" s="144">
        <v>1</v>
      </c>
      <c r="L11" s="16">
        <v>8</v>
      </c>
      <c r="N11" s="22" t="s">
        <v>77</v>
      </c>
      <c r="O11">
        <v>1</v>
      </c>
      <c r="P11">
        <v>1</v>
      </c>
      <c r="Q11"/>
      <c r="R11"/>
      <c r="S11" s="155"/>
      <c r="T11" s="155"/>
      <c r="U11" s="155"/>
      <c r="V11" s="155"/>
      <c r="W11" s="155"/>
      <c r="X11" s="155"/>
      <c r="Y11" s="155"/>
    </row>
    <row r="12" spans="1:26" s="16" customFormat="1" ht="19.5" customHeight="1">
      <c r="A12" s="144" t="s">
        <v>74</v>
      </c>
      <c r="B12" s="144" t="s">
        <v>523</v>
      </c>
      <c r="C12" s="144">
        <v>0</v>
      </c>
      <c r="D12" s="144">
        <v>4</v>
      </c>
      <c r="E12" s="144">
        <v>0</v>
      </c>
      <c r="F12" s="144">
        <v>0</v>
      </c>
      <c r="G12" s="144">
        <v>4</v>
      </c>
      <c r="H12" s="144">
        <v>0</v>
      </c>
      <c r="I12" s="144">
        <v>4</v>
      </c>
      <c r="J12" s="144">
        <v>0</v>
      </c>
      <c r="K12" s="144">
        <v>0</v>
      </c>
      <c r="L12" s="16">
        <v>8</v>
      </c>
      <c r="N12" s="22" t="s">
        <v>79</v>
      </c>
      <c r="O12">
        <v>3</v>
      </c>
      <c r="P12">
        <v>3</v>
      </c>
      <c r="Q12"/>
      <c r="R12"/>
      <c r="S12" s="155"/>
      <c r="T12" s="155"/>
      <c r="U12" s="155"/>
      <c r="V12" s="155"/>
      <c r="W12" s="155"/>
      <c r="X12" s="155"/>
      <c r="Y12" s="155"/>
    </row>
    <row r="13" spans="1:26" s="16" customFormat="1" ht="19.5" customHeight="1">
      <c r="A13" s="144" t="s">
        <v>74</v>
      </c>
      <c r="B13" s="144" t="s">
        <v>525</v>
      </c>
      <c r="C13" s="144">
        <v>0</v>
      </c>
      <c r="D13" s="144">
        <v>3</v>
      </c>
      <c r="E13" s="144">
        <v>0</v>
      </c>
      <c r="F13" s="144">
        <v>0</v>
      </c>
      <c r="G13" s="144">
        <v>3</v>
      </c>
      <c r="H13" s="144">
        <v>0</v>
      </c>
      <c r="I13" s="144">
        <v>3</v>
      </c>
      <c r="J13" s="144">
        <v>0</v>
      </c>
      <c r="K13" s="144">
        <v>0</v>
      </c>
      <c r="L13" s="16">
        <v>8</v>
      </c>
      <c r="N13" s="22" t="s">
        <v>82</v>
      </c>
      <c r="O13">
        <v>0</v>
      </c>
      <c r="P13">
        <v>0</v>
      </c>
      <c r="Q13"/>
      <c r="R13"/>
      <c r="S13" s="155"/>
      <c r="T13" s="155"/>
      <c r="U13" s="155"/>
      <c r="V13" s="155"/>
      <c r="W13" s="155"/>
      <c r="X13" s="155"/>
      <c r="Y13" s="155"/>
    </row>
    <row r="14" spans="1:26" s="16" customFormat="1" ht="19.5" customHeight="1">
      <c r="A14" s="144" t="s">
        <v>74</v>
      </c>
      <c r="B14" s="144" t="s">
        <v>403</v>
      </c>
      <c r="C14" s="144">
        <v>1</v>
      </c>
      <c r="D14" s="144">
        <v>1</v>
      </c>
      <c r="E14" s="144">
        <v>0</v>
      </c>
      <c r="F14" s="144">
        <v>0</v>
      </c>
      <c r="G14" s="144">
        <v>2</v>
      </c>
      <c r="H14" s="144">
        <v>1</v>
      </c>
      <c r="I14" s="144">
        <v>1</v>
      </c>
      <c r="J14" s="144">
        <v>0</v>
      </c>
      <c r="K14" s="144">
        <v>0</v>
      </c>
      <c r="L14" s="16">
        <v>8</v>
      </c>
      <c r="N14" s="22" t="s">
        <v>84</v>
      </c>
      <c r="O14">
        <v>3</v>
      </c>
      <c r="P14">
        <v>3</v>
      </c>
      <c r="Q14"/>
      <c r="R14"/>
      <c r="S14" s="155"/>
      <c r="T14" s="155"/>
      <c r="U14" s="155"/>
      <c r="V14" s="155"/>
      <c r="W14" s="155"/>
      <c r="X14" s="155"/>
      <c r="Y14" s="155"/>
    </row>
    <row r="15" spans="1:26" s="16" customFormat="1" ht="19.5" customHeight="1">
      <c r="A15" s="144" t="s">
        <v>74</v>
      </c>
      <c r="B15" s="144" t="s">
        <v>75</v>
      </c>
      <c r="C15" s="144">
        <v>0</v>
      </c>
      <c r="D15" s="144">
        <v>2</v>
      </c>
      <c r="E15" s="144">
        <v>0</v>
      </c>
      <c r="F15" s="144">
        <v>0</v>
      </c>
      <c r="G15" s="144">
        <v>2</v>
      </c>
      <c r="H15" s="144">
        <v>0</v>
      </c>
      <c r="I15" s="144">
        <v>2</v>
      </c>
      <c r="J15" s="144">
        <v>0</v>
      </c>
      <c r="K15" s="144">
        <v>0</v>
      </c>
      <c r="L15" s="16">
        <v>8</v>
      </c>
      <c r="N15" s="22" t="s">
        <v>1003</v>
      </c>
      <c r="O15">
        <v>0</v>
      </c>
      <c r="P15">
        <v>0</v>
      </c>
      <c r="Q15"/>
      <c r="R15"/>
      <c r="S15" s="155"/>
      <c r="T15" s="155"/>
      <c r="U15" s="155"/>
      <c r="V15" s="155"/>
      <c r="W15" s="155"/>
      <c r="X15" s="155"/>
      <c r="Y15" s="155"/>
    </row>
    <row r="16" spans="1:26" s="16" customFormat="1" ht="19.5" customHeight="1">
      <c r="A16" s="144" t="s">
        <v>74</v>
      </c>
      <c r="B16" s="144" t="s">
        <v>526</v>
      </c>
      <c r="C16" s="144">
        <v>0</v>
      </c>
      <c r="D16" s="144">
        <v>1</v>
      </c>
      <c r="E16" s="144">
        <v>0</v>
      </c>
      <c r="F16" s="144">
        <v>0</v>
      </c>
      <c r="G16" s="144">
        <v>1</v>
      </c>
      <c r="H16" s="144">
        <v>0</v>
      </c>
      <c r="I16" s="144">
        <v>1</v>
      </c>
      <c r="J16" s="144">
        <v>0</v>
      </c>
      <c r="K16" s="144">
        <v>0</v>
      </c>
      <c r="L16" s="16">
        <v>8</v>
      </c>
      <c r="N16" s="22" t="s">
        <v>88</v>
      </c>
      <c r="O16">
        <v>0</v>
      </c>
      <c r="P16">
        <v>0</v>
      </c>
      <c r="Q16"/>
      <c r="R16"/>
      <c r="S16" s="155"/>
      <c r="T16" s="155"/>
      <c r="U16" s="155"/>
      <c r="V16" s="155"/>
      <c r="W16" s="155"/>
      <c r="X16" s="155"/>
      <c r="Y16" s="155"/>
    </row>
    <row r="17" spans="1:25" s="16" customFormat="1" ht="19.5" customHeight="1">
      <c r="A17" s="144" t="s">
        <v>77</v>
      </c>
      <c r="B17" s="144" t="s">
        <v>78</v>
      </c>
      <c r="C17" s="144">
        <v>2</v>
      </c>
      <c r="D17" s="144">
        <v>5</v>
      </c>
      <c r="E17" s="144">
        <v>14</v>
      </c>
      <c r="F17" s="144">
        <v>7</v>
      </c>
      <c r="G17" s="144">
        <v>29</v>
      </c>
      <c r="H17" s="144">
        <v>2</v>
      </c>
      <c r="I17" s="144">
        <v>5</v>
      </c>
      <c r="J17" s="144">
        <v>15</v>
      </c>
      <c r="K17" s="144">
        <v>7</v>
      </c>
      <c r="L17" s="16">
        <v>8</v>
      </c>
      <c r="N17" s="22" t="s">
        <v>542</v>
      </c>
      <c r="O17">
        <v>0</v>
      </c>
      <c r="P17">
        <v>0</v>
      </c>
      <c r="Q17"/>
      <c r="R17"/>
      <c r="S17" s="155"/>
      <c r="T17" s="155"/>
      <c r="U17" s="155"/>
      <c r="V17" s="155"/>
      <c r="W17" s="155"/>
      <c r="X17" s="155"/>
      <c r="Y17" s="155"/>
    </row>
    <row r="18" spans="1:25" s="146" customFormat="1" ht="19.5" customHeight="1">
      <c r="A18" s="144" t="s">
        <v>77</v>
      </c>
      <c r="B18" s="144" t="s">
        <v>404</v>
      </c>
      <c r="C18" s="144">
        <v>0</v>
      </c>
      <c r="D18" s="144">
        <v>1</v>
      </c>
      <c r="E18" s="144">
        <v>0</v>
      </c>
      <c r="F18" s="144">
        <v>0</v>
      </c>
      <c r="G18" s="144">
        <v>1</v>
      </c>
      <c r="H18" s="144">
        <v>0</v>
      </c>
      <c r="I18" s="144">
        <v>1</v>
      </c>
      <c r="J18" s="144">
        <v>0</v>
      </c>
      <c r="K18" s="144">
        <v>0</v>
      </c>
      <c r="L18" s="16">
        <v>8</v>
      </c>
      <c r="M18" s="16"/>
      <c r="N18" s="22" t="s">
        <v>92</v>
      </c>
      <c r="O18">
        <v>6</v>
      </c>
      <c r="P18">
        <v>6</v>
      </c>
      <c r="Q18"/>
      <c r="R18"/>
      <c r="S18" s="155"/>
      <c r="T18" s="155"/>
      <c r="U18" s="155"/>
      <c r="V18" s="155"/>
      <c r="W18" s="155"/>
      <c r="X18" s="155"/>
      <c r="Y18" s="155"/>
    </row>
    <row r="19" spans="1:25" s="145" customFormat="1" ht="19.5" customHeight="1">
      <c r="A19" s="144" t="s">
        <v>79</v>
      </c>
      <c r="B19" s="144" t="s">
        <v>80</v>
      </c>
      <c r="C19" s="144">
        <v>5</v>
      </c>
      <c r="D19" s="144">
        <v>8</v>
      </c>
      <c r="E19" s="144">
        <v>7</v>
      </c>
      <c r="F19" s="144">
        <v>0</v>
      </c>
      <c r="G19" s="144">
        <v>21</v>
      </c>
      <c r="H19" s="144">
        <v>6</v>
      </c>
      <c r="I19" s="144">
        <v>8</v>
      </c>
      <c r="J19" s="144">
        <v>7</v>
      </c>
      <c r="K19" s="144">
        <v>0</v>
      </c>
      <c r="L19" s="16">
        <v>8</v>
      </c>
      <c r="M19" s="16"/>
      <c r="N19" s="22" t="s">
        <v>99</v>
      </c>
      <c r="O19">
        <v>8</v>
      </c>
      <c r="P19">
        <v>8</v>
      </c>
      <c r="Q19"/>
      <c r="R19"/>
      <c r="S19" s="155"/>
      <c r="T19" s="155"/>
      <c r="U19" s="155"/>
      <c r="V19" s="155"/>
      <c r="W19" s="155"/>
      <c r="X19" s="155"/>
      <c r="Y19" s="155"/>
    </row>
    <row r="20" spans="1:25" s="145" customFormat="1" ht="19.5" customHeight="1">
      <c r="A20" s="144" t="s">
        <v>79</v>
      </c>
      <c r="B20" s="144" t="s">
        <v>368</v>
      </c>
      <c r="C20" s="144">
        <v>0</v>
      </c>
      <c r="D20" s="144">
        <v>2</v>
      </c>
      <c r="E20" s="144">
        <v>2</v>
      </c>
      <c r="F20" s="144">
        <v>0</v>
      </c>
      <c r="G20" s="144">
        <v>6</v>
      </c>
      <c r="H20" s="144">
        <v>0</v>
      </c>
      <c r="I20" s="144">
        <v>2</v>
      </c>
      <c r="J20" s="144">
        <v>4</v>
      </c>
      <c r="K20" s="144">
        <v>0</v>
      </c>
      <c r="L20" s="16">
        <v>8</v>
      </c>
      <c r="M20" s="16"/>
      <c r="N20" s="22" t="s">
        <v>119</v>
      </c>
      <c r="O20">
        <v>124</v>
      </c>
      <c r="P20">
        <v>124</v>
      </c>
      <c r="Q20"/>
      <c r="R20"/>
      <c r="S20" s="155"/>
      <c r="T20" s="155"/>
      <c r="U20" s="155"/>
      <c r="V20" s="155"/>
      <c r="W20" s="155"/>
      <c r="X20" s="155"/>
      <c r="Y20" s="155"/>
    </row>
    <row r="21" spans="1:25" s="145" customFormat="1" ht="19.5" customHeight="1">
      <c r="A21" s="144" t="s">
        <v>79</v>
      </c>
      <c r="B21" s="144" t="s">
        <v>240</v>
      </c>
      <c r="C21" s="144">
        <v>0</v>
      </c>
      <c r="D21" s="144">
        <v>2</v>
      </c>
      <c r="E21" s="144">
        <v>3</v>
      </c>
      <c r="F21" s="144">
        <v>0</v>
      </c>
      <c r="G21" s="144">
        <v>5</v>
      </c>
      <c r="H21" s="144">
        <v>0</v>
      </c>
      <c r="I21" s="144">
        <v>2</v>
      </c>
      <c r="J21" s="144">
        <v>3</v>
      </c>
      <c r="K21" s="144">
        <v>0</v>
      </c>
      <c r="L21" s="16">
        <v>8</v>
      </c>
      <c r="M21" s="16"/>
      <c r="N21"/>
      <c r="O21"/>
      <c r="P21"/>
      <c r="Q21"/>
      <c r="R21"/>
      <c r="S21"/>
      <c r="T21"/>
      <c r="U21"/>
      <c r="V21"/>
      <c r="W21"/>
      <c r="X21"/>
    </row>
    <row r="22" spans="1:25" s="145" customFormat="1" ht="19.5" customHeight="1">
      <c r="A22" s="144" t="s">
        <v>79</v>
      </c>
      <c r="B22" s="144" t="s">
        <v>81</v>
      </c>
      <c r="C22" s="144">
        <v>0</v>
      </c>
      <c r="D22" s="144">
        <v>3</v>
      </c>
      <c r="E22" s="144">
        <v>1</v>
      </c>
      <c r="F22" s="144">
        <v>0</v>
      </c>
      <c r="G22" s="144">
        <v>4</v>
      </c>
      <c r="H22" s="144">
        <v>0</v>
      </c>
      <c r="I22" s="144">
        <v>3</v>
      </c>
      <c r="J22" s="144">
        <v>1</v>
      </c>
      <c r="K22" s="144">
        <v>0</v>
      </c>
      <c r="L22" s="16">
        <v>8</v>
      </c>
      <c r="M22" s="16"/>
      <c r="N22"/>
      <c r="O22"/>
      <c r="P22"/>
      <c r="Q22"/>
      <c r="R22"/>
      <c r="S22" s="208"/>
      <c r="T22" s="208"/>
      <c r="U22" s="208"/>
      <c r="V22" s="208"/>
      <c r="W22" s="208"/>
      <c r="X22" s="208"/>
      <c r="Y22" s="208"/>
    </row>
    <row r="23" spans="1:25" s="145" customFormat="1" ht="19.5" customHeight="1">
      <c r="A23" s="144" t="s">
        <v>79</v>
      </c>
      <c r="B23" s="144" t="s">
        <v>343</v>
      </c>
      <c r="C23" s="144">
        <v>0</v>
      </c>
      <c r="D23" s="144">
        <v>2</v>
      </c>
      <c r="E23" s="144">
        <v>0</v>
      </c>
      <c r="F23" s="144">
        <v>0</v>
      </c>
      <c r="G23" s="144">
        <v>2</v>
      </c>
      <c r="H23" s="144">
        <v>0</v>
      </c>
      <c r="I23" s="144">
        <v>2</v>
      </c>
      <c r="J23" s="144">
        <v>0</v>
      </c>
      <c r="K23" s="144">
        <v>0</v>
      </c>
      <c r="L23" s="16">
        <v>8</v>
      </c>
      <c r="M23" s="16"/>
      <c r="N23" s="21" t="s">
        <v>1006</v>
      </c>
      <c r="O23" s="21" t="s">
        <v>123</v>
      </c>
      <c r="P23"/>
      <c r="Q23" s="155"/>
      <c r="R23" s="155"/>
      <c r="S23" s="155"/>
      <c r="T23" s="155"/>
      <c r="U23" s="155"/>
      <c r="V23" s="155"/>
      <c r="W23" s="155"/>
      <c r="X23" s="155"/>
      <c r="Y23" s="155"/>
    </row>
    <row r="24" spans="1:25" s="145" customFormat="1" ht="19.5" customHeight="1">
      <c r="A24" s="144" t="s">
        <v>79</v>
      </c>
      <c r="B24" s="144" t="s">
        <v>528</v>
      </c>
      <c r="C24" s="144">
        <v>1</v>
      </c>
      <c r="D24" s="144">
        <v>1</v>
      </c>
      <c r="E24" s="144">
        <v>0</v>
      </c>
      <c r="F24" s="144">
        <v>0</v>
      </c>
      <c r="G24" s="144">
        <v>2</v>
      </c>
      <c r="H24" s="144">
        <v>1</v>
      </c>
      <c r="I24" s="144">
        <v>1</v>
      </c>
      <c r="J24" s="144">
        <v>0</v>
      </c>
      <c r="K24" s="144">
        <v>0</v>
      </c>
      <c r="L24" s="16">
        <v>8</v>
      </c>
      <c r="M24" s="16"/>
      <c r="N24" s="21" t="s">
        <v>120</v>
      </c>
      <c r="O24">
        <v>9</v>
      </c>
      <c r="P24" t="s">
        <v>119</v>
      </c>
      <c r="Q24" s="155"/>
      <c r="R24" s="155"/>
      <c r="S24" s="155"/>
      <c r="T24" s="155"/>
      <c r="U24" s="155"/>
      <c r="V24" s="155"/>
      <c r="W24" s="155"/>
      <c r="X24" s="155"/>
      <c r="Y24" s="155"/>
    </row>
    <row r="25" spans="1:25" s="145" customFormat="1" ht="19.5" customHeight="1">
      <c r="A25" s="144" t="s">
        <v>82</v>
      </c>
      <c r="B25" s="144" t="s">
        <v>83</v>
      </c>
      <c r="C25" s="144">
        <v>0</v>
      </c>
      <c r="D25" s="144">
        <v>1</v>
      </c>
      <c r="E25" s="144">
        <v>2</v>
      </c>
      <c r="F25" s="144">
        <v>1</v>
      </c>
      <c r="G25" s="144">
        <v>5</v>
      </c>
      <c r="H25" s="144">
        <v>0</v>
      </c>
      <c r="I25" s="144">
        <v>1</v>
      </c>
      <c r="J25" s="144">
        <v>3</v>
      </c>
      <c r="K25" s="144">
        <v>1</v>
      </c>
      <c r="L25" s="16">
        <v>8</v>
      </c>
      <c r="M25" s="16"/>
      <c r="N25" s="22" t="s">
        <v>66</v>
      </c>
      <c r="O25">
        <v>53</v>
      </c>
      <c r="P25">
        <v>53</v>
      </c>
      <c r="Q25" s="155"/>
      <c r="R25" s="155"/>
      <c r="S25" s="155"/>
      <c r="T25" s="155"/>
      <c r="U25" s="155"/>
      <c r="V25" s="155"/>
      <c r="W25" s="155"/>
      <c r="X25" s="155"/>
      <c r="Y25" s="155"/>
    </row>
    <row r="26" spans="1:25" s="145" customFormat="1" ht="19.5" customHeight="1">
      <c r="A26" s="144" t="s">
        <v>82</v>
      </c>
      <c r="B26" s="144" t="s">
        <v>405</v>
      </c>
      <c r="C26" s="144">
        <v>0</v>
      </c>
      <c r="D26" s="144">
        <v>6</v>
      </c>
      <c r="E26" s="144">
        <v>2</v>
      </c>
      <c r="F26" s="144">
        <v>0</v>
      </c>
      <c r="G26" s="144">
        <v>8</v>
      </c>
      <c r="H26" s="144">
        <v>0</v>
      </c>
      <c r="I26" s="144">
        <v>6</v>
      </c>
      <c r="J26" s="144">
        <v>2</v>
      </c>
      <c r="K26" s="144">
        <v>0</v>
      </c>
      <c r="L26" s="16">
        <v>8</v>
      </c>
      <c r="M26" s="16"/>
      <c r="N26" s="22" t="s">
        <v>68</v>
      </c>
      <c r="O26">
        <v>1</v>
      </c>
      <c r="P26">
        <v>1</v>
      </c>
      <c r="Q26" s="155"/>
      <c r="R26" s="155"/>
      <c r="S26" s="155"/>
      <c r="T26" s="155"/>
      <c r="U26" s="155"/>
      <c r="V26" s="155"/>
      <c r="W26" s="155"/>
      <c r="X26" s="155"/>
      <c r="Y26" s="155"/>
    </row>
    <row r="27" spans="1:25" s="145" customFormat="1" ht="19.5" customHeight="1">
      <c r="A27" s="144" t="s">
        <v>82</v>
      </c>
      <c r="B27" s="144" t="s">
        <v>529</v>
      </c>
      <c r="C27" s="144">
        <v>0</v>
      </c>
      <c r="D27" s="144">
        <v>3</v>
      </c>
      <c r="E27" s="144">
        <v>1</v>
      </c>
      <c r="F27" s="144">
        <v>0</v>
      </c>
      <c r="G27" s="144">
        <v>4</v>
      </c>
      <c r="H27" s="144">
        <v>0</v>
      </c>
      <c r="I27" s="144">
        <v>3</v>
      </c>
      <c r="J27" s="144">
        <v>1</v>
      </c>
      <c r="K27" s="144">
        <v>0</v>
      </c>
      <c r="L27" s="16">
        <v>8</v>
      </c>
      <c r="M27" s="16"/>
      <c r="N27" s="22" t="s">
        <v>70</v>
      </c>
      <c r="O27">
        <v>34</v>
      </c>
      <c r="P27">
        <v>34</v>
      </c>
      <c r="Q27" s="155"/>
      <c r="R27" s="155"/>
      <c r="S27" s="155"/>
      <c r="T27" s="155"/>
      <c r="U27" s="155"/>
      <c r="V27" s="155"/>
      <c r="W27" s="155"/>
      <c r="X27" s="155"/>
      <c r="Y27" s="155"/>
    </row>
    <row r="28" spans="1:25" s="145" customFormat="1" ht="19.5" customHeight="1">
      <c r="A28" s="144" t="s">
        <v>82</v>
      </c>
      <c r="B28" s="144" t="s">
        <v>369</v>
      </c>
      <c r="C28" s="144">
        <v>0</v>
      </c>
      <c r="D28" s="144">
        <v>1</v>
      </c>
      <c r="E28" s="144">
        <v>1</v>
      </c>
      <c r="F28" s="144">
        <v>0</v>
      </c>
      <c r="G28" s="144">
        <v>2</v>
      </c>
      <c r="H28" s="144">
        <v>0</v>
      </c>
      <c r="I28" s="144">
        <v>1</v>
      </c>
      <c r="J28" s="144">
        <v>1</v>
      </c>
      <c r="K28" s="144">
        <v>0</v>
      </c>
      <c r="L28" s="16">
        <v>8</v>
      </c>
      <c r="M28" s="16"/>
      <c r="N28" s="22" t="s">
        <v>74</v>
      </c>
      <c r="O28">
        <v>11</v>
      </c>
      <c r="P28">
        <v>11</v>
      </c>
      <c r="Q28" s="155"/>
      <c r="R28" s="155"/>
      <c r="S28" s="155"/>
      <c r="T28" s="155"/>
      <c r="U28" s="155"/>
      <c r="V28" s="155"/>
      <c r="W28" s="155"/>
      <c r="X28" s="155"/>
      <c r="Y28" s="155"/>
    </row>
    <row r="29" spans="1:25" s="145" customFormat="1" ht="19.5" customHeight="1">
      <c r="A29" s="144" t="s">
        <v>82</v>
      </c>
      <c r="B29" s="144" t="s">
        <v>530</v>
      </c>
      <c r="C29" s="144">
        <v>0</v>
      </c>
      <c r="D29" s="144">
        <v>0</v>
      </c>
      <c r="E29" s="144">
        <v>1</v>
      </c>
      <c r="F29" s="144">
        <v>0</v>
      </c>
      <c r="G29" s="144">
        <v>1</v>
      </c>
      <c r="H29" s="144">
        <v>0</v>
      </c>
      <c r="I29" s="144">
        <v>0</v>
      </c>
      <c r="J29" s="144">
        <v>1</v>
      </c>
      <c r="K29" s="144">
        <v>0</v>
      </c>
      <c r="L29" s="16">
        <v>8</v>
      </c>
      <c r="M29" s="16"/>
      <c r="N29" s="22" t="s">
        <v>77</v>
      </c>
      <c r="O29">
        <v>7</v>
      </c>
      <c r="P29">
        <v>7</v>
      </c>
      <c r="Q29" s="155"/>
      <c r="R29" s="155"/>
      <c r="S29" s="155"/>
      <c r="T29" s="155"/>
      <c r="U29" s="155"/>
      <c r="V29" s="155"/>
      <c r="W29" s="155"/>
      <c r="X29" s="155"/>
      <c r="Y29" s="155"/>
    </row>
    <row r="30" spans="1:25" s="145" customFormat="1" ht="19.5" customHeight="1">
      <c r="A30" s="144" t="s">
        <v>82</v>
      </c>
      <c r="B30" s="144" t="s">
        <v>531</v>
      </c>
      <c r="C30" s="144">
        <v>0</v>
      </c>
      <c r="D30" s="144">
        <v>1</v>
      </c>
      <c r="E30" s="144">
        <v>0</v>
      </c>
      <c r="F30" s="144">
        <v>0</v>
      </c>
      <c r="G30" s="144">
        <v>1</v>
      </c>
      <c r="H30" s="144">
        <v>0</v>
      </c>
      <c r="I30" s="144">
        <v>1</v>
      </c>
      <c r="J30" s="144">
        <v>0</v>
      </c>
      <c r="K30" s="144">
        <v>0</v>
      </c>
      <c r="L30" s="16">
        <v>8</v>
      </c>
      <c r="M30" s="16"/>
      <c r="N30" s="22" t="s">
        <v>79</v>
      </c>
      <c r="O30">
        <v>28</v>
      </c>
      <c r="P30">
        <v>28</v>
      </c>
      <c r="Q30" s="155"/>
      <c r="R30" s="155"/>
      <c r="S30" s="155"/>
      <c r="T30" s="155"/>
      <c r="U30" s="155"/>
      <c r="V30" s="155"/>
      <c r="W30" s="155"/>
      <c r="X30" s="155"/>
      <c r="Y30" s="155"/>
    </row>
    <row r="31" spans="1:25" s="145" customFormat="1" ht="19.5" customHeight="1">
      <c r="A31" s="144" t="s">
        <v>84</v>
      </c>
      <c r="B31" s="144" t="s">
        <v>87</v>
      </c>
      <c r="C31" s="144">
        <v>4</v>
      </c>
      <c r="D31" s="144">
        <v>46</v>
      </c>
      <c r="E31" s="144">
        <v>70</v>
      </c>
      <c r="F31" s="144">
        <v>16</v>
      </c>
      <c r="G31" s="144">
        <v>174</v>
      </c>
      <c r="H31" s="144">
        <v>4</v>
      </c>
      <c r="I31" s="144">
        <v>54</v>
      </c>
      <c r="J31" s="144">
        <v>98</v>
      </c>
      <c r="K31" s="144">
        <v>18</v>
      </c>
      <c r="L31" s="16">
        <v>8</v>
      </c>
      <c r="M31" s="16"/>
      <c r="N31" s="22" t="s">
        <v>82</v>
      </c>
      <c r="O31">
        <v>11</v>
      </c>
      <c r="P31">
        <v>11</v>
      </c>
      <c r="Q31" s="155"/>
      <c r="R31" s="155"/>
      <c r="S31" s="155"/>
      <c r="T31" s="155"/>
      <c r="U31" s="155"/>
      <c r="V31" s="155"/>
      <c r="W31" s="155"/>
      <c r="X31" s="155"/>
      <c r="Y31" s="155"/>
    </row>
    <row r="32" spans="1:25" s="145" customFormat="1" ht="19.5" customHeight="1">
      <c r="A32" s="144" t="s">
        <v>84</v>
      </c>
      <c r="B32" s="144" t="s">
        <v>155</v>
      </c>
      <c r="C32" s="144">
        <v>1</v>
      </c>
      <c r="D32" s="144">
        <v>0</v>
      </c>
      <c r="E32" s="144">
        <v>2</v>
      </c>
      <c r="F32" s="144">
        <v>5</v>
      </c>
      <c r="G32" s="144">
        <v>9</v>
      </c>
      <c r="H32" s="144">
        <v>1</v>
      </c>
      <c r="I32" s="144">
        <v>0</v>
      </c>
      <c r="J32" s="144">
        <v>2</v>
      </c>
      <c r="K32" s="144">
        <v>6</v>
      </c>
      <c r="L32" s="16">
        <v>8</v>
      </c>
      <c r="M32" s="16"/>
      <c r="N32" s="22" t="s">
        <v>84</v>
      </c>
      <c r="O32">
        <v>84</v>
      </c>
      <c r="P32">
        <v>84</v>
      </c>
      <c r="Q32" s="155"/>
      <c r="R32" s="155"/>
      <c r="S32" s="155"/>
      <c r="T32" s="155"/>
      <c r="U32" s="155"/>
      <c r="V32" s="155"/>
      <c r="W32" s="155"/>
      <c r="X32" s="155"/>
      <c r="Y32" s="155"/>
    </row>
    <row r="33" spans="1:25" s="145" customFormat="1" ht="19.5" customHeight="1">
      <c r="A33" s="144" t="s">
        <v>84</v>
      </c>
      <c r="B33" s="144" t="s">
        <v>370</v>
      </c>
      <c r="C33" s="144">
        <v>0</v>
      </c>
      <c r="D33" s="144">
        <v>0</v>
      </c>
      <c r="E33" s="144">
        <v>0</v>
      </c>
      <c r="F33" s="144">
        <v>1</v>
      </c>
      <c r="G33" s="144">
        <v>1</v>
      </c>
      <c r="H33" s="144">
        <v>0</v>
      </c>
      <c r="I33" s="144">
        <v>0</v>
      </c>
      <c r="J33" s="144">
        <v>0</v>
      </c>
      <c r="K33" s="144">
        <v>1</v>
      </c>
      <c r="L33" s="16">
        <v>8</v>
      </c>
      <c r="M33" s="16"/>
      <c r="N33" s="22" t="s">
        <v>1003</v>
      </c>
      <c r="O33">
        <v>0</v>
      </c>
      <c r="P33">
        <v>0</v>
      </c>
      <c r="Q33" s="155"/>
      <c r="R33" s="155"/>
      <c r="S33" s="155"/>
      <c r="T33" s="155"/>
      <c r="U33" s="155"/>
      <c r="V33" s="155"/>
      <c r="W33" s="155"/>
      <c r="X33" s="155"/>
      <c r="Y33" s="155"/>
    </row>
    <row r="34" spans="1:25" s="145" customFormat="1" ht="19.5" customHeight="1">
      <c r="A34" s="144" t="s">
        <v>84</v>
      </c>
      <c r="B34" s="144" t="s">
        <v>86</v>
      </c>
      <c r="C34" s="144">
        <v>1</v>
      </c>
      <c r="D34" s="144">
        <v>21</v>
      </c>
      <c r="E34" s="144">
        <v>9</v>
      </c>
      <c r="F34" s="144">
        <v>0</v>
      </c>
      <c r="G34" s="144">
        <v>37</v>
      </c>
      <c r="H34" s="144">
        <v>1</v>
      </c>
      <c r="I34" s="144">
        <v>21</v>
      </c>
      <c r="J34" s="144">
        <v>15</v>
      </c>
      <c r="K34" s="144">
        <v>0</v>
      </c>
      <c r="L34" s="16">
        <v>8</v>
      </c>
      <c r="M34" s="16"/>
      <c r="N34" s="22" t="s">
        <v>88</v>
      </c>
      <c r="O34">
        <v>24</v>
      </c>
      <c r="P34">
        <v>24</v>
      </c>
      <c r="Q34" s="155"/>
      <c r="R34" s="155"/>
      <c r="S34" s="155"/>
      <c r="T34" s="155"/>
      <c r="U34" s="155"/>
      <c r="V34" s="155"/>
      <c r="W34" s="155"/>
      <c r="X34" s="155"/>
      <c r="Y34" s="155"/>
    </row>
    <row r="35" spans="1:25" s="145" customFormat="1" ht="19.5" customHeight="1">
      <c r="A35" s="144" t="s">
        <v>84</v>
      </c>
      <c r="B35" s="144" t="s">
        <v>532</v>
      </c>
      <c r="C35" s="144">
        <v>0</v>
      </c>
      <c r="D35" s="144">
        <v>4</v>
      </c>
      <c r="E35" s="144">
        <v>1</v>
      </c>
      <c r="F35" s="144">
        <v>0</v>
      </c>
      <c r="G35" s="144">
        <v>5</v>
      </c>
      <c r="H35" s="144">
        <v>0</v>
      </c>
      <c r="I35" s="144">
        <v>4</v>
      </c>
      <c r="J35" s="144">
        <v>1</v>
      </c>
      <c r="K35" s="144">
        <v>0</v>
      </c>
      <c r="L35" s="16">
        <v>8</v>
      </c>
      <c r="M35" s="16"/>
      <c r="N35" s="22" t="s">
        <v>542</v>
      </c>
      <c r="O35">
        <v>0</v>
      </c>
      <c r="P35">
        <v>0</v>
      </c>
      <c r="Q35" s="155"/>
      <c r="R35" s="155"/>
      <c r="S35" s="155"/>
      <c r="T35" s="155"/>
      <c r="U35" s="155"/>
      <c r="V35" s="155"/>
      <c r="W35" s="155"/>
      <c r="X35" s="155"/>
      <c r="Y35" s="155"/>
    </row>
    <row r="36" spans="1:25" s="145" customFormat="1" ht="19.5" customHeight="1">
      <c r="A36" s="144" t="s">
        <v>84</v>
      </c>
      <c r="B36" s="144" t="s">
        <v>85</v>
      </c>
      <c r="C36" s="144">
        <v>0</v>
      </c>
      <c r="D36" s="144">
        <v>3</v>
      </c>
      <c r="E36" s="144">
        <v>1</v>
      </c>
      <c r="F36" s="144">
        <v>0</v>
      </c>
      <c r="G36" s="144">
        <v>4</v>
      </c>
      <c r="H36" s="144">
        <v>0</v>
      </c>
      <c r="I36" s="144">
        <v>3</v>
      </c>
      <c r="J36" s="144">
        <v>1</v>
      </c>
      <c r="K36" s="144">
        <v>0</v>
      </c>
      <c r="L36" s="16">
        <v>8</v>
      </c>
      <c r="M36" s="16"/>
      <c r="N36" s="22" t="s">
        <v>92</v>
      </c>
      <c r="O36">
        <v>135</v>
      </c>
      <c r="P36">
        <v>135</v>
      </c>
      <c r="Q36" s="184"/>
      <c r="R36" s="184"/>
      <c r="S36" s="184"/>
      <c r="T36" s="184"/>
      <c r="U36" s="184"/>
      <c r="V36" s="184"/>
      <c r="W36" s="184"/>
      <c r="X36" s="184"/>
      <c r="Y36" s="184"/>
    </row>
    <row r="37" spans="1:25" s="145" customFormat="1" ht="19.5" customHeight="1">
      <c r="A37" s="144" t="s">
        <v>84</v>
      </c>
      <c r="B37" s="144" t="s">
        <v>406</v>
      </c>
      <c r="C37" s="144">
        <v>0</v>
      </c>
      <c r="D37" s="144">
        <v>1</v>
      </c>
      <c r="E37" s="144">
        <v>1</v>
      </c>
      <c r="F37" s="144">
        <v>0</v>
      </c>
      <c r="G37" s="144">
        <v>2</v>
      </c>
      <c r="H37" s="144">
        <v>0</v>
      </c>
      <c r="I37" s="144">
        <v>1</v>
      </c>
      <c r="J37" s="144">
        <v>1</v>
      </c>
      <c r="K37" s="144">
        <v>0</v>
      </c>
      <c r="L37" s="16">
        <v>8</v>
      </c>
      <c r="M37" s="16"/>
      <c r="N37" s="22" t="s">
        <v>99</v>
      </c>
      <c r="O37">
        <v>66</v>
      </c>
      <c r="P37">
        <v>66</v>
      </c>
    </row>
    <row r="38" spans="1:25" s="145" customFormat="1" ht="19.5" customHeight="1">
      <c r="A38" s="144" t="s">
        <v>84</v>
      </c>
      <c r="B38" s="144" t="s">
        <v>533</v>
      </c>
      <c r="C38" s="144">
        <v>0</v>
      </c>
      <c r="D38" s="152">
        <v>1</v>
      </c>
      <c r="E38" s="144">
        <v>0</v>
      </c>
      <c r="F38" s="144">
        <v>0</v>
      </c>
      <c r="G38" s="144">
        <v>1</v>
      </c>
      <c r="H38" s="144">
        <v>0</v>
      </c>
      <c r="I38" s="144">
        <v>1</v>
      </c>
      <c r="J38" s="144">
        <v>0</v>
      </c>
      <c r="K38" s="144">
        <v>0</v>
      </c>
      <c r="L38" s="16">
        <v>8</v>
      </c>
      <c r="M38" s="16"/>
      <c r="N38" s="22" t="s">
        <v>119</v>
      </c>
      <c r="O38">
        <v>454</v>
      </c>
      <c r="P38">
        <v>454</v>
      </c>
      <c r="Q38" s="208"/>
      <c r="R38" s="208"/>
      <c r="S38" s="208"/>
      <c r="T38" s="208"/>
      <c r="U38" s="208"/>
      <c r="V38" s="208"/>
      <c r="W38" s="208"/>
      <c r="X38" s="208"/>
      <c r="Y38" s="208"/>
    </row>
    <row r="39" spans="1:25" s="145" customFormat="1" ht="19.5" customHeight="1">
      <c r="A39" s="144" t="s">
        <v>84</v>
      </c>
      <c r="B39" s="144" t="s">
        <v>534</v>
      </c>
      <c r="C39" s="144">
        <v>0</v>
      </c>
      <c r="D39" s="144">
        <v>1</v>
      </c>
      <c r="E39" s="144">
        <v>0</v>
      </c>
      <c r="F39" s="144">
        <v>0</v>
      </c>
      <c r="G39" s="144">
        <v>1</v>
      </c>
      <c r="H39" s="144">
        <v>0</v>
      </c>
      <c r="I39" s="144">
        <v>1</v>
      </c>
      <c r="J39" s="144">
        <v>0</v>
      </c>
      <c r="K39" s="144">
        <v>0</v>
      </c>
      <c r="L39" s="16">
        <v>8</v>
      </c>
      <c r="M39" s="16"/>
      <c r="N39" s="144"/>
      <c r="O39" s="155"/>
      <c r="P39" s="155"/>
      <c r="Q39" s="155"/>
      <c r="R39" s="155"/>
      <c r="S39" s="155"/>
      <c r="T39" s="155"/>
      <c r="U39" s="155"/>
      <c r="V39" s="155"/>
      <c r="W39" s="155"/>
      <c r="X39" s="155"/>
      <c r="Y39" s="155"/>
    </row>
    <row r="40" spans="1:25" s="145" customFormat="1" ht="19.5" customHeight="1">
      <c r="A40" s="144" t="s">
        <v>407</v>
      </c>
      <c r="B40" s="144" t="s">
        <v>408</v>
      </c>
      <c r="C40" s="144">
        <v>0</v>
      </c>
      <c r="D40" s="144">
        <v>0</v>
      </c>
      <c r="E40" s="144">
        <v>1</v>
      </c>
      <c r="F40" s="144">
        <v>0</v>
      </c>
      <c r="G40" s="144">
        <v>1</v>
      </c>
      <c r="H40" s="144">
        <v>0</v>
      </c>
      <c r="I40" s="144">
        <v>0</v>
      </c>
      <c r="J40" s="144">
        <v>1</v>
      </c>
      <c r="K40" s="144">
        <v>0</v>
      </c>
      <c r="L40" s="16">
        <v>8</v>
      </c>
      <c r="M40" s="16"/>
      <c r="N40" s="144"/>
      <c r="O40" s="155"/>
      <c r="P40" s="155"/>
      <c r="Q40" s="155"/>
      <c r="R40" s="155"/>
      <c r="S40" s="155"/>
      <c r="T40" s="155"/>
      <c r="U40" s="155"/>
      <c r="V40" s="155"/>
      <c r="W40" s="155"/>
      <c r="X40" s="155"/>
      <c r="Y40" s="155"/>
    </row>
    <row r="41" spans="1:25" s="145" customFormat="1" ht="19.5" customHeight="1">
      <c r="A41" s="144" t="s">
        <v>88</v>
      </c>
      <c r="B41" s="144" t="s">
        <v>90</v>
      </c>
      <c r="C41" s="144">
        <v>3</v>
      </c>
      <c r="D41" s="144">
        <v>27</v>
      </c>
      <c r="E41" s="144">
        <v>19</v>
      </c>
      <c r="F41" s="144">
        <v>9</v>
      </c>
      <c r="G41" s="144">
        <v>62</v>
      </c>
      <c r="H41" s="144">
        <v>3</v>
      </c>
      <c r="I41" s="144">
        <v>31</v>
      </c>
      <c r="J41" s="144">
        <v>19</v>
      </c>
      <c r="K41" s="144">
        <v>9</v>
      </c>
      <c r="L41" s="16">
        <v>8</v>
      </c>
      <c r="M41" s="16"/>
      <c r="N41" s="21" t="s">
        <v>1007</v>
      </c>
      <c r="O41" s="21" t="s">
        <v>123</v>
      </c>
      <c r="P41"/>
      <c r="Q41" s="155"/>
      <c r="R41" s="155"/>
      <c r="S41" s="155"/>
      <c r="T41" s="155"/>
      <c r="U41" s="155"/>
      <c r="V41" s="155"/>
      <c r="W41" s="155"/>
      <c r="X41" s="155"/>
      <c r="Y41" s="155"/>
    </row>
    <row r="42" spans="1:25" s="145" customFormat="1" ht="19.5" customHeight="1">
      <c r="A42" s="144" t="s">
        <v>88</v>
      </c>
      <c r="B42" s="144" t="s">
        <v>89</v>
      </c>
      <c r="C42" s="144">
        <v>0</v>
      </c>
      <c r="D42" s="144">
        <v>3</v>
      </c>
      <c r="E42" s="144">
        <v>5</v>
      </c>
      <c r="F42" s="144">
        <v>7</v>
      </c>
      <c r="G42" s="144">
        <v>16</v>
      </c>
      <c r="H42" s="144">
        <v>0</v>
      </c>
      <c r="I42" s="144">
        <v>4</v>
      </c>
      <c r="J42" s="144">
        <v>5</v>
      </c>
      <c r="K42" s="144">
        <v>7</v>
      </c>
      <c r="L42" s="16">
        <v>8</v>
      </c>
      <c r="M42" s="16"/>
      <c r="N42" s="21" t="s">
        <v>120</v>
      </c>
      <c r="O42">
        <v>9</v>
      </c>
      <c r="P42" t="s">
        <v>119</v>
      </c>
      <c r="Q42" s="155"/>
      <c r="R42" s="155"/>
      <c r="S42" s="155"/>
      <c r="T42" s="155"/>
      <c r="U42" s="155"/>
      <c r="V42" s="155"/>
      <c r="W42" s="155"/>
      <c r="X42" s="155"/>
      <c r="Y42" s="155"/>
    </row>
    <row r="43" spans="1:25" s="145" customFormat="1" ht="19.5" customHeight="1">
      <c r="A43" s="144" t="s">
        <v>88</v>
      </c>
      <c r="B43" s="144" t="s">
        <v>91</v>
      </c>
      <c r="C43" s="144">
        <v>0</v>
      </c>
      <c r="D43" s="144">
        <v>0</v>
      </c>
      <c r="E43" s="144">
        <v>1</v>
      </c>
      <c r="F43" s="144">
        <v>3</v>
      </c>
      <c r="G43" s="144">
        <v>4</v>
      </c>
      <c r="H43" s="144">
        <v>0</v>
      </c>
      <c r="I43" s="144">
        <v>0</v>
      </c>
      <c r="J43" s="144">
        <v>1</v>
      </c>
      <c r="K43" s="144">
        <v>3</v>
      </c>
      <c r="L43" s="16">
        <v>8</v>
      </c>
      <c r="M43" s="16"/>
      <c r="N43" s="22" t="s">
        <v>66</v>
      </c>
      <c r="O43">
        <v>19</v>
      </c>
      <c r="P43">
        <v>19</v>
      </c>
      <c r="Q43" s="155"/>
      <c r="R43" s="155"/>
      <c r="S43" s="155"/>
      <c r="T43" s="155"/>
      <c r="U43" s="155"/>
      <c r="V43" s="155"/>
      <c r="W43" s="155"/>
      <c r="X43" s="155"/>
      <c r="Y43" s="155"/>
    </row>
    <row r="44" spans="1:25" s="145" customFormat="1" ht="19.5" customHeight="1">
      <c r="A44" s="144" t="s">
        <v>88</v>
      </c>
      <c r="B44" s="144" t="s">
        <v>536</v>
      </c>
      <c r="C44" s="144">
        <v>0</v>
      </c>
      <c r="D44" s="144">
        <v>0</v>
      </c>
      <c r="E44" s="144">
        <v>0</v>
      </c>
      <c r="F44" s="144">
        <v>1</v>
      </c>
      <c r="G44" s="144">
        <v>2</v>
      </c>
      <c r="H44" s="144">
        <v>0</v>
      </c>
      <c r="I44" s="144">
        <v>0</v>
      </c>
      <c r="J44" s="144">
        <v>0</v>
      </c>
      <c r="K44" s="144">
        <v>2</v>
      </c>
      <c r="L44" s="16">
        <v>8</v>
      </c>
      <c r="M44" s="16"/>
      <c r="N44" s="22" t="s">
        <v>68</v>
      </c>
      <c r="O44">
        <v>6</v>
      </c>
      <c r="P44">
        <v>6</v>
      </c>
      <c r="Q44" s="155"/>
      <c r="R44" s="155"/>
      <c r="S44" s="155"/>
      <c r="T44" s="155"/>
      <c r="U44" s="155"/>
      <c r="V44" s="155"/>
      <c r="W44" s="155"/>
      <c r="X44" s="155"/>
      <c r="Y44" s="155"/>
    </row>
    <row r="45" spans="1:25" s="145" customFormat="1" ht="19.5" customHeight="1">
      <c r="A45" s="144" t="s">
        <v>88</v>
      </c>
      <c r="B45" s="144" t="s">
        <v>535</v>
      </c>
      <c r="C45" s="144">
        <v>0</v>
      </c>
      <c r="D45" s="144">
        <v>2</v>
      </c>
      <c r="E45" s="144">
        <v>0</v>
      </c>
      <c r="F45" s="144">
        <v>0</v>
      </c>
      <c r="G45" s="144">
        <v>2</v>
      </c>
      <c r="H45" s="144">
        <v>0</v>
      </c>
      <c r="I45" s="144">
        <v>2</v>
      </c>
      <c r="J45" s="144">
        <v>0</v>
      </c>
      <c r="K45" s="144">
        <v>0</v>
      </c>
      <c r="L45" s="16">
        <v>8</v>
      </c>
      <c r="M45" s="16"/>
      <c r="N45" s="22" t="s">
        <v>70</v>
      </c>
      <c r="O45">
        <v>56</v>
      </c>
      <c r="P45">
        <v>56</v>
      </c>
      <c r="Q45" s="155"/>
      <c r="R45" s="155"/>
      <c r="S45" s="155"/>
      <c r="T45" s="155"/>
      <c r="U45" s="155"/>
      <c r="V45" s="155"/>
      <c r="W45" s="155"/>
      <c r="X45" s="155"/>
      <c r="Y45" s="155"/>
    </row>
    <row r="46" spans="1:25" s="145" customFormat="1" ht="19.5" customHeight="1">
      <c r="A46" s="144" t="s">
        <v>88</v>
      </c>
      <c r="B46" s="144" t="s">
        <v>409</v>
      </c>
      <c r="C46" s="144">
        <v>0</v>
      </c>
      <c r="D46" s="144">
        <v>1</v>
      </c>
      <c r="E46" s="144">
        <v>0</v>
      </c>
      <c r="F46" s="144">
        <v>0</v>
      </c>
      <c r="G46" s="144">
        <v>1</v>
      </c>
      <c r="H46" s="144">
        <v>0</v>
      </c>
      <c r="I46" s="144">
        <v>1</v>
      </c>
      <c r="J46" s="144">
        <v>0</v>
      </c>
      <c r="K46" s="144">
        <v>0</v>
      </c>
      <c r="L46" s="16">
        <v>8</v>
      </c>
      <c r="M46" s="16"/>
      <c r="N46" s="22" t="s">
        <v>74</v>
      </c>
      <c r="O46">
        <v>4</v>
      </c>
      <c r="P46">
        <v>4</v>
      </c>
      <c r="Q46" s="155"/>
      <c r="R46" s="155"/>
      <c r="S46" s="155"/>
      <c r="T46" s="155"/>
      <c r="U46" s="155"/>
      <c r="V46" s="155"/>
      <c r="W46" s="155"/>
      <c r="X46" s="155"/>
      <c r="Y46" s="155"/>
    </row>
    <row r="47" spans="1:25" s="145" customFormat="1" ht="19.5" customHeight="1">
      <c r="A47" s="144" t="s">
        <v>542</v>
      </c>
      <c r="B47" s="144" t="s">
        <v>537</v>
      </c>
      <c r="C47" s="144">
        <v>0</v>
      </c>
      <c r="D47" s="152">
        <v>0</v>
      </c>
      <c r="E47" s="144">
        <v>0</v>
      </c>
      <c r="F47" s="144">
        <v>1</v>
      </c>
      <c r="G47" s="144">
        <v>1</v>
      </c>
      <c r="H47" s="144">
        <v>0</v>
      </c>
      <c r="I47" s="144">
        <v>0</v>
      </c>
      <c r="J47" s="144">
        <v>0</v>
      </c>
      <c r="K47" s="144">
        <v>1</v>
      </c>
      <c r="L47" s="16">
        <v>8</v>
      </c>
      <c r="M47" s="16"/>
      <c r="N47" s="22" t="s">
        <v>77</v>
      </c>
      <c r="O47">
        <v>5</v>
      </c>
      <c r="P47">
        <v>5</v>
      </c>
      <c r="Q47" s="155"/>
      <c r="R47" s="155"/>
      <c r="S47" s="155"/>
      <c r="T47" s="155"/>
      <c r="U47" s="155"/>
      <c r="V47" s="155"/>
      <c r="W47" s="155"/>
      <c r="X47" s="155"/>
      <c r="Y47" s="155"/>
    </row>
    <row r="48" spans="1:25" s="145" customFormat="1" ht="19.5" customHeight="1">
      <c r="A48" s="144" t="s">
        <v>92</v>
      </c>
      <c r="B48" s="144" t="s">
        <v>94</v>
      </c>
      <c r="C48" s="144">
        <v>0</v>
      </c>
      <c r="D48" s="144">
        <v>1</v>
      </c>
      <c r="E48" s="144">
        <v>12</v>
      </c>
      <c r="F48" s="144">
        <v>17</v>
      </c>
      <c r="G48" s="144">
        <v>32</v>
      </c>
      <c r="H48" s="144">
        <v>0</v>
      </c>
      <c r="I48" s="144">
        <v>1</v>
      </c>
      <c r="J48" s="144">
        <v>12</v>
      </c>
      <c r="K48" s="144">
        <v>19</v>
      </c>
      <c r="L48" s="16">
        <v>8</v>
      </c>
      <c r="M48" s="16"/>
      <c r="N48" s="22" t="s">
        <v>79</v>
      </c>
      <c r="O48">
        <v>9</v>
      </c>
      <c r="P48">
        <v>9</v>
      </c>
      <c r="Q48" s="155"/>
      <c r="R48" s="155"/>
      <c r="S48" s="155"/>
      <c r="T48" s="155"/>
      <c r="U48" s="155"/>
      <c r="V48" s="155"/>
      <c r="W48" s="155"/>
      <c r="X48" s="155"/>
      <c r="Y48" s="155"/>
    </row>
    <row r="49" spans="1:25" s="145" customFormat="1" ht="19.5" customHeight="1">
      <c r="A49" s="144" t="s">
        <v>92</v>
      </c>
      <c r="B49" s="144" t="s">
        <v>96</v>
      </c>
      <c r="C49" s="144">
        <v>0</v>
      </c>
      <c r="D49" s="144">
        <v>1</v>
      </c>
      <c r="E49" s="144">
        <v>5</v>
      </c>
      <c r="F49" s="144">
        <v>13</v>
      </c>
      <c r="G49" s="144">
        <v>21</v>
      </c>
      <c r="H49" s="144">
        <v>0</v>
      </c>
      <c r="I49" s="144">
        <v>1</v>
      </c>
      <c r="J49" s="144">
        <v>5</v>
      </c>
      <c r="K49" s="144">
        <v>15</v>
      </c>
      <c r="L49" s="16">
        <v>8</v>
      </c>
      <c r="M49" s="16"/>
      <c r="N49" s="22" t="s">
        <v>82</v>
      </c>
      <c r="O49">
        <v>9</v>
      </c>
      <c r="P49">
        <v>9</v>
      </c>
      <c r="Q49" s="155"/>
      <c r="R49" s="155"/>
      <c r="S49" s="155"/>
      <c r="T49" s="155"/>
      <c r="U49" s="155"/>
      <c r="V49" s="155"/>
      <c r="W49" s="155"/>
      <c r="X49" s="155"/>
      <c r="Y49" s="155"/>
    </row>
    <row r="50" spans="1:25" s="145" customFormat="1" ht="19.5" customHeight="1">
      <c r="A50" s="144" t="s">
        <v>92</v>
      </c>
      <c r="B50" s="144" t="s">
        <v>95</v>
      </c>
      <c r="C50" s="144">
        <v>1</v>
      </c>
      <c r="D50" s="144">
        <v>33</v>
      </c>
      <c r="E50" s="144">
        <v>26</v>
      </c>
      <c r="F50" s="144">
        <v>10</v>
      </c>
      <c r="G50" s="144">
        <v>77</v>
      </c>
      <c r="H50" s="144">
        <v>1</v>
      </c>
      <c r="I50" s="144">
        <v>35</v>
      </c>
      <c r="J50" s="144">
        <v>28</v>
      </c>
      <c r="K50" s="144">
        <v>13</v>
      </c>
      <c r="L50" s="16">
        <v>8</v>
      </c>
      <c r="M50" s="16"/>
      <c r="N50" s="22" t="s">
        <v>84</v>
      </c>
      <c r="O50">
        <v>62</v>
      </c>
      <c r="P50">
        <v>62</v>
      </c>
      <c r="Q50" s="155"/>
      <c r="R50" s="155"/>
      <c r="S50" s="155"/>
      <c r="T50" s="155"/>
      <c r="U50" s="155"/>
      <c r="V50" s="155"/>
      <c r="W50" s="155"/>
      <c r="X50" s="155"/>
      <c r="Y50" s="155"/>
    </row>
    <row r="51" spans="1:25" s="145" customFormat="1" ht="19.5" customHeight="1">
      <c r="A51" s="144" t="s">
        <v>92</v>
      </c>
      <c r="B51" s="144" t="s">
        <v>97</v>
      </c>
      <c r="C51" s="144">
        <v>0</v>
      </c>
      <c r="D51" s="144">
        <v>16</v>
      </c>
      <c r="E51" s="144">
        <v>29</v>
      </c>
      <c r="F51" s="144">
        <v>6</v>
      </c>
      <c r="G51" s="144">
        <v>60</v>
      </c>
      <c r="H51" s="144">
        <v>0</v>
      </c>
      <c r="I51" s="144">
        <v>16</v>
      </c>
      <c r="J51" s="144">
        <v>37</v>
      </c>
      <c r="K51" s="144">
        <v>7</v>
      </c>
      <c r="L51" s="16">
        <v>8</v>
      </c>
      <c r="M51" s="16"/>
      <c r="N51" s="22" t="s">
        <v>1003</v>
      </c>
      <c r="O51">
        <v>0</v>
      </c>
      <c r="P51">
        <v>0</v>
      </c>
      <c r="Q51" s="155"/>
      <c r="R51" s="155"/>
      <c r="S51" s="155"/>
      <c r="T51" s="155"/>
      <c r="U51" s="155"/>
      <c r="V51" s="155"/>
      <c r="W51" s="155"/>
      <c r="X51" s="155"/>
      <c r="Y51" s="155"/>
    </row>
    <row r="52" spans="1:25" s="145" customFormat="1" ht="19.5" customHeight="1">
      <c r="A52" s="144" t="s">
        <v>92</v>
      </c>
      <c r="B52" s="144" t="s">
        <v>98</v>
      </c>
      <c r="C52" s="144">
        <v>3</v>
      </c>
      <c r="D52" s="144">
        <v>59</v>
      </c>
      <c r="E52" s="144">
        <v>18</v>
      </c>
      <c r="F52" s="144">
        <v>2</v>
      </c>
      <c r="G52" s="144">
        <v>98</v>
      </c>
      <c r="H52" s="144">
        <v>4</v>
      </c>
      <c r="I52" s="144">
        <v>70</v>
      </c>
      <c r="J52" s="144">
        <v>22</v>
      </c>
      <c r="K52" s="144">
        <v>2</v>
      </c>
      <c r="L52" s="16">
        <v>8</v>
      </c>
      <c r="M52" s="16"/>
      <c r="N52" s="22" t="s">
        <v>88</v>
      </c>
      <c r="O52">
        <v>34</v>
      </c>
      <c r="P52">
        <v>34</v>
      </c>
      <c r="Q52" s="155"/>
      <c r="R52" s="155"/>
      <c r="S52" s="155"/>
      <c r="T52" s="155"/>
      <c r="U52" s="155"/>
      <c r="V52" s="155"/>
      <c r="W52" s="155"/>
      <c r="X52" s="155"/>
      <c r="Y52" s="155"/>
    </row>
    <row r="53" spans="1:25" s="145" customFormat="1" ht="19.5" customHeight="1">
      <c r="A53" s="144" t="s">
        <v>92</v>
      </c>
      <c r="B53" s="144" t="s">
        <v>93</v>
      </c>
      <c r="C53" s="144">
        <v>1</v>
      </c>
      <c r="D53" s="144">
        <v>5</v>
      </c>
      <c r="E53" s="144">
        <v>4</v>
      </c>
      <c r="F53" s="144">
        <v>2</v>
      </c>
      <c r="G53" s="144">
        <v>16</v>
      </c>
      <c r="H53" s="144">
        <v>1</v>
      </c>
      <c r="I53" s="144">
        <v>6</v>
      </c>
      <c r="J53" s="144">
        <v>7</v>
      </c>
      <c r="K53" s="144">
        <v>2</v>
      </c>
      <c r="L53" s="16">
        <v>8</v>
      </c>
      <c r="M53" s="16"/>
      <c r="N53" s="22" t="s">
        <v>542</v>
      </c>
      <c r="O53">
        <v>1</v>
      </c>
      <c r="P53">
        <v>1</v>
      </c>
    </row>
    <row r="54" spans="1:25" s="145" customFormat="1" ht="19.5" customHeight="1">
      <c r="A54" s="144" t="s">
        <v>92</v>
      </c>
      <c r="B54" s="144" t="s">
        <v>344</v>
      </c>
      <c r="C54" s="144">
        <v>0</v>
      </c>
      <c r="D54" s="144">
        <v>0</v>
      </c>
      <c r="E54" s="144">
        <v>0</v>
      </c>
      <c r="F54" s="144">
        <v>1</v>
      </c>
      <c r="G54" s="144">
        <v>1</v>
      </c>
      <c r="H54" s="144">
        <v>0</v>
      </c>
      <c r="I54" s="144">
        <v>0</v>
      </c>
      <c r="J54" s="144">
        <v>0</v>
      </c>
      <c r="K54" s="144">
        <v>1</v>
      </c>
      <c r="L54" s="16">
        <v>8</v>
      </c>
      <c r="M54" s="16"/>
      <c r="N54" s="22" t="s">
        <v>92</v>
      </c>
      <c r="O54">
        <v>125</v>
      </c>
      <c r="P54">
        <v>125</v>
      </c>
      <c r="Q54" s="208"/>
      <c r="R54" s="208"/>
      <c r="S54" s="208"/>
      <c r="T54" s="208"/>
      <c r="U54" s="208"/>
      <c r="V54" s="208"/>
      <c r="W54" s="208"/>
      <c r="X54" s="208"/>
      <c r="Y54" s="208"/>
    </row>
    <row r="55" spans="1:25" s="145" customFormat="1" ht="19.5" customHeight="1">
      <c r="A55" s="144" t="s">
        <v>92</v>
      </c>
      <c r="B55" s="144" t="s">
        <v>538</v>
      </c>
      <c r="C55" s="144">
        <v>0</v>
      </c>
      <c r="D55" s="144">
        <v>1</v>
      </c>
      <c r="E55" s="144">
        <v>0</v>
      </c>
      <c r="F55" s="144">
        <v>0</v>
      </c>
      <c r="G55" s="144">
        <v>1</v>
      </c>
      <c r="H55" s="144">
        <v>0</v>
      </c>
      <c r="I55" s="144">
        <v>1</v>
      </c>
      <c r="J55" s="144">
        <v>0</v>
      </c>
      <c r="K55" s="144">
        <v>0</v>
      </c>
      <c r="L55" s="16">
        <v>8</v>
      </c>
      <c r="M55" s="16"/>
      <c r="N55" s="22" t="s">
        <v>99</v>
      </c>
      <c r="O55">
        <v>53</v>
      </c>
      <c r="P55">
        <v>53</v>
      </c>
      <c r="Q55" s="155"/>
      <c r="R55" s="155"/>
      <c r="S55" s="155"/>
      <c r="T55" s="155"/>
      <c r="U55" s="155"/>
      <c r="V55" s="155"/>
      <c r="W55" s="155"/>
      <c r="X55" s="155"/>
      <c r="Y55" s="155"/>
    </row>
    <row r="56" spans="1:25" s="145" customFormat="1" ht="19.5" customHeight="1">
      <c r="A56" s="144" t="s">
        <v>99</v>
      </c>
      <c r="B56" s="144" t="s">
        <v>109</v>
      </c>
      <c r="C56" s="144">
        <v>3</v>
      </c>
      <c r="D56" s="144">
        <v>39</v>
      </c>
      <c r="E56" s="144">
        <v>35</v>
      </c>
      <c r="F56" s="144">
        <v>9</v>
      </c>
      <c r="G56" s="144">
        <v>93</v>
      </c>
      <c r="H56" s="144">
        <v>3</v>
      </c>
      <c r="I56" s="144">
        <v>41</v>
      </c>
      <c r="J56" s="144">
        <v>39</v>
      </c>
      <c r="K56" s="144">
        <v>10</v>
      </c>
      <c r="L56" s="16">
        <v>8</v>
      </c>
      <c r="M56" s="16"/>
      <c r="N56" s="22" t="s">
        <v>119</v>
      </c>
      <c r="O56">
        <v>383</v>
      </c>
      <c r="P56">
        <v>383</v>
      </c>
      <c r="Q56" s="155"/>
      <c r="R56" s="155"/>
      <c r="S56" s="155"/>
      <c r="T56" s="155"/>
      <c r="U56" s="155"/>
      <c r="V56" s="155"/>
      <c r="W56" s="155"/>
      <c r="X56" s="155"/>
      <c r="Y56" s="155"/>
    </row>
    <row r="57" spans="1:25" s="145" customFormat="1" ht="19.5" customHeight="1">
      <c r="A57" s="144" t="s">
        <v>99</v>
      </c>
      <c r="B57" s="144" t="s">
        <v>100</v>
      </c>
      <c r="C57" s="144">
        <v>1</v>
      </c>
      <c r="D57" s="144">
        <v>2</v>
      </c>
      <c r="E57" s="144">
        <v>3</v>
      </c>
      <c r="F57" s="144">
        <v>1</v>
      </c>
      <c r="G57" s="144">
        <v>7</v>
      </c>
      <c r="H57" s="144">
        <v>1</v>
      </c>
      <c r="I57" s="144">
        <v>2</v>
      </c>
      <c r="J57" s="144">
        <v>3</v>
      </c>
      <c r="K57" s="144">
        <v>1</v>
      </c>
      <c r="L57" s="16">
        <v>8</v>
      </c>
      <c r="M57" s="16"/>
      <c r="N57" s="144"/>
      <c r="O57" s="155"/>
      <c r="P57" s="155"/>
      <c r="Q57" s="155"/>
      <c r="R57" s="155"/>
      <c r="S57" s="155"/>
      <c r="T57" s="155"/>
      <c r="U57" s="155"/>
      <c r="V57" s="155"/>
      <c r="W57" s="155"/>
      <c r="X57" s="155"/>
      <c r="Y57" s="155"/>
    </row>
    <row r="58" spans="1:25" s="145" customFormat="1" ht="19.5" customHeight="1">
      <c r="A58" s="144" t="s">
        <v>99</v>
      </c>
      <c r="B58" s="144" t="s">
        <v>101</v>
      </c>
      <c r="C58" s="144">
        <v>0</v>
      </c>
      <c r="D58" s="144">
        <v>3</v>
      </c>
      <c r="E58" s="144">
        <v>1</v>
      </c>
      <c r="F58" s="144">
        <v>1</v>
      </c>
      <c r="G58" s="144">
        <v>5</v>
      </c>
      <c r="H58" s="144">
        <v>0</v>
      </c>
      <c r="I58" s="144">
        <v>3</v>
      </c>
      <c r="J58" s="144">
        <v>1</v>
      </c>
      <c r="K58" s="144">
        <v>1</v>
      </c>
      <c r="L58" s="16">
        <v>8</v>
      </c>
      <c r="M58" s="16"/>
      <c r="N58" s="21" t="s">
        <v>1008</v>
      </c>
      <c r="O58" s="21" t="s">
        <v>123</v>
      </c>
      <c r="P58"/>
      <c r="Q58" s="155"/>
      <c r="R58" s="155"/>
      <c r="S58" s="155"/>
      <c r="T58" s="155"/>
      <c r="U58" s="155"/>
      <c r="V58" s="155"/>
      <c r="W58" s="155"/>
      <c r="X58" s="155"/>
      <c r="Y58" s="155"/>
    </row>
    <row r="59" spans="1:25" s="145" customFormat="1" ht="19.5" customHeight="1">
      <c r="A59" s="144" t="s">
        <v>99</v>
      </c>
      <c r="B59" s="144" t="s">
        <v>539</v>
      </c>
      <c r="C59" s="144">
        <v>0</v>
      </c>
      <c r="D59" s="144">
        <v>1</v>
      </c>
      <c r="E59" s="144">
        <v>0</v>
      </c>
      <c r="F59" s="144">
        <v>1</v>
      </c>
      <c r="G59" s="144">
        <v>2</v>
      </c>
      <c r="H59" s="144">
        <v>0</v>
      </c>
      <c r="I59" s="144">
        <v>1</v>
      </c>
      <c r="J59" s="144">
        <v>0</v>
      </c>
      <c r="K59" s="144">
        <v>1</v>
      </c>
      <c r="L59" s="16">
        <v>8</v>
      </c>
      <c r="M59" s="16"/>
      <c r="N59" s="21" t="s">
        <v>120</v>
      </c>
      <c r="O59">
        <v>9</v>
      </c>
      <c r="P59" t="s">
        <v>119</v>
      </c>
      <c r="Q59" s="155"/>
      <c r="R59" s="155"/>
      <c r="S59" s="155"/>
      <c r="T59" s="155"/>
      <c r="U59" s="155"/>
      <c r="V59" s="155"/>
      <c r="W59" s="155"/>
      <c r="X59" s="155"/>
      <c r="Y59" s="155"/>
    </row>
    <row r="60" spans="1:25" s="145" customFormat="1" ht="19.5" customHeight="1">
      <c r="A60" s="144" t="s">
        <v>99</v>
      </c>
      <c r="B60" s="144" t="s">
        <v>105</v>
      </c>
      <c r="C60" s="144">
        <v>0</v>
      </c>
      <c r="D60" s="144">
        <v>5</v>
      </c>
      <c r="E60" s="144">
        <v>4</v>
      </c>
      <c r="F60" s="144">
        <v>0</v>
      </c>
      <c r="G60" s="144">
        <v>9</v>
      </c>
      <c r="H60" s="144">
        <v>0</v>
      </c>
      <c r="I60" s="144">
        <v>5</v>
      </c>
      <c r="J60" s="144">
        <v>4</v>
      </c>
      <c r="K60" s="144">
        <v>0</v>
      </c>
      <c r="L60" s="16">
        <v>8</v>
      </c>
      <c r="M60" s="16"/>
      <c r="N60" s="22" t="s">
        <v>66</v>
      </c>
      <c r="O60">
        <v>3</v>
      </c>
      <c r="P60">
        <v>3</v>
      </c>
      <c r="Q60" s="155"/>
      <c r="R60" s="155"/>
      <c r="S60" s="155"/>
      <c r="T60" s="155"/>
      <c r="U60" s="155"/>
      <c r="V60" s="155"/>
      <c r="W60" s="155"/>
      <c r="X60" s="155"/>
      <c r="Y60" s="155"/>
    </row>
    <row r="61" spans="1:25" s="145" customFormat="1" ht="19.5" customHeight="1">
      <c r="A61" s="144" t="s">
        <v>99</v>
      </c>
      <c r="B61" s="144" t="s">
        <v>106</v>
      </c>
      <c r="C61" s="144">
        <v>0</v>
      </c>
      <c r="D61" s="144">
        <v>5</v>
      </c>
      <c r="E61" s="144">
        <v>2</v>
      </c>
      <c r="F61" s="144">
        <v>0</v>
      </c>
      <c r="G61" s="144">
        <v>8</v>
      </c>
      <c r="H61" s="144">
        <v>0</v>
      </c>
      <c r="I61" s="144">
        <v>5</v>
      </c>
      <c r="J61" s="144">
        <v>3</v>
      </c>
      <c r="K61" s="144">
        <v>0</v>
      </c>
      <c r="L61" s="16">
        <v>8</v>
      </c>
      <c r="M61" s="16"/>
      <c r="N61" s="22" t="s">
        <v>68</v>
      </c>
      <c r="O61">
        <v>0</v>
      </c>
      <c r="P61">
        <v>0</v>
      </c>
      <c r="Q61" s="155"/>
      <c r="R61" s="155"/>
      <c r="S61" s="155"/>
      <c r="T61" s="155"/>
      <c r="U61" s="155"/>
      <c r="V61" s="155"/>
      <c r="W61" s="155"/>
      <c r="X61" s="155"/>
      <c r="Y61" s="155"/>
    </row>
    <row r="62" spans="1:25" s="145" customFormat="1" ht="19.5" customHeight="1">
      <c r="A62" s="144" t="s">
        <v>99</v>
      </c>
      <c r="B62" s="144" t="s">
        <v>107</v>
      </c>
      <c r="C62" s="144">
        <v>0</v>
      </c>
      <c r="D62" s="144">
        <v>6</v>
      </c>
      <c r="E62" s="144">
        <v>1</v>
      </c>
      <c r="F62" s="144">
        <v>0</v>
      </c>
      <c r="G62" s="144">
        <v>7</v>
      </c>
      <c r="H62" s="144">
        <v>0</v>
      </c>
      <c r="I62" s="144">
        <v>6</v>
      </c>
      <c r="J62" s="144">
        <v>1</v>
      </c>
      <c r="K62" s="144">
        <v>0</v>
      </c>
      <c r="L62" s="16">
        <v>8</v>
      </c>
      <c r="M62" s="16"/>
      <c r="N62" s="22" t="s">
        <v>70</v>
      </c>
      <c r="O62">
        <v>15</v>
      </c>
      <c r="P62">
        <v>15</v>
      </c>
      <c r="Q62" s="155"/>
      <c r="R62" s="155"/>
      <c r="S62" s="155"/>
      <c r="T62" s="155"/>
      <c r="U62" s="155"/>
      <c r="V62" s="155"/>
      <c r="W62" s="155"/>
      <c r="X62" s="155"/>
      <c r="Y62" s="155"/>
    </row>
    <row r="63" spans="1:25" s="145" customFormat="1" ht="19.5" customHeight="1">
      <c r="A63" s="144" t="s">
        <v>99</v>
      </c>
      <c r="B63" s="144" t="s">
        <v>104</v>
      </c>
      <c r="C63" s="144">
        <v>0</v>
      </c>
      <c r="D63" s="144">
        <v>3</v>
      </c>
      <c r="E63" s="144">
        <v>1</v>
      </c>
      <c r="F63" s="144">
        <v>0</v>
      </c>
      <c r="G63" s="144">
        <v>4</v>
      </c>
      <c r="H63" s="144">
        <v>0</v>
      </c>
      <c r="I63" s="144">
        <v>3</v>
      </c>
      <c r="J63" s="144">
        <v>1</v>
      </c>
      <c r="K63" s="144">
        <v>0</v>
      </c>
      <c r="L63" s="16">
        <v>8</v>
      </c>
      <c r="M63" s="16"/>
      <c r="N63" s="22" t="s">
        <v>74</v>
      </c>
      <c r="O63">
        <v>4</v>
      </c>
      <c r="P63">
        <v>4</v>
      </c>
      <c r="Q63" s="155"/>
      <c r="R63" s="155"/>
      <c r="S63" s="155"/>
      <c r="T63" s="155"/>
      <c r="U63" s="155"/>
      <c r="V63" s="155"/>
      <c r="W63" s="155"/>
      <c r="X63" s="155"/>
      <c r="Y63" s="155"/>
    </row>
    <row r="64" spans="1:25" s="145" customFormat="1" ht="19.5" customHeight="1">
      <c r="A64" s="144" t="s">
        <v>99</v>
      </c>
      <c r="B64" s="144" t="s">
        <v>345</v>
      </c>
      <c r="C64" s="144">
        <v>0</v>
      </c>
      <c r="D64" s="144">
        <v>3</v>
      </c>
      <c r="E64" s="144">
        <v>1</v>
      </c>
      <c r="F64" s="144">
        <v>0</v>
      </c>
      <c r="G64" s="144">
        <v>4</v>
      </c>
      <c r="H64" s="144">
        <v>0</v>
      </c>
      <c r="I64" s="144">
        <v>3</v>
      </c>
      <c r="J64" s="144">
        <v>1</v>
      </c>
      <c r="K64" s="144">
        <v>0</v>
      </c>
      <c r="L64" s="16">
        <v>8</v>
      </c>
      <c r="M64" s="16"/>
      <c r="N64" s="22" t="s">
        <v>77</v>
      </c>
      <c r="O64">
        <v>8</v>
      </c>
      <c r="P64">
        <v>8</v>
      </c>
      <c r="Q64" s="155"/>
      <c r="R64" s="155"/>
      <c r="S64" s="155"/>
      <c r="T64" s="155"/>
      <c r="U64" s="155"/>
      <c r="V64" s="155"/>
      <c r="W64" s="155"/>
      <c r="X64" s="155"/>
      <c r="Y64" s="155"/>
    </row>
    <row r="65" spans="1:25" s="145" customFormat="1" ht="19.5" customHeight="1">
      <c r="A65" s="144" t="s">
        <v>99</v>
      </c>
      <c r="B65" s="144" t="s">
        <v>102</v>
      </c>
      <c r="C65" s="144">
        <v>0</v>
      </c>
      <c r="D65" s="144">
        <v>3</v>
      </c>
      <c r="E65" s="144">
        <v>0</v>
      </c>
      <c r="F65" s="144">
        <v>0</v>
      </c>
      <c r="G65" s="144">
        <v>3</v>
      </c>
      <c r="H65" s="144">
        <v>0</v>
      </c>
      <c r="I65" s="144">
        <v>3</v>
      </c>
      <c r="J65" s="144">
        <v>0</v>
      </c>
      <c r="K65" s="144">
        <v>0</v>
      </c>
      <c r="L65" s="16">
        <v>8</v>
      </c>
      <c r="M65" s="16"/>
      <c r="N65" s="22" t="s">
        <v>79</v>
      </c>
      <c r="O65">
        <v>8</v>
      </c>
      <c r="P65">
        <v>8</v>
      </c>
      <c r="Q65" s="155"/>
      <c r="R65" s="155"/>
      <c r="S65" s="155"/>
      <c r="T65" s="155"/>
      <c r="U65" s="155"/>
      <c r="V65" s="155"/>
      <c r="W65" s="155"/>
      <c r="X65" s="155"/>
      <c r="Y65" s="155"/>
    </row>
    <row r="66" spans="1:25" s="145" customFormat="1" ht="19.5" customHeight="1">
      <c r="A66" s="144" t="s">
        <v>99</v>
      </c>
      <c r="B66" s="144" t="s">
        <v>371</v>
      </c>
      <c r="C66" s="144">
        <v>0</v>
      </c>
      <c r="D66" s="144">
        <v>0</v>
      </c>
      <c r="E66" s="144">
        <v>2</v>
      </c>
      <c r="F66" s="144">
        <v>0</v>
      </c>
      <c r="G66" s="144">
        <v>2</v>
      </c>
      <c r="H66" s="144">
        <v>0</v>
      </c>
      <c r="I66" s="144">
        <v>0</v>
      </c>
      <c r="J66" s="144">
        <v>2</v>
      </c>
      <c r="K66" s="144">
        <v>0</v>
      </c>
      <c r="L66" s="16">
        <v>8</v>
      </c>
      <c r="M66" s="16"/>
      <c r="N66" s="22" t="s">
        <v>82</v>
      </c>
      <c r="O66">
        <v>1</v>
      </c>
      <c r="P66">
        <v>1</v>
      </c>
      <c r="Q66" s="155"/>
      <c r="R66" s="155"/>
      <c r="S66" s="155"/>
      <c r="T66" s="155"/>
      <c r="U66" s="155"/>
      <c r="V66" s="155"/>
      <c r="W66" s="155"/>
      <c r="X66" s="155"/>
      <c r="Y66" s="155"/>
    </row>
    <row r="67" spans="1:25" s="145" customFormat="1" ht="19.5" customHeight="1">
      <c r="A67" s="144" t="s">
        <v>99</v>
      </c>
      <c r="B67" s="144" t="s">
        <v>540</v>
      </c>
      <c r="C67" s="144">
        <v>0</v>
      </c>
      <c r="D67" s="144">
        <v>1</v>
      </c>
      <c r="E67" s="144">
        <v>0</v>
      </c>
      <c r="F67" s="144">
        <v>0</v>
      </c>
      <c r="G67" s="144">
        <v>2</v>
      </c>
      <c r="H67" s="144">
        <v>0</v>
      </c>
      <c r="I67" s="144">
        <v>2</v>
      </c>
      <c r="J67" s="144">
        <v>0</v>
      </c>
      <c r="K67" s="144">
        <v>0</v>
      </c>
      <c r="L67" s="16">
        <v>8</v>
      </c>
      <c r="M67" s="16"/>
      <c r="N67" s="22" t="s">
        <v>84</v>
      </c>
      <c r="O67">
        <v>46</v>
      </c>
      <c r="P67">
        <v>46</v>
      </c>
      <c r="Q67" s="155"/>
      <c r="R67" s="155"/>
      <c r="S67" s="155"/>
      <c r="T67" s="155"/>
      <c r="U67" s="155"/>
      <c r="V67" s="155"/>
      <c r="W67" s="155"/>
      <c r="X67" s="155"/>
      <c r="Y67" s="155"/>
    </row>
    <row r="68" spans="1:25" s="145" customFormat="1" ht="19.5" customHeight="1">
      <c r="A68" s="144" t="s">
        <v>99</v>
      </c>
      <c r="B68" s="144" t="s">
        <v>108</v>
      </c>
      <c r="C68" s="144">
        <v>0</v>
      </c>
      <c r="D68" s="144">
        <v>0</v>
      </c>
      <c r="E68" s="144">
        <v>1</v>
      </c>
      <c r="F68" s="144">
        <v>0</v>
      </c>
      <c r="G68" s="144">
        <v>1</v>
      </c>
      <c r="H68" s="144">
        <v>0</v>
      </c>
      <c r="I68" s="144">
        <v>0</v>
      </c>
      <c r="J68" s="144">
        <v>1</v>
      </c>
      <c r="K68" s="144">
        <v>0</v>
      </c>
      <c r="L68" s="16">
        <v>8</v>
      </c>
      <c r="M68" s="16"/>
      <c r="N68" s="22" t="s">
        <v>1003</v>
      </c>
      <c r="O68">
        <v>1</v>
      </c>
      <c r="P68">
        <v>1</v>
      </c>
      <c r="Q68" s="155"/>
      <c r="R68" s="155"/>
      <c r="S68" s="155"/>
      <c r="T68" s="155"/>
      <c r="U68" s="155"/>
      <c r="V68" s="155"/>
      <c r="W68" s="155"/>
      <c r="X68" s="155"/>
      <c r="Y68" s="155"/>
    </row>
    <row r="69" spans="1:25" s="145" customFormat="1" ht="19.5" customHeight="1">
      <c r="A69" s="144" t="s">
        <v>99</v>
      </c>
      <c r="B69" s="144" t="s">
        <v>541</v>
      </c>
      <c r="C69" s="144">
        <v>0</v>
      </c>
      <c r="D69" s="144">
        <v>1</v>
      </c>
      <c r="E69" s="144">
        <v>0</v>
      </c>
      <c r="F69" s="144">
        <v>0</v>
      </c>
      <c r="G69" s="144">
        <v>1</v>
      </c>
      <c r="H69" s="144">
        <v>0</v>
      </c>
      <c r="I69" s="144">
        <v>1</v>
      </c>
      <c r="J69" s="144">
        <v>0</v>
      </c>
      <c r="K69" s="144">
        <v>0</v>
      </c>
      <c r="L69" s="16">
        <v>8</v>
      </c>
      <c r="M69" s="16"/>
      <c r="N69" s="22" t="s">
        <v>88</v>
      </c>
      <c r="O69">
        <v>20</v>
      </c>
      <c r="P69">
        <v>20</v>
      </c>
    </row>
    <row r="70" spans="1:25" s="145" customFormat="1" ht="19.5" customHeight="1">
      <c r="A70" s="144" t="s">
        <v>99</v>
      </c>
      <c r="B70" s="144" t="s">
        <v>103</v>
      </c>
      <c r="C70" s="144">
        <v>0</v>
      </c>
      <c r="D70" s="144">
        <v>0</v>
      </c>
      <c r="E70" s="144">
        <v>1</v>
      </c>
      <c r="F70" s="144">
        <v>0</v>
      </c>
      <c r="G70" s="144">
        <v>1</v>
      </c>
      <c r="H70" s="144">
        <v>0</v>
      </c>
      <c r="I70" s="144">
        <v>0</v>
      </c>
      <c r="J70" s="144">
        <v>1</v>
      </c>
      <c r="K70" s="144">
        <v>0</v>
      </c>
      <c r="L70" s="16">
        <v>8</v>
      </c>
      <c r="M70" s="16"/>
      <c r="N70" s="22" t="s">
        <v>542</v>
      </c>
      <c r="O70">
        <v>0</v>
      </c>
      <c r="P70">
        <v>0</v>
      </c>
    </row>
    <row r="71" spans="1:25" s="145" customFormat="1" ht="19.5" customHeight="1">
      <c r="A71" s="144" t="s">
        <v>66</v>
      </c>
      <c r="B71" s="144" t="s">
        <v>67</v>
      </c>
      <c r="C71" s="144">
        <v>46</v>
      </c>
      <c r="D71" s="144">
        <v>45</v>
      </c>
      <c r="E71" s="144">
        <v>15</v>
      </c>
      <c r="F71" s="144">
        <v>3</v>
      </c>
      <c r="G71" s="144">
        <v>138</v>
      </c>
      <c r="H71" s="144">
        <v>65</v>
      </c>
      <c r="I71" s="144">
        <v>53</v>
      </c>
      <c r="J71" s="144">
        <v>17</v>
      </c>
      <c r="K71" s="144">
        <v>3</v>
      </c>
      <c r="L71" s="16">
        <v>9</v>
      </c>
      <c r="M71" s="16"/>
      <c r="N71" s="22" t="s">
        <v>92</v>
      </c>
      <c r="O71">
        <v>61</v>
      </c>
      <c r="P71">
        <v>61</v>
      </c>
    </row>
    <row r="72" spans="1:25" s="145" customFormat="1" ht="19.5" customHeight="1">
      <c r="A72" s="144" t="s">
        <v>66</v>
      </c>
      <c r="B72" s="144" t="s">
        <v>994</v>
      </c>
      <c r="C72" s="144">
        <v>32</v>
      </c>
      <c r="D72" s="144">
        <v>0</v>
      </c>
      <c r="E72" s="144">
        <v>0</v>
      </c>
      <c r="F72" s="144">
        <v>0</v>
      </c>
      <c r="G72" s="144">
        <v>32</v>
      </c>
      <c r="H72" s="144">
        <v>32</v>
      </c>
      <c r="I72" s="144">
        <v>0</v>
      </c>
      <c r="J72" s="144">
        <v>0</v>
      </c>
      <c r="K72" s="144">
        <v>0</v>
      </c>
      <c r="L72" s="16">
        <v>9</v>
      </c>
      <c r="M72" s="16"/>
      <c r="N72" s="22" t="s">
        <v>99</v>
      </c>
      <c r="O72">
        <v>11</v>
      </c>
      <c r="P72">
        <v>11</v>
      </c>
    </row>
    <row r="73" spans="1:25" s="145" customFormat="1" ht="19.5" customHeight="1">
      <c r="A73" s="144" t="s">
        <v>66</v>
      </c>
      <c r="B73" s="144" t="s">
        <v>995</v>
      </c>
      <c r="C73" s="144">
        <v>0</v>
      </c>
      <c r="D73" s="144">
        <v>0</v>
      </c>
      <c r="E73" s="144">
        <v>1</v>
      </c>
      <c r="F73" s="144">
        <v>0</v>
      </c>
      <c r="G73" s="144">
        <v>1</v>
      </c>
      <c r="H73" s="144">
        <v>0</v>
      </c>
      <c r="I73" s="144">
        <v>0</v>
      </c>
      <c r="J73" s="144">
        <v>1</v>
      </c>
      <c r="K73" s="144">
        <v>0</v>
      </c>
      <c r="L73" s="16">
        <v>9</v>
      </c>
      <c r="M73" s="16"/>
      <c r="N73" s="22" t="s">
        <v>119</v>
      </c>
      <c r="O73">
        <v>178</v>
      </c>
      <c r="P73">
        <v>178</v>
      </c>
    </row>
    <row r="74" spans="1:25" s="145" customFormat="1" ht="19.5" customHeight="1">
      <c r="A74" s="144" t="s">
        <v>66</v>
      </c>
      <c r="B74" s="144" t="s">
        <v>996</v>
      </c>
      <c r="C74" s="144">
        <v>0</v>
      </c>
      <c r="D74" s="144">
        <v>0</v>
      </c>
      <c r="E74" s="144">
        <v>1</v>
      </c>
      <c r="F74" s="144">
        <v>0</v>
      </c>
      <c r="G74" s="144">
        <v>1</v>
      </c>
      <c r="H74" s="144">
        <v>0</v>
      </c>
      <c r="I74" s="144">
        <v>0</v>
      </c>
      <c r="J74" s="144">
        <v>1</v>
      </c>
      <c r="K74" s="144">
        <v>0</v>
      </c>
      <c r="L74" s="16">
        <v>9</v>
      </c>
      <c r="M74" s="16"/>
      <c r="N74"/>
      <c r="O74"/>
      <c r="P74"/>
    </row>
    <row r="75" spans="1:25" s="145" customFormat="1" ht="19.5" customHeight="1">
      <c r="A75" s="144" t="s">
        <v>68</v>
      </c>
      <c r="B75" s="144" t="s">
        <v>69</v>
      </c>
      <c r="C75" s="144">
        <v>0</v>
      </c>
      <c r="D75" s="144">
        <v>1</v>
      </c>
      <c r="E75" s="144">
        <v>6</v>
      </c>
      <c r="F75" s="144">
        <v>0</v>
      </c>
      <c r="G75" s="144">
        <v>7</v>
      </c>
      <c r="H75" s="144">
        <v>0</v>
      </c>
      <c r="I75" s="144">
        <v>1</v>
      </c>
      <c r="J75" s="144">
        <v>6</v>
      </c>
      <c r="K75" s="144">
        <v>0</v>
      </c>
      <c r="L75" s="16">
        <v>9</v>
      </c>
      <c r="M75" s="16"/>
      <c r="N75"/>
      <c r="O75"/>
      <c r="P75"/>
    </row>
    <row r="76" spans="1:25" s="145" customFormat="1" ht="19.5" customHeight="1">
      <c r="A76" s="144" t="s">
        <v>70</v>
      </c>
      <c r="B76" s="144" t="s">
        <v>73</v>
      </c>
      <c r="C76" s="144">
        <v>0</v>
      </c>
      <c r="D76" s="144">
        <v>10</v>
      </c>
      <c r="E76" s="144">
        <v>21</v>
      </c>
      <c r="F76" s="144">
        <v>6</v>
      </c>
      <c r="G76" s="144">
        <v>41</v>
      </c>
      <c r="H76" s="144">
        <v>0</v>
      </c>
      <c r="I76" s="144">
        <v>11</v>
      </c>
      <c r="J76" s="144">
        <v>23</v>
      </c>
      <c r="K76" s="144">
        <v>7</v>
      </c>
      <c r="L76" s="16">
        <v>9</v>
      </c>
      <c r="M76" s="16"/>
      <c r="N76"/>
      <c r="O76"/>
      <c r="P76"/>
    </row>
    <row r="77" spans="1:25" s="145" customFormat="1" ht="19.5" customHeight="1">
      <c r="A77" s="144" t="s">
        <v>70</v>
      </c>
      <c r="B77" s="144" t="s">
        <v>72</v>
      </c>
      <c r="C77" s="144">
        <v>1</v>
      </c>
      <c r="D77" s="144">
        <v>16</v>
      </c>
      <c r="E77" s="144">
        <v>28</v>
      </c>
      <c r="F77" s="144">
        <v>6</v>
      </c>
      <c r="G77" s="144">
        <v>53</v>
      </c>
      <c r="H77" s="144">
        <v>1</v>
      </c>
      <c r="I77" s="144">
        <v>17</v>
      </c>
      <c r="J77" s="144">
        <v>29</v>
      </c>
      <c r="K77" s="144">
        <v>6</v>
      </c>
      <c r="L77" s="16">
        <v>9</v>
      </c>
      <c r="M77" s="16"/>
      <c r="N77"/>
      <c r="O77"/>
      <c r="P77"/>
    </row>
    <row r="78" spans="1:25" s="145" customFormat="1" ht="19.5" customHeight="1">
      <c r="A78" s="144" t="s">
        <v>70</v>
      </c>
      <c r="B78" s="144" t="s">
        <v>71</v>
      </c>
      <c r="C78" s="144">
        <v>0</v>
      </c>
      <c r="D78" s="144">
        <v>5</v>
      </c>
      <c r="E78" s="144">
        <v>3</v>
      </c>
      <c r="F78" s="144">
        <v>2</v>
      </c>
      <c r="G78" s="144">
        <v>10</v>
      </c>
      <c r="H78" s="144">
        <v>0</v>
      </c>
      <c r="I78" s="144">
        <v>5</v>
      </c>
      <c r="J78" s="144">
        <v>3</v>
      </c>
      <c r="K78" s="144">
        <v>2</v>
      </c>
      <c r="L78" s="16">
        <v>9</v>
      </c>
      <c r="M78" s="16"/>
      <c r="N78"/>
      <c r="O78"/>
      <c r="P78"/>
    </row>
    <row r="79" spans="1:25" s="145" customFormat="1" ht="19.5" customHeight="1">
      <c r="A79" s="144" t="s">
        <v>70</v>
      </c>
      <c r="B79" s="144" t="s">
        <v>997</v>
      </c>
      <c r="C79" s="144">
        <v>0</v>
      </c>
      <c r="D79" s="144">
        <v>1</v>
      </c>
      <c r="E79" s="144">
        <v>0</v>
      </c>
      <c r="F79" s="144">
        <v>0</v>
      </c>
      <c r="G79" s="144">
        <v>1</v>
      </c>
      <c r="H79" s="144">
        <v>0</v>
      </c>
      <c r="I79" s="144">
        <v>1</v>
      </c>
      <c r="J79" s="144">
        <v>0</v>
      </c>
      <c r="K79" s="144">
        <v>0</v>
      </c>
      <c r="L79" s="16">
        <v>9</v>
      </c>
      <c r="M79" s="16"/>
      <c r="N79"/>
      <c r="O79"/>
      <c r="P79"/>
    </row>
    <row r="80" spans="1:25" s="145" customFormat="1" ht="19.5" customHeight="1">
      <c r="A80" s="144" t="s">
        <v>70</v>
      </c>
      <c r="B80" s="144" t="s">
        <v>998</v>
      </c>
      <c r="C80" s="144">
        <v>0</v>
      </c>
      <c r="D80" s="144">
        <v>0</v>
      </c>
      <c r="E80" s="144">
        <v>1</v>
      </c>
      <c r="F80" s="144">
        <v>0</v>
      </c>
      <c r="G80" s="144">
        <v>1</v>
      </c>
      <c r="H80" s="144">
        <v>0</v>
      </c>
      <c r="I80" s="144">
        <v>0</v>
      </c>
      <c r="J80" s="144">
        <v>1</v>
      </c>
      <c r="K80" s="144">
        <v>0</v>
      </c>
      <c r="L80" s="16">
        <v>9</v>
      </c>
      <c r="M80" s="16"/>
      <c r="N80"/>
      <c r="O80"/>
      <c r="P80"/>
    </row>
    <row r="81" spans="1:16" s="145" customFormat="1" ht="19.5" customHeight="1">
      <c r="A81" s="144" t="s">
        <v>74</v>
      </c>
      <c r="B81" s="144" t="s">
        <v>75</v>
      </c>
      <c r="C81" s="144">
        <v>1</v>
      </c>
      <c r="D81" s="144">
        <v>4</v>
      </c>
      <c r="E81" s="144">
        <v>1</v>
      </c>
      <c r="F81" s="144">
        <v>3</v>
      </c>
      <c r="G81" s="144">
        <v>9</v>
      </c>
      <c r="H81" s="144">
        <v>1</v>
      </c>
      <c r="I81" s="144">
        <v>4</v>
      </c>
      <c r="J81" s="144">
        <v>1</v>
      </c>
      <c r="K81" s="144">
        <v>3</v>
      </c>
      <c r="L81" s="16">
        <v>9</v>
      </c>
      <c r="M81" s="16"/>
      <c r="N81"/>
      <c r="O81"/>
      <c r="P81"/>
    </row>
    <row r="82" spans="1:16" s="145" customFormat="1" ht="19.5" customHeight="1">
      <c r="A82" s="144" t="s">
        <v>74</v>
      </c>
      <c r="B82" s="144" t="s">
        <v>76</v>
      </c>
      <c r="C82" s="144">
        <v>3</v>
      </c>
      <c r="D82" s="144">
        <v>1</v>
      </c>
      <c r="E82" s="144">
        <v>1</v>
      </c>
      <c r="F82" s="144">
        <v>1</v>
      </c>
      <c r="G82" s="144">
        <v>6</v>
      </c>
      <c r="H82" s="144">
        <v>3</v>
      </c>
      <c r="I82" s="144">
        <v>1</v>
      </c>
      <c r="J82" s="144">
        <v>1</v>
      </c>
      <c r="K82" s="144">
        <v>1</v>
      </c>
      <c r="L82" s="16">
        <v>9</v>
      </c>
      <c r="M82" s="16"/>
      <c r="N82"/>
      <c r="O82"/>
      <c r="P82"/>
    </row>
    <row r="83" spans="1:16" s="145" customFormat="1" ht="19.5" customHeight="1">
      <c r="A83" s="144" t="s">
        <v>74</v>
      </c>
      <c r="B83" s="144" t="s">
        <v>403</v>
      </c>
      <c r="C83" s="144">
        <v>0</v>
      </c>
      <c r="D83" s="144">
        <v>1</v>
      </c>
      <c r="E83" s="144">
        <v>2</v>
      </c>
      <c r="F83" s="144">
        <v>0</v>
      </c>
      <c r="G83" s="144">
        <v>3</v>
      </c>
      <c r="H83" s="144">
        <v>0</v>
      </c>
      <c r="I83" s="144">
        <v>1</v>
      </c>
      <c r="J83" s="144">
        <v>2</v>
      </c>
      <c r="K83" s="144">
        <v>0</v>
      </c>
      <c r="L83" s="16">
        <v>9</v>
      </c>
      <c r="M83" s="16"/>
      <c r="N83"/>
      <c r="O83"/>
      <c r="P83"/>
    </row>
    <row r="84" spans="1:16" s="145" customFormat="1" ht="19.5" customHeight="1">
      <c r="A84" s="144" t="s">
        <v>74</v>
      </c>
      <c r="B84" s="144" t="s">
        <v>525</v>
      </c>
      <c r="C84" s="144">
        <v>1</v>
      </c>
      <c r="D84" s="144">
        <v>2</v>
      </c>
      <c r="E84" s="144">
        <v>0</v>
      </c>
      <c r="F84" s="144">
        <v>0</v>
      </c>
      <c r="G84" s="144">
        <v>3</v>
      </c>
      <c r="H84" s="144">
        <v>1</v>
      </c>
      <c r="I84" s="144">
        <v>2</v>
      </c>
      <c r="J84" s="144">
        <v>0</v>
      </c>
      <c r="K84" s="144">
        <v>0</v>
      </c>
      <c r="L84" s="16">
        <v>9</v>
      </c>
      <c r="M84" s="16"/>
      <c r="N84"/>
      <c r="O84"/>
      <c r="P84"/>
    </row>
    <row r="85" spans="1:16" s="145" customFormat="1" ht="19.5" customHeight="1">
      <c r="A85" s="144" t="s">
        <v>74</v>
      </c>
      <c r="B85" s="144" t="s">
        <v>526</v>
      </c>
      <c r="C85" s="144">
        <v>0</v>
      </c>
      <c r="D85" s="144">
        <v>1</v>
      </c>
      <c r="E85" s="144">
        <v>0</v>
      </c>
      <c r="F85" s="144">
        <v>0</v>
      </c>
      <c r="G85" s="144">
        <v>1</v>
      </c>
      <c r="H85" s="144">
        <v>0</v>
      </c>
      <c r="I85" s="144">
        <v>1</v>
      </c>
      <c r="J85" s="144">
        <v>0</v>
      </c>
      <c r="K85" s="144">
        <v>0</v>
      </c>
      <c r="L85" s="16">
        <v>9</v>
      </c>
      <c r="M85" s="16"/>
      <c r="N85"/>
      <c r="O85"/>
      <c r="P85"/>
    </row>
    <row r="86" spans="1:16" s="145" customFormat="1" ht="19.5" customHeight="1">
      <c r="A86" s="144" t="s">
        <v>74</v>
      </c>
      <c r="B86" s="144" t="s">
        <v>524</v>
      </c>
      <c r="C86" s="144">
        <v>0</v>
      </c>
      <c r="D86" s="144">
        <v>1</v>
      </c>
      <c r="E86" s="144">
        <v>0</v>
      </c>
      <c r="F86" s="144">
        <v>0</v>
      </c>
      <c r="G86" s="144">
        <v>1</v>
      </c>
      <c r="H86" s="144">
        <v>0</v>
      </c>
      <c r="I86" s="144">
        <v>1</v>
      </c>
      <c r="J86" s="144">
        <v>0</v>
      </c>
      <c r="K86" s="144">
        <v>0</v>
      </c>
      <c r="L86" s="16">
        <v>9</v>
      </c>
      <c r="M86" s="16"/>
      <c r="N86"/>
      <c r="O86"/>
      <c r="P86"/>
    </row>
    <row r="87" spans="1:16" s="145" customFormat="1" ht="19.5" customHeight="1">
      <c r="A87" s="144" t="s">
        <v>74</v>
      </c>
      <c r="B87" s="144" t="s">
        <v>311</v>
      </c>
      <c r="C87" s="144">
        <v>0</v>
      </c>
      <c r="D87" s="144">
        <v>1</v>
      </c>
      <c r="E87" s="144">
        <v>0</v>
      </c>
      <c r="F87" s="144">
        <v>0</v>
      </c>
      <c r="G87" s="144">
        <v>1</v>
      </c>
      <c r="H87" s="144">
        <v>0</v>
      </c>
      <c r="I87" s="144">
        <v>1</v>
      </c>
      <c r="J87" s="144">
        <v>0</v>
      </c>
      <c r="K87" s="144">
        <v>0</v>
      </c>
      <c r="L87" s="16">
        <v>9</v>
      </c>
      <c r="M87" s="16"/>
      <c r="N87"/>
      <c r="O87"/>
      <c r="P87"/>
    </row>
    <row r="88" spans="1:16" s="145" customFormat="1" ht="19.5" customHeight="1">
      <c r="A88" s="144" t="s">
        <v>77</v>
      </c>
      <c r="B88" s="144" t="s">
        <v>78</v>
      </c>
      <c r="C88" s="144">
        <v>1</v>
      </c>
      <c r="D88" s="144">
        <v>7</v>
      </c>
      <c r="E88" s="144">
        <v>5</v>
      </c>
      <c r="F88" s="144">
        <v>8</v>
      </c>
      <c r="G88" s="144">
        <v>21</v>
      </c>
      <c r="H88" s="144">
        <v>1</v>
      </c>
      <c r="I88" s="144">
        <v>7</v>
      </c>
      <c r="J88" s="144">
        <v>5</v>
      </c>
      <c r="K88" s="144">
        <v>8</v>
      </c>
      <c r="L88" s="16">
        <v>9</v>
      </c>
      <c r="M88" s="16"/>
    </row>
    <row r="89" spans="1:16" s="145" customFormat="1" ht="19.5" customHeight="1">
      <c r="A89" s="144" t="s">
        <v>79</v>
      </c>
      <c r="B89" s="144" t="s">
        <v>80</v>
      </c>
      <c r="C89" s="144">
        <v>1</v>
      </c>
      <c r="D89" s="144">
        <v>4</v>
      </c>
      <c r="E89" s="144">
        <v>4</v>
      </c>
      <c r="F89" s="144">
        <v>3</v>
      </c>
      <c r="G89" s="144">
        <v>12</v>
      </c>
      <c r="H89" s="144">
        <v>1</v>
      </c>
      <c r="I89" s="144">
        <v>4</v>
      </c>
      <c r="J89" s="144">
        <v>4</v>
      </c>
      <c r="K89" s="144">
        <v>3</v>
      </c>
      <c r="L89" s="16">
        <v>9</v>
      </c>
      <c r="M89" s="16"/>
    </row>
    <row r="90" spans="1:16" s="145" customFormat="1" ht="19.5" customHeight="1">
      <c r="A90" s="144" t="s">
        <v>79</v>
      </c>
      <c r="B90" s="144" t="s">
        <v>240</v>
      </c>
      <c r="C90" s="144">
        <v>1</v>
      </c>
      <c r="D90" s="144">
        <v>4</v>
      </c>
      <c r="E90" s="144">
        <v>1</v>
      </c>
      <c r="F90" s="144">
        <v>3</v>
      </c>
      <c r="G90" s="144">
        <v>9</v>
      </c>
      <c r="H90" s="144">
        <v>1</v>
      </c>
      <c r="I90" s="144">
        <v>4</v>
      </c>
      <c r="J90" s="144">
        <v>1</v>
      </c>
      <c r="K90" s="144">
        <v>3</v>
      </c>
      <c r="L90" s="16">
        <v>9</v>
      </c>
      <c r="M90" s="16"/>
    </row>
    <row r="91" spans="1:16" s="145" customFormat="1" ht="19.5" customHeight="1">
      <c r="A91" s="144" t="s">
        <v>79</v>
      </c>
      <c r="B91" s="144" t="s">
        <v>81</v>
      </c>
      <c r="C91" s="144">
        <v>1</v>
      </c>
      <c r="D91" s="144">
        <v>14</v>
      </c>
      <c r="E91" s="144">
        <v>2</v>
      </c>
      <c r="F91" s="144">
        <v>2</v>
      </c>
      <c r="G91" s="144">
        <v>19</v>
      </c>
      <c r="H91" s="144">
        <v>1</v>
      </c>
      <c r="I91" s="144">
        <v>14</v>
      </c>
      <c r="J91" s="144">
        <v>2</v>
      </c>
      <c r="K91" s="144">
        <v>2</v>
      </c>
      <c r="L91" s="16">
        <v>9</v>
      </c>
      <c r="M91" s="16"/>
    </row>
    <row r="92" spans="1:16" s="145" customFormat="1" ht="19.5" customHeight="1">
      <c r="A92" s="144" t="s">
        <v>79</v>
      </c>
      <c r="B92" s="144" t="s">
        <v>368</v>
      </c>
      <c r="C92" s="144">
        <v>0</v>
      </c>
      <c r="D92" s="144">
        <v>3</v>
      </c>
      <c r="E92" s="144">
        <v>2</v>
      </c>
      <c r="F92" s="144">
        <v>0</v>
      </c>
      <c r="G92" s="144">
        <v>5</v>
      </c>
      <c r="H92" s="144">
        <v>0</v>
      </c>
      <c r="I92" s="144">
        <v>3</v>
      </c>
      <c r="J92" s="144">
        <v>2</v>
      </c>
      <c r="K92" s="144">
        <v>0</v>
      </c>
      <c r="L92" s="16">
        <v>9</v>
      </c>
      <c r="M92" s="16"/>
    </row>
    <row r="93" spans="1:16" s="145" customFormat="1" ht="19.5" customHeight="1">
      <c r="A93" s="144" t="s">
        <v>79</v>
      </c>
      <c r="B93" s="144" t="s">
        <v>999</v>
      </c>
      <c r="C93" s="144">
        <v>0</v>
      </c>
      <c r="D93" s="144">
        <v>2</v>
      </c>
      <c r="E93" s="144">
        <v>0</v>
      </c>
      <c r="F93" s="144">
        <v>0</v>
      </c>
      <c r="G93" s="144">
        <v>2</v>
      </c>
      <c r="H93" s="144">
        <v>0</v>
      </c>
      <c r="I93" s="144">
        <v>2</v>
      </c>
      <c r="J93" s="144">
        <v>0</v>
      </c>
      <c r="K93" s="144">
        <v>0</v>
      </c>
      <c r="L93" s="16">
        <v>9</v>
      </c>
      <c r="M93" s="16"/>
    </row>
    <row r="94" spans="1:16" s="145" customFormat="1" ht="19.5" customHeight="1">
      <c r="A94" s="144" t="s">
        <v>79</v>
      </c>
      <c r="B94" s="144" t="s">
        <v>528</v>
      </c>
      <c r="C94" s="144">
        <v>0</v>
      </c>
      <c r="D94" s="144">
        <v>1</v>
      </c>
      <c r="E94" s="144">
        <v>0</v>
      </c>
      <c r="F94" s="144">
        <v>0</v>
      </c>
      <c r="G94" s="144">
        <v>1</v>
      </c>
      <c r="H94" s="144">
        <v>0</v>
      </c>
      <c r="I94" s="144">
        <v>1</v>
      </c>
      <c r="J94" s="144">
        <v>0</v>
      </c>
      <c r="K94" s="144">
        <v>0</v>
      </c>
      <c r="L94" s="16">
        <v>9</v>
      </c>
      <c r="M94" s="16"/>
    </row>
    <row r="95" spans="1:16" s="145" customFormat="1" ht="19.5" customHeight="1">
      <c r="A95" s="144" t="s">
        <v>82</v>
      </c>
      <c r="B95" s="144" t="s">
        <v>529</v>
      </c>
      <c r="C95" s="144">
        <v>0</v>
      </c>
      <c r="D95" s="144">
        <v>0</v>
      </c>
      <c r="E95" s="144">
        <v>1</v>
      </c>
      <c r="F95" s="144">
        <v>1</v>
      </c>
      <c r="G95" s="144">
        <v>2</v>
      </c>
      <c r="H95" s="144">
        <v>0</v>
      </c>
      <c r="I95" s="144">
        <v>0</v>
      </c>
      <c r="J95" s="144">
        <v>1</v>
      </c>
      <c r="K95" s="144">
        <v>1</v>
      </c>
      <c r="L95" s="16">
        <v>9</v>
      </c>
      <c r="M95" s="16"/>
    </row>
    <row r="96" spans="1:16" s="145" customFormat="1" ht="19.5" customHeight="1">
      <c r="A96" s="144" t="s">
        <v>82</v>
      </c>
      <c r="B96" s="144" t="s">
        <v>405</v>
      </c>
      <c r="C96" s="144">
        <v>0</v>
      </c>
      <c r="D96" s="144">
        <v>5</v>
      </c>
      <c r="E96" s="144">
        <v>1</v>
      </c>
      <c r="F96" s="144">
        <v>0</v>
      </c>
      <c r="G96" s="144">
        <v>7</v>
      </c>
      <c r="H96" s="144">
        <v>0</v>
      </c>
      <c r="I96" s="144">
        <v>5</v>
      </c>
      <c r="J96" s="144">
        <v>2</v>
      </c>
      <c r="K96" s="144">
        <v>0</v>
      </c>
      <c r="L96" s="16">
        <v>9</v>
      </c>
      <c r="M96" s="16"/>
    </row>
    <row r="97" spans="1:13" s="145" customFormat="1" ht="19.5" customHeight="1">
      <c r="A97" s="144" t="s">
        <v>82</v>
      </c>
      <c r="B97" s="144" t="s">
        <v>369</v>
      </c>
      <c r="C97" s="144">
        <v>0</v>
      </c>
      <c r="D97" s="144">
        <v>2</v>
      </c>
      <c r="E97" s="144">
        <v>2</v>
      </c>
      <c r="F97" s="144">
        <v>0</v>
      </c>
      <c r="G97" s="144">
        <v>4</v>
      </c>
      <c r="H97" s="144">
        <v>0</v>
      </c>
      <c r="I97" s="144">
        <v>2</v>
      </c>
      <c r="J97" s="144">
        <v>2</v>
      </c>
      <c r="K97" s="144">
        <v>0</v>
      </c>
      <c r="L97" s="16">
        <v>9</v>
      </c>
      <c r="M97" s="16"/>
    </row>
    <row r="98" spans="1:13" s="145" customFormat="1" ht="19.5" customHeight="1">
      <c r="A98" s="144" t="s">
        <v>82</v>
      </c>
      <c r="B98" s="144" t="s">
        <v>83</v>
      </c>
      <c r="C98" s="144">
        <v>0</v>
      </c>
      <c r="D98" s="144">
        <v>2</v>
      </c>
      <c r="E98" s="144">
        <v>2</v>
      </c>
      <c r="F98" s="144">
        <v>0</v>
      </c>
      <c r="G98" s="144">
        <v>4</v>
      </c>
      <c r="H98" s="144">
        <v>0</v>
      </c>
      <c r="I98" s="144">
        <v>2</v>
      </c>
      <c r="J98" s="144">
        <v>2</v>
      </c>
      <c r="K98" s="144">
        <v>0</v>
      </c>
      <c r="L98" s="16">
        <v>9</v>
      </c>
      <c r="M98" s="16"/>
    </row>
    <row r="99" spans="1:13" s="145" customFormat="1" ht="19.5" customHeight="1">
      <c r="A99" s="144" t="s">
        <v>82</v>
      </c>
      <c r="B99" s="144" t="s">
        <v>1000</v>
      </c>
      <c r="C99" s="144">
        <v>0</v>
      </c>
      <c r="D99" s="144">
        <v>0</v>
      </c>
      <c r="E99" s="144">
        <v>2</v>
      </c>
      <c r="F99" s="144">
        <v>0</v>
      </c>
      <c r="G99" s="144">
        <v>2</v>
      </c>
      <c r="H99" s="144">
        <v>0</v>
      </c>
      <c r="I99" s="144">
        <v>0</v>
      </c>
      <c r="J99" s="144">
        <v>2</v>
      </c>
      <c r="K99" s="144">
        <v>0</v>
      </c>
      <c r="L99" s="16">
        <v>9</v>
      </c>
      <c r="M99" s="16"/>
    </row>
    <row r="100" spans="1:13" s="145" customFormat="1" ht="19.5" customHeight="1">
      <c r="A100" s="144" t="s">
        <v>82</v>
      </c>
      <c r="B100" s="144" t="s">
        <v>531</v>
      </c>
      <c r="C100" s="144">
        <v>0</v>
      </c>
      <c r="D100" s="144">
        <v>2</v>
      </c>
      <c r="E100" s="144">
        <v>0</v>
      </c>
      <c r="F100" s="144">
        <v>0</v>
      </c>
      <c r="G100" s="144">
        <v>2</v>
      </c>
      <c r="H100" s="144">
        <v>0</v>
      </c>
      <c r="I100" s="144">
        <v>2</v>
      </c>
      <c r="J100" s="144">
        <v>0</v>
      </c>
      <c r="K100" s="144">
        <v>0</v>
      </c>
      <c r="L100" s="16">
        <v>9</v>
      </c>
      <c r="M100" s="16"/>
    </row>
    <row r="101" spans="1:13" s="145" customFormat="1" ht="19.5" customHeight="1">
      <c r="A101" s="144" t="s">
        <v>84</v>
      </c>
      <c r="B101" s="144" t="s">
        <v>87</v>
      </c>
      <c r="C101" s="144">
        <v>0</v>
      </c>
      <c r="D101" s="144">
        <v>55</v>
      </c>
      <c r="E101" s="144">
        <v>44</v>
      </c>
      <c r="F101" s="144">
        <v>29</v>
      </c>
      <c r="G101" s="144">
        <v>152</v>
      </c>
      <c r="H101" s="144">
        <v>0</v>
      </c>
      <c r="I101" s="144">
        <v>61</v>
      </c>
      <c r="J101" s="144">
        <v>54</v>
      </c>
      <c r="K101" s="144">
        <v>37</v>
      </c>
      <c r="L101" s="16">
        <v>9</v>
      </c>
      <c r="M101" s="16"/>
    </row>
    <row r="102" spans="1:13" s="145" customFormat="1" ht="19.5" customHeight="1">
      <c r="A102" s="144" t="s">
        <v>84</v>
      </c>
      <c r="B102" s="144" t="s">
        <v>155</v>
      </c>
      <c r="C102" s="144">
        <v>0</v>
      </c>
      <c r="D102" s="144">
        <v>0</v>
      </c>
      <c r="E102" s="144">
        <v>1</v>
      </c>
      <c r="F102" s="144">
        <v>5</v>
      </c>
      <c r="G102" s="144">
        <v>6</v>
      </c>
      <c r="H102" s="144">
        <v>0</v>
      </c>
      <c r="I102" s="144">
        <v>0</v>
      </c>
      <c r="J102" s="144">
        <v>1</v>
      </c>
      <c r="K102" s="144">
        <v>5</v>
      </c>
      <c r="L102" s="16">
        <v>9</v>
      </c>
      <c r="M102" s="16"/>
    </row>
    <row r="103" spans="1:13" s="145" customFormat="1" ht="19.5" customHeight="1">
      <c r="A103" s="144" t="s">
        <v>84</v>
      </c>
      <c r="B103" s="144" t="s">
        <v>85</v>
      </c>
      <c r="C103" s="144">
        <v>0</v>
      </c>
      <c r="D103" s="144">
        <v>7</v>
      </c>
      <c r="E103" s="144">
        <v>1</v>
      </c>
      <c r="F103" s="144">
        <v>2</v>
      </c>
      <c r="G103" s="144">
        <v>11</v>
      </c>
      <c r="H103" s="144">
        <v>0</v>
      </c>
      <c r="I103" s="144">
        <v>8</v>
      </c>
      <c r="J103" s="144">
        <v>1</v>
      </c>
      <c r="K103" s="144">
        <v>2</v>
      </c>
      <c r="L103" s="16">
        <v>9</v>
      </c>
      <c r="M103" s="16"/>
    </row>
    <row r="104" spans="1:13" s="145" customFormat="1" ht="19.5" customHeight="1">
      <c r="A104" s="144" t="s">
        <v>84</v>
      </c>
      <c r="B104" s="144" t="s">
        <v>1001</v>
      </c>
      <c r="C104" s="144">
        <v>0</v>
      </c>
      <c r="D104" s="144">
        <v>1</v>
      </c>
      <c r="E104" s="144">
        <v>0</v>
      </c>
      <c r="F104" s="144">
        <v>1</v>
      </c>
      <c r="G104" s="144">
        <v>2</v>
      </c>
      <c r="H104" s="144">
        <v>0</v>
      </c>
      <c r="I104" s="144">
        <v>1</v>
      </c>
      <c r="J104" s="144">
        <v>0</v>
      </c>
      <c r="K104" s="144">
        <v>1</v>
      </c>
      <c r="L104" s="16">
        <v>9</v>
      </c>
      <c r="M104" s="16"/>
    </row>
    <row r="105" spans="1:13" s="145" customFormat="1" ht="19.5" customHeight="1">
      <c r="A105" s="144" t="s">
        <v>84</v>
      </c>
      <c r="B105" s="144" t="s">
        <v>533</v>
      </c>
      <c r="C105" s="144">
        <v>0</v>
      </c>
      <c r="D105" s="144">
        <v>0</v>
      </c>
      <c r="E105" s="144">
        <v>0</v>
      </c>
      <c r="F105" s="144">
        <v>1</v>
      </c>
      <c r="G105" s="144">
        <v>1</v>
      </c>
      <c r="H105" s="144">
        <v>0</v>
      </c>
      <c r="I105" s="144">
        <v>0</v>
      </c>
      <c r="J105" s="144">
        <v>0</v>
      </c>
      <c r="K105" s="144">
        <v>1</v>
      </c>
      <c r="L105" s="16">
        <v>9</v>
      </c>
      <c r="M105" s="16"/>
    </row>
    <row r="106" spans="1:13" s="145" customFormat="1" ht="19.5" customHeight="1">
      <c r="A106" s="144" t="s">
        <v>84</v>
      </c>
      <c r="B106" s="144" t="s">
        <v>86</v>
      </c>
      <c r="C106" s="144">
        <v>2</v>
      </c>
      <c r="D106" s="144">
        <v>12</v>
      </c>
      <c r="E106" s="144">
        <v>4</v>
      </c>
      <c r="F106" s="144">
        <v>0</v>
      </c>
      <c r="G106" s="144">
        <v>20</v>
      </c>
      <c r="H106" s="144">
        <v>3</v>
      </c>
      <c r="I106" s="144">
        <v>12</v>
      </c>
      <c r="J106" s="144">
        <v>5</v>
      </c>
      <c r="K106" s="144">
        <v>0</v>
      </c>
      <c r="L106" s="16">
        <v>9</v>
      </c>
      <c r="M106" s="16"/>
    </row>
    <row r="107" spans="1:13" s="145" customFormat="1" ht="19.5" customHeight="1">
      <c r="A107" s="144" t="s">
        <v>84</v>
      </c>
      <c r="B107" s="144" t="s">
        <v>532</v>
      </c>
      <c r="C107" s="144">
        <v>0</v>
      </c>
      <c r="D107" s="144">
        <v>1</v>
      </c>
      <c r="E107" s="144">
        <v>1</v>
      </c>
      <c r="F107" s="144">
        <v>0</v>
      </c>
      <c r="G107" s="144">
        <v>2</v>
      </c>
      <c r="H107" s="144">
        <v>0</v>
      </c>
      <c r="I107" s="144">
        <v>1</v>
      </c>
      <c r="J107" s="144">
        <v>1</v>
      </c>
      <c r="K107" s="144">
        <v>0</v>
      </c>
      <c r="L107" s="16">
        <v>9</v>
      </c>
      <c r="M107" s="16"/>
    </row>
    <row r="108" spans="1:13" s="145" customFormat="1" ht="19.5" customHeight="1">
      <c r="A108" s="144" t="s">
        <v>84</v>
      </c>
      <c r="B108" s="144" t="s">
        <v>1002</v>
      </c>
      <c r="C108" s="144">
        <v>0</v>
      </c>
      <c r="D108" s="144">
        <v>1</v>
      </c>
      <c r="E108" s="144">
        <v>0</v>
      </c>
      <c r="F108" s="144">
        <v>0</v>
      </c>
      <c r="G108" s="144">
        <v>1</v>
      </c>
      <c r="H108" s="144">
        <v>0</v>
      </c>
      <c r="I108" s="144">
        <v>1</v>
      </c>
      <c r="J108" s="144">
        <v>0</v>
      </c>
      <c r="K108" s="144">
        <v>0</v>
      </c>
      <c r="L108" s="16">
        <v>9</v>
      </c>
      <c r="M108" s="16"/>
    </row>
    <row r="109" spans="1:13" s="145" customFormat="1" ht="19.5" customHeight="1">
      <c r="A109" s="144" t="s">
        <v>1003</v>
      </c>
      <c r="B109" s="144" t="s">
        <v>1004</v>
      </c>
      <c r="C109" s="144">
        <v>0</v>
      </c>
      <c r="D109" s="144">
        <v>0</v>
      </c>
      <c r="E109" s="144">
        <v>0</v>
      </c>
      <c r="F109" s="144">
        <v>1</v>
      </c>
      <c r="G109" s="144">
        <v>1</v>
      </c>
      <c r="H109" s="144">
        <v>0</v>
      </c>
      <c r="I109" s="144">
        <v>0</v>
      </c>
      <c r="J109" s="144">
        <v>0</v>
      </c>
      <c r="K109" s="144">
        <v>1</v>
      </c>
      <c r="L109" s="16">
        <v>9</v>
      </c>
      <c r="M109" s="16"/>
    </row>
    <row r="110" spans="1:13" s="145" customFormat="1" ht="19.5" customHeight="1">
      <c r="A110" s="144" t="s">
        <v>88</v>
      </c>
      <c r="B110" s="144" t="s">
        <v>90</v>
      </c>
      <c r="C110" s="144">
        <v>0</v>
      </c>
      <c r="D110" s="144">
        <v>21</v>
      </c>
      <c r="E110" s="144">
        <v>25</v>
      </c>
      <c r="F110" s="144">
        <v>11</v>
      </c>
      <c r="G110" s="144">
        <v>62</v>
      </c>
      <c r="H110" s="144">
        <v>0</v>
      </c>
      <c r="I110" s="144">
        <v>22</v>
      </c>
      <c r="J110" s="144">
        <v>28</v>
      </c>
      <c r="K110" s="144">
        <v>12</v>
      </c>
      <c r="L110" s="16">
        <v>9</v>
      </c>
      <c r="M110" s="16"/>
    </row>
    <row r="111" spans="1:13" s="145" customFormat="1" ht="19.5" customHeight="1">
      <c r="A111" s="144" t="s">
        <v>88</v>
      </c>
      <c r="B111" s="144" t="s">
        <v>89</v>
      </c>
      <c r="C111" s="144">
        <v>0</v>
      </c>
      <c r="D111" s="144">
        <v>1</v>
      </c>
      <c r="E111" s="144">
        <v>4</v>
      </c>
      <c r="F111" s="144">
        <v>4</v>
      </c>
      <c r="G111" s="144">
        <v>10</v>
      </c>
      <c r="H111" s="144">
        <v>0</v>
      </c>
      <c r="I111" s="144">
        <v>1</v>
      </c>
      <c r="J111" s="144">
        <v>4</v>
      </c>
      <c r="K111" s="144">
        <v>5</v>
      </c>
      <c r="L111" s="16">
        <v>9</v>
      </c>
      <c r="M111" s="16"/>
    </row>
    <row r="112" spans="1:13" s="145" customFormat="1" ht="19.5" customHeight="1">
      <c r="A112" s="144" t="s">
        <v>88</v>
      </c>
      <c r="B112" s="144" t="s">
        <v>91</v>
      </c>
      <c r="C112" s="144">
        <v>0</v>
      </c>
      <c r="D112" s="144">
        <v>0</v>
      </c>
      <c r="E112" s="144">
        <v>2</v>
      </c>
      <c r="F112" s="144">
        <v>2</v>
      </c>
      <c r="G112" s="144">
        <v>4</v>
      </c>
      <c r="H112" s="144">
        <v>0</v>
      </c>
      <c r="I112" s="144">
        <v>0</v>
      </c>
      <c r="J112" s="144">
        <v>2</v>
      </c>
      <c r="K112" s="144">
        <v>2</v>
      </c>
      <c r="L112" s="16">
        <v>9</v>
      </c>
      <c r="M112" s="16"/>
    </row>
    <row r="113" spans="1:13" s="145" customFormat="1" ht="19.5" customHeight="1">
      <c r="A113" s="144" t="s">
        <v>88</v>
      </c>
      <c r="B113" s="144" t="s">
        <v>409</v>
      </c>
      <c r="C113" s="144">
        <v>0</v>
      </c>
      <c r="D113" s="144">
        <v>1</v>
      </c>
      <c r="E113" s="144">
        <v>0</v>
      </c>
      <c r="F113" s="144">
        <v>1</v>
      </c>
      <c r="G113" s="144">
        <v>2</v>
      </c>
      <c r="H113" s="144">
        <v>0</v>
      </c>
      <c r="I113" s="144">
        <v>1</v>
      </c>
      <c r="J113" s="144">
        <v>0</v>
      </c>
      <c r="K113" s="144">
        <v>1</v>
      </c>
      <c r="L113" s="16">
        <v>9</v>
      </c>
      <c r="M113" s="16"/>
    </row>
    <row r="114" spans="1:13" s="145" customFormat="1" ht="19.5" customHeight="1">
      <c r="A114" s="144" t="s">
        <v>542</v>
      </c>
      <c r="B114" s="144" t="s">
        <v>537</v>
      </c>
      <c r="C114" s="144">
        <v>0</v>
      </c>
      <c r="D114" s="144">
        <v>0</v>
      </c>
      <c r="E114" s="144">
        <v>1</v>
      </c>
      <c r="F114" s="144">
        <v>0</v>
      </c>
      <c r="G114" s="144">
        <v>1</v>
      </c>
      <c r="H114" s="144">
        <v>0</v>
      </c>
      <c r="I114" s="144">
        <v>0</v>
      </c>
      <c r="J114" s="144">
        <v>1</v>
      </c>
      <c r="K114" s="144">
        <v>0</v>
      </c>
      <c r="L114" s="16">
        <v>9</v>
      </c>
      <c r="M114" s="16"/>
    </row>
    <row r="115" spans="1:13" s="145" customFormat="1" ht="19.5" customHeight="1">
      <c r="A115" s="144" t="s">
        <v>92</v>
      </c>
      <c r="B115" s="144" t="s">
        <v>94</v>
      </c>
      <c r="C115" s="144">
        <v>0</v>
      </c>
      <c r="D115" s="144">
        <v>0</v>
      </c>
      <c r="E115" s="144">
        <v>12</v>
      </c>
      <c r="F115" s="144">
        <v>20</v>
      </c>
      <c r="G115" s="144">
        <v>38</v>
      </c>
      <c r="H115" s="144">
        <v>0</v>
      </c>
      <c r="I115" s="144">
        <v>0</v>
      </c>
      <c r="J115" s="144">
        <v>16</v>
      </c>
      <c r="K115" s="144">
        <v>22</v>
      </c>
      <c r="L115" s="16">
        <v>9</v>
      </c>
      <c r="M115" s="16"/>
    </row>
    <row r="116" spans="1:13" s="145" customFormat="1" ht="19.5" customHeight="1">
      <c r="A116" s="144" t="s">
        <v>92</v>
      </c>
      <c r="B116" s="144" t="s">
        <v>95</v>
      </c>
      <c r="C116" s="144">
        <v>1</v>
      </c>
      <c r="D116" s="144">
        <v>36</v>
      </c>
      <c r="E116" s="144">
        <v>35</v>
      </c>
      <c r="F116" s="144">
        <v>12</v>
      </c>
      <c r="G116" s="144">
        <v>94</v>
      </c>
      <c r="H116" s="144">
        <v>1</v>
      </c>
      <c r="I116" s="144">
        <v>39</v>
      </c>
      <c r="J116" s="144">
        <v>41</v>
      </c>
      <c r="K116" s="144">
        <v>13</v>
      </c>
      <c r="L116" s="16">
        <v>9</v>
      </c>
      <c r="M116" s="16"/>
    </row>
    <row r="117" spans="1:13" s="145" customFormat="1" ht="19.5" customHeight="1">
      <c r="A117" s="144" t="s">
        <v>92</v>
      </c>
      <c r="B117" s="144" t="s">
        <v>97</v>
      </c>
      <c r="C117" s="144">
        <v>1</v>
      </c>
      <c r="D117" s="144">
        <v>26</v>
      </c>
      <c r="E117" s="144">
        <v>34</v>
      </c>
      <c r="F117" s="144">
        <v>9</v>
      </c>
      <c r="G117" s="144">
        <v>72</v>
      </c>
      <c r="H117" s="144">
        <v>1</v>
      </c>
      <c r="I117" s="144">
        <v>27</v>
      </c>
      <c r="J117" s="144">
        <v>35</v>
      </c>
      <c r="K117" s="144">
        <v>9</v>
      </c>
      <c r="L117" s="16">
        <v>9</v>
      </c>
      <c r="M117" s="16"/>
    </row>
    <row r="118" spans="1:13" s="145" customFormat="1" ht="19.5" customHeight="1">
      <c r="A118" s="144" t="s">
        <v>92</v>
      </c>
      <c r="B118" s="144" t="s">
        <v>98</v>
      </c>
      <c r="C118" s="144">
        <v>0</v>
      </c>
      <c r="D118" s="144">
        <v>52</v>
      </c>
      <c r="E118" s="144">
        <v>27</v>
      </c>
      <c r="F118" s="144">
        <v>8</v>
      </c>
      <c r="G118" s="144">
        <v>99</v>
      </c>
      <c r="H118" s="144">
        <v>0</v>
      </c>
      <c r="I118" s="144">
        <v>63</v>
      </c>
      <c r="J118" s="144">
        <v>28</v>
      </c>
      <c r="K118" s="144">
        <v>8</v>
      </c>
      <c r="L118" s="16">
        <v>9</v>
      </c>
      <c r="M118" s="16"/>
    </row>
    <row r="119" spans="1:13" s="145" customFormat="1" ht="19.5" customHeight="1">
      <c r="A119" s="144" t="s">
        <v>92</v>
      </c>
      <c r="B119" s="144" t="s">
        <v>96</v>
      </c>
      <c r="C119" s="144">
        <v>0</v>
      </c>
      <c r="D119" s="144">
        <v>1</v>
      </c>
      <c r="E119" s="144">
        <v>4</v>
      </c>
      <c r="F119" s="144">
        <v>8</v>
      </c>
      <c r="G119" s="144">
        <v>13</v>
      </c>
      <c r="H119" s="144">
        <v>0</v>
      </c>
      <c r="I119" s="144">
        <v>1</v>
      </c>
      <c r="J119" s="144">
        <v>4</v>
      </c>
      <c r="K119" s="144">
        <v>8</v>
      </c>
      <c r="L119" s="16">
        <v>9</v>
      </c>
      <c r="M119" s="16"/>
    </row>
    <row r="120" spans="1:13" s="145" customFormat="1" ht="19.5" customHeight="1">
      <c r="A120" s="144" t="s">
        <v>92</v>
      </c>
      <c r="B120" s="144" t="s">
        <v>344</v>
      </c>
      <c r="C120" s="144">
        <v>0</v>
      </c>
      <c r="D120" s="144">
        <v>0</v>
      </c>
      <c r="E120" s="144">
        <v>0</v>
      </c>
      <c r="F120" s="144">
        <v>1</v>
      </c>
      <c r="G120" s="144">
        <v>1</v>
      </c>
      <c r="H120" s="144">
        <v>0</v>
      </c>
      <c r="I120" s="144">
        <v>0</v>
      </c>
      <c r="J120" s="144">
        <v>0</v>
      </c>
      <c r="K120" s="144">
        <v>1</v>
      </c>
      <c r="L120" s="16">
        <v>9</v>
      </c>
      <c r="M120" s="16"/>
    </row>
    <row r="121" spans="1:13" s="145" customFormat="1" ht="19.5" customHeight="1">
      <c r="A121" s="144" t="s">
        <v>92</v>
      </c>
      <c r="B121" s="144" t="s">
        <v>93</v>
      </c>
      <c r="C121" s="144">
        <v>4</v>
      </c>
      <c r="D121" s="144">
        <v>4</v>
      </c>
      <c r="E121" s="144">
        <v>0</v>
      </c>
      <c r="F121" s="144">
        <v>0</v>
      </c>
      <c r="G121" s="144">
        <v>8</v>
      </c>
      <c r="H121" s="144">
        <v>4</v>
      </c>
      <c r="I121" s="144">
        <v>4</v>
      </c>
      <c r="J121" s="144">
        <v>0</v>
      </c>
      <c r="K121" s="144">
        <v>0</v>
      </c>
      <c r="L121" s="16">
        <v>9</v>
      </c>
      <c r="M121" s="16"/>
    </row>
    <row r="122" spans="1:13" s="145" customFormat="1" ht="19.5" customHeight="1">
      <c r="A122" s="144" t="s">
        <v>92</v>
      </c>
      <c r="B122" s="144" t="s">
        <v>538</v>
      </c>
      <c r="C122" s="144">
        <v>0</v>
      </c>
      <c r="D122" s="144">
        <v>1</v>
      </c>
      <c r="E122" s="144">
        <v>1</v>
      </c>
      <c r="F122" s="144">
        <v>0</v>
      </c>
      <c r="G122" s="144">
        <v>2</v>
      </c>
      <c r="H122" s="144">
        <v>0</v>
      </c>
      <c r="I122" s="144">
        <v>1</v>
      </c>
      <c r="J122" s="144">
        <v>1</v>
      </c>
      <c r="K122" s="144">
        <v>0</v>
      </c>
      <c r="L122" s="16">
        <v>9</v>
      </c>
      <c r="M122" s="16"/>
    </row>
    <row r="123" spans="1:13" s="145" customFormat="1" ht="19.5" customHeight="1">
      <c r="A123" s="144" t="s">
        <v>99</v>
      </c>
      <c r="B123" s="144" t="s">
        <v>109</v>
      </c>
      <c r="C123" s="144">
        <v>2</v>
      </c>
      <c r="D123" s="144">
        <v>35</v>
      </c>
      <c r="E123" s="144">
        <v>31</v>
      </c>
      <c r="F123" s="144">
        <v>7</v>
      </c>
      <c r="G123" s="144">
        <v>84</v>
      </c>
      <c r="H123" s="144">
        <v>2</v>
      </c>
      <c r="I123" s="144">
        <v>41</v>
      </c>
      <c r="J123" s="144">
        <v>32</v>
      </c>
      <c r="K123" s="144">
        <v>9</v>
      </c>
      <c r="L123" s="16">
        <v>9</v>
      </c>
      <c r="M123" s="16"/>
    </row>
    <row r="124" spans="1:13" s="145" customFormat="1" ht="19.5" customHeight="1">
      <c r="A124" s="144" t="s">
        <v>99</v>
      </c>
      <c r="B124" s="144" t="s">
        <v>106</v>
      </c>
      <c r="C124" s="144">
        <v>1</v>
      </c>
      <c r="D124" s="144">
        <v>5</v>
      </c>
      <c r="E124" s="144">
        <v>3</v>
      </c>
      <c r="F124" s="144">
        <v>1</v>
      </c>
      <c r="G124" s="144">
        <v>10</v>
      </c>
      <c r="H124" s="144">
        <v>1</v>
      </c>
      <c r="I124" s="144">
        <v>5</v>
      </c>
      <c r="J124" s="144">
        <v>3</v>
      </c>
      <c r="K124" s="144">
        <v>1</v>
      </c>
      <c r="L124" s="16">
        <v>9</v>
      </c>
      <c r="M124" s="16"/>
    </row>
    <row r="125" spans="1:13" s="145" customFormat="1" ht="19.5" customHeight="1">
      <c r="A125" s="144" t="s">
        <v>99</v>
      </c>
      <c r="B125" s="144" t="s">
        <v>107</v>
      </c>
      <c r="C125" s="144">
        <v>0</v>
      </c>
      <c r="D125" s="144">
        <v>6</v>
      </c>
      <c r="E125" s="144">
        <v>2</v>
      </c>
      <c r="F125" s="144">
        <v>1</v>
      </c>
      <c r="G125" s="144">
        <v>9</v>
      </c>
      <c r="H125" s="144">
        <v>0</v>
      </c>
      <c r="I125" s="144">
        <v>6</v>
      </c>
      <c r="J125" s="144">
        <v>2</v>
      </c>
      <c r="K125" s="144">
        <v>1</v>
      </c>
      <c r="L125" s="16">
        <v>9</v>
      </c>
      <c r="M125" s="16"/>
    </row>
    <row r="126" spans="1:13" s="145" customFormat="1" ht="19.5" customHeight="1">
      <c r="A126" s="144" t="s">
        <v>99</v>
      </c>
      <c r="B126" s="144" t="s">
        <v>345</v>
      </c>
      <c r="C126" s="144">
        <v>0</v>
      </c>
      <c r="D126" s="144">
        <v>4</v>
      </c>
      <c r="E126" s="144">
        <v>5</v>
      </c>
      <c r="F126" s="144">
        <v>0</v>
      </c>
      <c r="G126" s="144">
        <v>9</v>
      </c>
      <c r="H126" s="144">
        <v>0</v>
      </c>
      <c r="I126" s="144">
        <v>4</v>
      </c>
      <c r="J126" s="144">
        <v>5</v>
      </c>
      <c r="K126" s="144">
        <v>0</v>
      </c>
      <c r="L126" s="16">
        <v>9</v>
      </c>
      <c r="M126" s="16"/>
    </row>
    <row r="127" spans="1:13" s="145" customFormat="1" ht="19.5" customHeight="1">
      <c r="A127" s="144" t="s">
        <v>99</v>
      </c>
      <c r="B127" s="144" t="s">
        <v>105</v>
      </c>
      <c r="C127" s="144">
        <v>1</v>
      </c>
      <c r="D127" s="144">
        <v>1</v>
      </c>
      <c r="E127" s="144">
        <v>6</v>
      </c>
      <c r="F127" s="144">
        <v>0</v>
      </c>
      <c r="G127" s="144">
        <v>8</v>
      </c>
      <c r="H127" s="144">
        <v>1</v>
      </c>
      <c r="I127" s="144">
        <v>1</v>
      </c>
      <c r="J127" s="144">
        <v>6</v>
      </c>
      <c r="K127" s="144">
        <v>0</v>
      </c>
      <c r="L127" s="16">
        <v>9</v>
      </c>
      <c r="M127" s="16"/>
    </row>
    <row r="128" spans="1:13" s="145" customFormat="1" ht="19.5" customHeight="1">
      <c r="A128" s="144" t="s">
        <v>99</v>
      </c>
      <c r="B128" s="144" t="s">
        <v>103</v>
      </c>
      <c r="C128" s="144">
        <v>0</v>
      </c>
      <c r="D128" s="144">
        <v>5</v>
      </c>
      <c r="E128" s="144">
        <v>1</v>
      </c>
      <c r="F128" s="144">
        <v>0</v>
      </c>
      <c r="G128" s="144">
        <v>6</v>
      </c>
      <c r="H128" s="144">
        <v>0</v>
      </c>
      <c r="I128" s="144">
        <v>5</v>
      </c>
      <c r="J128" s="144">
        <v>1</v>
      </c>
      <c r="K128" s="144">
        <v>0</v>
      </c>
      <c r="L128" s="16">
        <v>9</v>
      </c>
      <c r="M128" s="16"/>
    </row>
    <row r="129" spans="1:13" s="145" customFormat="1" ht="19.5" customHeight="1">
      <c r="A129" s="144" t="s">
        <v>99</v>
      </c>
      <c r="B129" s="144" t="s">
        <v>100</v>
      </c>
      <c r="C129" s="144">
        <v>2</v>
      </c>
      <c r="D129" s="144">
        <v>2</v>
      </c>
      <c r="E129" s="144">
        <v>1</v>
      </c>
      <c r="F129" s="144">
        <v>0</v>
      </c>
      <c r="G129" s="144">
        <v>5</v>
      </c>
      <c r="H129" s="144">
        <v>2</v>
      </c>
      <c r="I129" s="144">
        <v>2</v>
      </c>
      <c r="J129" s="144">
        <v>1</v>
      </c>
      <c r="K129" s="144">
        <v>0</v>
      </c>
      <c r="L129" s="16">
        <v>9</v>
      </c>
      <c r="M129" s="16"/>
    </row>
    <row r="130" spans="1:13" s="145" customFormat="1" ht="19.5" customHeight="1">
      <c r="A130" s="144" t="s">
        <v>99</v>
      </c>
      <c r="B130" s="144" t="s">
        <v>104</v>
      </c>
      <c r="C130" s="144">
        <v>2</v>
      </c>
      <c r="D130" s="144">
        <v>0</v>
      </c>
      <c r="E130" s="144">
        <v>1</v>
      </c>
      <c r="F130" s="144">
        <v>0</v>
      </c>
      <c r="G130" s="144">
        <v>3</v>
      </c>
      <c r="H130" s="144">
        <v>2</v>
      </c>
      <c r="I130" s="144">
        <v>0</v>
      </c>
      <c r="J130" s="144">
        <v>1</v>
      </c>
      <c r="K130" s="144">
        <v>0</v>
      </c>
      <c r="L130" s="16">
        <v>9</v>
      </c>
      <c r="M130" s="16"/>
    </row>
    <row r="131" spans="1:13" s="145" customFormat="1" ht="19.5" customHeight="1">
      <c r="A131" s="144" t="s">
        <v>99</v>
      </c>
      <c r="B131" s="144" t="s">
        <v>101</v>
      </c>
      <c r="C131" s="144">
        <v>0</v>
      </c>
      <c r="D131" s="144">
        <v>1</v>
      </c>
      <c r="E131" s="144">
        <v>2</v>
      </c>
      <c r="F131" s="144">
        <v>0</v>
      </c>
      <c r="G131" s="144">
        <v>3</v>
      </c>
      <c r="H131" s="144">
        <v>0</v>
      </c>
      <c r="I131" s="144">
        <v>1</v>
      </c>
      <c r="J131" s="144">
        <v>2</v>
      </c>
      <c r="K131" s="144">
        <v>0</v>
      </c>
      <c r="L131" s="16">
        <v>9</v>
      </c>
      <c r="M131" s="16"/>
    </row>
    <row r="132" spans="1:13" s="145" customFormat="1" ht="19.5" customHeight="1">
      <c r="A132" s="144" t="s">
        <v>99</v>
      </c>
      <c r="B132" s="144" t="s">
        <v>102</v>
      </c>
      <c r="C132" s="144">
        <v>0</v>
      </c>
      <c r="D132" s="144">
        <v>1</v>
      </c>
      <c r="E132" s="144">
        <v>0</v>
      </c>
      <c r="F132" s="144">
        <v>0</v>
      </c>
      <c r="G132" s="144">
        <v>1</v>
      </c>
      <c r="H132" s="144">
        <v>0</v>
      </c>
      <c r="I132" s="144">
        <v>1</v>
      </c>
      <c r="J132" s="144">
        <v>0</v>
      </c>
      <c r="K132" s="144">
        <v>0</v>
      </c>
      <c r="L132" s="16">
        <v>9</v>
      </c>
      <c r="M132" s="16"/>
    </row>
    <row r="133" spans="1:13" s="145" customFormat="1" ht="19.5" customHeight="1">
      <c r="A133" s="144"/>
      <c r="B133" s="144"/>
      <c r="C133" s="144"/>
      <c r="D133" s="144"/>
      <c r="E133" s="144"/>
      <c r="F133" s="144"/>
      <c r="G133" s="144"/>
      <c r="H133" s="144"/>
      <c r="I133" s="144"/>
      <c r="J133" s="144"/>
      <c r="K133" s="144"/>
      <c r="L133" s="16"/>
      <c r="M133" s="16"/>
    </row>
  </sheetData>
  <phoneticPr fontId="10" type="noConversion"/>
  <pageMargins left="0.7" right="0.7" top="0.75" bottom="0.75" header="0.3" footer="0.3"/>
  <pageSetup orientation="portrait" r:id="rId5"/>
  <tableParts count="1">
    <tablePart r:id="rId6"/>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3BC138-D1B9-47CB-9520-61C99BF19EEE}">
  <sheetPr filterMode="1"/>
  <dimension ref="A1:Z494"/>
  <sheetViews>
    <sheetView zoomScale="55" zoomScaleNormal="55" workbookViewId="0">
      <selection activeCell="M12" sqref="M12"/>
    </sheetView>
  </sheetViews>
  <sheetFormatPr defaultColWidth="9.6328125" defaultRowHeight="16.5" customHeight="1"/>
  <cols>
    <col min="1" max="1" width="10.1796875" style="16" bestFit="1" customWidth="1"/>
    <col min="2" max="2" width="28.26953125" style="16" bestFit="1" customWidth="1"/>
    <col min="3" max="3" width="33.36328125" style="16" customWidth="1"/>
    <col min="4" max="4" width="33.6328125" style="16" bestFit="1" customWidth="1"/>
    <col min="5" max="5" width="38" style="16" customWidth="1"/>
    <col min="6" max="6" width="12" style="16" bestFit="1" customWidth="1"/>
    <col min="7" max="10" width="12" style="16" customWidth="1"/>
    <col min="11" max="11" width="8.453125" style="16" customWidth="1"/>
    <col min="12" max="12" width="31.81640625" style="16" bestFit="1" customWidth="1"/>
    <col min="13" max="13" width="18.36328125" style="16" bestFit="1" customWidth="1"/>
    <col min="14" max="14" width="19.6328125" style="16" bestFit="1" customWidth="1"/>
    <col min="15" max="15" width="30.453125" style="16" bestFit="1" customWidth="1"/>
    <col min="16" max="16" width="19.6328125" style="16" bestFit="1" customWidth="1"/>
    <col min="17" max="17" width="31.7265625" style="16" bestFit="1" customWidth="1"/>
    <col min="18" max="18" width="28" style="16" bestFit="1" customWidth="1"/>
    <col min="19" max="19" width="25.81640625" style="16" bestFit="1" customWidth="1"/>
    <col min="20" max="20" width="29.1796875" style="16" bestFit="1" customWidth="1"/>
    <col min="21" max="21" width="20.453125" style="16" bestFit="1" customWidth="1"/>
    <col min="22" max="22" width="13.81640625" style="16" bestFit="1" customWidth="1"/>
    <col min="23" max="23" width="25.6328125" style="16" bestFit="1" customWidth="1"/>
    <col min="24" max="24" width="17.36328125" style="16" bestFit="1" customWidth="1"/>
    <col min="25" max="25" width="34.81640625" style="16" bestFit="1" customWidth="1"/>
    <col min="26" max="26" width="10.81640625" style="16" bestFit="1" customWidth="1"/>
    <col min="27" max="16384" width="9.6328125" style="16"/>
  </cols>
  <sheetData>
    <row r="1" spans="1:26" s="23" customFormat="1" ht="16.5" customHeight="1">
      <c r="A1" s="184" t="s">
        <v>18</v>
      </c>
      <c r="B1" t="s">
        <v>19</v>
      </c>
      <c r="C1" t="s">
        <v>20</v>
      </c>
      <c r="D1" t="s">
        <v>21</v>
      </c>
      <c r="E1" s="185" t="s">
        <v>146</v>
      </c>
      <c r="F1" s="184" t="s">
        <v>22</v>
      </c>
      <c r="G1" t="s">
        <v>253</v>
      </c>
      <c r="H1" t="s">
        <v>254</v>
      </c>
      <c r="I1" t="s">
        <v>833</v>
      </c>
      <c r="J1" t="s">
        <v>23</v>
      </c>
      <c r="L1" s="21" t="s">
        <v>20</v>
      </c>
      <c r="M1" t="s">
        <v>1019</v>
      </c>
      <c r="N1"/>
      <c r="O1" s="21" t="s">
        <v>833</v>
      </c>
      <c r="P1" s="22">
        <v>9</v>
      </c>
      <c r="Q1"/>
      <c r="R1"/>
      <c r="S1"/>
      <c r="T1"/>
      <c r="U1"/>
      <c r="V1"/>
      <c r="W1"/>
      <c r="X1"/>
    </row>
    <row r="2" spans="1:26" ht="14.5" hidden="1">
      <c r="A2" s="184" t="s">
        <v>591</v>
      </c>
      <c r="B2" t="s">
        <v>592</v>
      </c>
      <c r="C2"/>
      <c r="D2" t="s">
        <v>30</v>
      </c>
      <c r="E2" s="185" t="s">
        <v>593</v>
      </c>
      <c r="F2" s="184">
        <v>1</v>
      </c>
      <c r="G2" t="s">
        <v>594</v>
      </c>
      <c r="H2" t="s">
        <v>594</v>
      </c>
      <c r="I2">
        <v>8</v>
      </c>
      <c r="J2" t="s">
        <v>25</v>
      </c>
      <c r="L2"/>
      <c r="M2"/>
      <c r="N2"/>
      <c r="O2"/>
      <c r="P2"/>
      <c r="Q2"/>
      <c r="R2"/>
      <c r="S2"/>
      <c r="T2"/>
      <c r="U2"/>
      <c r="V2"/>
      <c r="W2"/>
      <c r="X2"/>
    </row>
    <row r="3" spans="1:26" s="62" customFormat="1" ht="14.5" hidden="1">
      <c r="A3" s="184" t="s">
        <v>595</v>
      </c>
      <c r="B3" t="s">
        <v>596</v>
      </c>
      <c r="C3" t="s">
        <v>135</v>
      </c>
      <c r="D3" t="s">
        <v>30</v>
      </c>
      <c r="E3" s="185" t="s">
        <v>25</v>
      </c>
      <c r="F3" s="184">
        <v>0.5</v>
      </c>
      <c r="G3" t="s">
        <v>597</v>
      </c>
      <c r="H3" t="s">
        <v>597</v>
      </c>
      <c r="I3">
        <v>8</v>
      </c>
      <c r="J3" t="s">
        <v>5</v>
      </c>
      <c r="L3" s="21" t="s">
        <v>120</v>
      </c>
      <c r="M3" t="s">
        <v>157</v>
      </c>
      <c r="N3"/>
      <c r="O3" s="21" t="s">
        <v>120</v>
      </c>
      <c r="P3" t="s">
        <v>157</v>
      </c>
      <c r="Q3"/>
      <c r="R3"/>
      <c r="S3"/>
      <c r="T3"/>
      <c r="U3"/>
      <c r="V3"/>
      <c r="W3"/>
      <c r="X3"/>
      <c r="Y3"/>
      <c r="Z3"/>
    </row>
    <row r="4" spans="1:26" s="62" customFormat="1" ht="14.5" hidden="1">
      <c r="A4" s="184" t="s">
        <v>598</v>
      </c>
      <c r="B4" t="s">
        <v>599</v>
      </c>
      <c r="C4" t="s">
        <v>28</v>
      </c>
      <c r="D4" t="s">
        <v>27</v>
      </c>
      <c r="E4" s="185" t="s">
        <v>25</v>
      </c>
      <c r="F4" s="184">
        <v>0.5</v>
      </c>
      <c r="G4" t="s">
        <v>597</v>
      </c>
      <c r="H4" t="s">
        <v>597</v>
      </c>
      <c r="I4">
        <v>8</v>
      </c>
      <c r="J4" t="s">
        <v>5</v>
      </c>
      <c r="L4" s="22" t="s">
        <v>1111</v>
      </c>
      <c r="M4" s="312">
        <v>1</v>
      </c>
      <c r="N4"/>
      <c r="O4" s="22" t="s">
        <v>636</v>
      </c>
      <c r="P4">
        <v>15</v>
      </c>
      <c r="Q4" t="s">
        <v>1245</v>
      </c>
      <c r="R4"/>
      <c r="S4"/>
      <c r="T4"/>
      <c r="U4"/>
      <c r="V4"/>
      <c r="W4"/>
      <c r="X4"/>
      <c r="Y4"/>
      <c r="Z4"/>
    </row>
    <row r="5" spans="1:26" ht="14.5" hidden="1">
      <c r="A5" s="184" t="s">
        <v>600</v>
      </c>
      <c r="B5" t="s">
        <v>601</v>
      </c>
      <c r="C5" t="s">
        <v>135</v>
      </c>
      <c r="D5" t="s">
        <v>30</v>
      </c>
      <c r="E5" s="185" t="s">
        <v>25</v>
      </c>
      <c r="F5" s="184">
        <v>0.5</v>
      </c>
      <c r="G5" t="s">
        <v>597</v>
      </c>
      <c r="H5" t="s">
        <v>597</v>
      </c>
      <c r="I5">
        <v>8</v>
      </c>
      <c r="J5" t="s">
        <v>1</v>
      </c>
      <c r="L5" s="22" t="s">
        <v>713</v>
      </c>
      <c r="M5" s="312">
        <v>6</v>
      </c>
      <c r="N5"/>
      <c r="O5" s="22" t="s">
        <v>430</v>
      </c>
      <c r="P5">
        <v>8</v>
      </c>
      <c r="Q5" t="str">
        <f t="shared" ref="Q5:Q16" si="0">VLOOKUP(O5,B:E,4,0)</f>
        <v>Làm việc tại nhà.</v>
      </c>
      <c r="R5"/>
      <c r="S5"/>
      <c r="T5"/>
      <c r="U5"/>
      <c r="V5"/>
      <c r="W5"/>
      <c r="X5"/>
      <c r="Y5"/>
      <c r="Z5"/>
    </row>
    <row r="6" spans="1:26" ht="14.5" hidden="1">
      <c r="A6" s="184" t="s">
        <v>256</v>
      </c>
      <c r="B6" t="s">
        <v>158</v>
      </c>
      <c r="C6" t="s">
        <v>247</v>
      </c>
      <c r="D6" t="s">
        <v>27</v>
      </c>
      <c r="E6" s="185" t="s">
        <v>25</v>
      </c>
      <c r="F6" s="184">
        <v>1</v>
      </c>
      <c r="G6" t="s">
        <v>556</v>
      </c>
      <c r="H6" t="s">
        <v>556</v>
      </c>
      <c r="I6">
        <v>8</v>
      </c>
      <c r="J6" t="s">
        <v>25</v>
      </c>
      <c r="L6" s="22" t="s">
        <v>27</v>
      </c>
      <c r="M6" s="312">
        <v>32</v>
      </c>
      <c r="N6"/>
      <c r="O6" s="22" t="s">
        <v>1224</v>
      </c>
      <c r="P6">
        <v>10</v>
      </c>
      <c r="Q6" t="s">
        <v>1242</v>
      </c>
      <c r="R6"/>
      <c r="S6"/>
      <c r="T6"/>
      <c r="U6"/>
      <c r="V6"/>
      <c r="W6"/>
      <c r="X6"/>
      <c r="Y6"/>
      <c r="Z6"/>
    </row>
    <row r="7" spans="1:26" ht="14.5" hidden="1">
      <c r="A7" s="184" t="s">
        <v>602</v>
      </c>
      <c r="B7" t="s">
        <v>603</v>
      </c>
      <c r="C7" t="s">
        <v>149</v>
      </c>
      <c r="D7" t="s">
        <v>30</v>
      </c>
      <c r="E7" s="185" t="s">
        <v>604</v>
      </c>
      <c r="F7" s="184">
        <v>0.5</v>
      </c>
      <c r="G7" t="s">
        <v>556</v>
      </c>
      <c r="H7" t="s">
        <v>556</v>
      </c>
      <c r="I7">
        <v>8</v>
      </c>
      <c r="J7" t="s">
        <v>5</v>
      </c>
      <c r="L7" s="22" t="s">
        <v>36</v>
      </c>
      <c r="M7" s="312">
        <v>52.5</v>
      </c>
      <c r="N7"/>
      <c r="O7" s="22" t="s">
        <v>1050</v>
      </c>
      <c r="P7">
        <v>8.5</v>
      </c>
      <c r="Q7" t="str">
        <f t="shared" si="0"/>
        <v>Số hóa văn bằng, chứng chỉ tại Sở Giáo Dục TP. Đồng Nai</v>
      </c>
      <c r="R7"/>
      <c r="S7"/>
      <c r="T7"/>
      <c r="U7"/>
      <c r="V7"/>
      <c r="W7"/>
      <c r="X7"/>
      <c r="Y7"/>
      <c r="Z7"/>
    </row>
    <row r="8" spans="1:26" ht="14.5" hidden="1">
      <c r="A8" s="184" t="s">
        <v>40</v>
      </c>
      <c r="B8" t="s">
        <v>41</v>
      </c>
      <c r="C8" t="s">
        <v>42</v>
      </c>
      <c r="D8" t="s">
        <v>30</v>
      </c>
      <c r="E8" s="185" t="s">
        <v>605</v>
      </c>
      <c r="F8" s="184">
        <v>1</v>
      </c>
      <c r="G8" t="s">
        <v>556</v>
      </c>
      <c r="H8" t="s">
        <v>556</v>
      </c>
      <c r="I8">
        <v>8</v>
      </c>
      <c r="J8" t="s">
        <v>25</v>
      </c>
      <c r="L8" s="22" t="s">
        <v>24</v>
      </c>
      <c r="M8" s="312">
        <v>15</v>
      </c>
      <c r="N8"/>
      <c r="O8" s="22" t="s">
        <v>632</v>
      </c>
      <c r="P8">
        <v>5</v>
      </c>
      <c r="Q8" t="str">
        <f t="shared" si="0"/>
        <v>Nhà có tang</v>
      </c>
      <c r="R8"/>
      <c r="S8"/>
      <c r="T8"/>
      <c r="U8"/>
      <c r="V8"/>
      <c r="W8"/>
      <c r="X8"/>
      <c r="Y8"/>
      <c r="Z8"/>
    </row>
    <row r="9" spans="1:26" ht="14.5" hidden="1">
      <c r="A9" s="184" t="s">
        <v>462</v>
      </c>
      <c r="B9" t="s">
        <v>463</v>
      </c>
      <c r="C9" t="s">
        <v>464</v>
      </c>
      <c r="D9" t="s">
        <v>30</v>
      </c>
      <c r="E9" s="185" t="s">
        <v>25</v>
      </c>
      <c r="F9" s="184">
        <v>0.5</v>
      </c>
      <c r="G9" t="s">
        <v>556</v>
      </c>
      <c r="H9" t="s">
        <v>556</v>
      </c>
      <c r="I9">
        <v>8</v>
      </c>
      <c r="J9" t="s">
        <v>1</v>
      </c>
      <c r="L9" s="22" t="s">
        <v>153</v>
      </c>
      <c r="M9" s="312">
        <v>4</v>
      </c>
      <c r="N9"/>
      <c r="O9" s="22" t="s">
        <v>331</v>
      </c>
      <c r="P9">
        <v>10.5</v>
      </c>
      <c r="Q9" t="s">
        <v>1244</v>
      </c>
      <c r="R9"/>
      <c r="S9"/>
      <c r="T9"/>
      <c r="U9"/>
      <c r="V9"/>
      <c r="W9"/>
      <c r="X9"/>
      <c r="Y9"/>
      <c r="Z9"/>
    </row>
    <row r="10" spans="1:26" ht="14.5" hidden="1">
      <c r="A10" s="184" t="s">
        <v>436</v>
      </c>
      <c r="B10" t="s">
        <v>437</v>
      </c>
      <c r="C10" t="s">
        <v>28</v>
      </c>
      <c r="D10" t="s">
        <v>24</v>
      </c>
      <c r="E10" s="185" t="s">
        <v>150</v>
      </c>
      <c r="F10" s="184">
        <v>1</v>
      </c>
      <c r="G10" t="s">
        <v>556</v>
      </c>
      <c r="H10" t="s">
        <v>556</v>
      </c>
      <c r="I10">
        <v>8</v>
      </c>
      <c r="J10" t="s">
        <v>25</v>
      </c>
      <c r="L10" s="22" t="s">
        <v>30</v>
      </c>
      <c r="M10" s="312">
        <v>105.5</v>
      </c>
      <c r="N10"/>
      <c r="O10" s="22" t="s">
        <v>757</v>
      </c>
      <c r="P10">
        <v>5</v>
      </c>
      <c r="Q10" t="s">
        <v>1243</v>
      </c>
      <c r="R10"/>
      <c r="S10"/>
      <c r="T10"/>
      <c r="U10"/>
      <c r="V10"/>
      <c r="W10"/>
      <c r="X10"/>
      <c r="Y10"/>
      <c r="Z10"/>
    </row>
    <row r="11" spans="1:26" ht="14.5" hidden="1">
      <c r="A11" s="184" t="s">
        <v>606</v>
      </c>
      <c r="B11" t="s">
        <v>607</v>
      </c>
      <c r="C11" t="s">
        <v>26</v>
      </c>
      <c r="D11" t="s">
        <v>27</v>
      </c>
      <c r="E11" s="185" t="s">
        <v>150</v>
      </c>
      <c r="F11" s="184">
        <v>1</v>
      </c>
      <c r="G11" t="s">
        <v>556</v>
      </c>
      <c r="H11" t="s">
        <v>556</v>
      </c>
      <c r="I11">
        <v>8</v>
      </c>
      <c r="J11" t="s">
        <v>25</v>
      </c>
      <c r="L11" s="22" t="s">
        <v>306</v>
      </c>
      <c r="M11" s="312">
        <v>6</v>
      </c>
      <c r="N11"/>
      <c r="O11" s="22" t="s">
        <v>581</v>
      </c>
      <c r="P11">
        <v>6</v>
      </c>
      <c r="Q11" t="str">
        <f t="shared" si="0"/>
        <v>Nghỉ nửa ngày buổi chiều ngày 14/08 phép học kỳ</v>
      </c>
      <c r="R11"/>
      <c r="S11"/>
      <c r="T11"/>
      <c r="U11"/>
      <c r="V11"/>
      <c r="W11"/>
      <c r="X11"/>
      <c r="Y11"/>
      <c r="Z11"/>
    </row>
    <row r="12" spans="1:26" ht="14.5" hidden="1">
      <c r="A12" s="184" t="s">
        <v>608</v>
      </c>
      <c r="B12" t="s">
        <v>609</v>
      </c>
      <c r="C12" t="s">
        <v>250</v>
      </c>
      <c r="D12" t="s">
        <v>24</v>
      </c>
      <c r="E12" s="185" t="s">
        <v>25</v>
      </c>
      <c r="F12" s="184">
        <v>1</v>
      </c>
      <c r="G12" t="s">
        <v>556</v>
      </c>
      <c r="H12" t="s">
        <v>556</v>
      </c>
      <c r="I12">
        <v>8</v>
      </c>
      <c r="J12" t="s">
        <v>25</v>
      </c>
      <c r="L12" s="22" t="s">
        <v>29</v>
      </c>
      <c r="M12" s="312">
        <v>50</v>
      </c>
      <c r="N12"/>
      <c r="O12" s="22" t="s">
        <v>1078</v>
      </c>
      <c r="P12">
        <v>16</v>
      </c>
      <c r="Q12" t="s">
        <v>1241</v>
      </c>
      <c r="R12"/>
      <c r="S12"/>
      <c r="T12"/>
      <c r="U12"/>
      <c r="V12"/>
      <c r="W12"/>
      <c r="X12"/>
      <c r="Y12"/>
      <c r="Z12"/>
    </row>
    <row r="13" spans="1:26" ht="14.5" hidden="1">
      <c r="A13" s="184" t="s">
        <v>188</v>
      </c>
      <c r="B13" t="s">
        <v>189</v>
      </c>
      <c r="C13" t="s">
        <v>147</v>
      </c>
      <c r="D13" t="s">
        <v>30</v>
      </c>
      <c r="E13" s="185" t="s">
        <v>25</v>
      </c>
      <c r="F13" s="184">
        <v>1</v>
      </c>
      <c r="G13" t="s">
        <v>556</v>
      </c>
      <c r="H13" t="s">
        <v>556</v>
      </c>
      <c r="I13">
        <v>8</v>
      </c>
      <c r="J13" t="s">
        <v>25</v>
      </c>
      <c r="L13" s="22" t="s">
        <v>428</v>
      </c>
      <c r="M13" s="312">
        <v>17</v>
      </c>
      <c r="N13"/>
      <c r="O13" s="22" t="s">
        <v>564</v>
      </c>
      <c r="P13">
        <v>5</v>
      </c>
      <c r="Q13" t="str">
        <f t="shared" si="0"/>
        <v>Chăm con nhỏ bị ốm.</v>
      </c>
      <c r="R13"/>
      <c r="S13"/>
      <c r="T13"/>
      <c r="U13"/>
      <c r="V13"/>
      <c r="W13"/>
      <c r="X13"/>
      <c r="Y13"/>
      <c r="Z13"/>
    </row>
    <row r="14" spans="1:26" ht="14.5" hidden="1">
      <c r="A14" s="184" t="s">
        <v>608</v>
      </c>
      <c r="B14" t="s">
        <v>609</v>
      </c>
      <c r="C14" t="s">
        <v>250</v>
      </c>
      <c r="D14" t="s">
        <v>27</v>
      </c>
      <c r="E14" s="185" t="s">
        <v>25</v>
      </c>
      <c r="F14" s="184">
        <v>1</v>
      </c>
      <c r="G14" t="s">
        <v>543</v>
      </c>
      <c r="H14" t="s">
        <v>543</v>
      </c>
      <c r="I14">
        <v>8</v>
      </c>
      <c r="J14" t="s">
        <v>25</v>
      </c>
      <c r="L14" s="22" t="s">
        <v>119</v>
      </c>
      <c r="M14" s="312">
        <v>289</v>
      </c>
      <c r="N14"/>
      <c r="O14" s="22" t="s">
        <v>730</v>
      </c>
      <c r="P14">
        <v>5</v>
      </c>
      <c r="Q14" t="s">
        <v>1246</v>
      </c>
      <c r="R14"/>
      <c r="S14"/>
      <c r="T14"/>
      <c r="U14"/>
      <c r="V14"/>
      <c r="W14"/>
      <c r="X14"/>
      <c r="Y14"/>
      <c r="Z14"/>
    </row>
    <row r="15" spans="1:26" ht="14.5" hidden="1">
      <c r="A15" s="184" t="s">
        <v>610</v>
      </c>
      <c r="B15" t="s">
        <v>397</v>
      </c>
      <c r="C15" t="s">
        <v>247</v>
      </c>
      <c r="D15" t="s">
        <v>27</v>
      </c>
      <c r="E15" s="185" t="s">
        <v>611</v>
      </c>
      <c r="F15" s="184">
        <v>0.5</v>
      </c>
      <c r="G15" t="s">
        <v>543</v>
      </c>
      <c r="H15" t="s">
        <v>543</v>
      </c>
      <c r="I15">
        <v>8</v>
      </c>
      <c r="J15" t="s">
        <v>1</v>
      </c>
      <c r="L15"/>
      <c r="M15"/>
      <c r="N15"/>
      <c r="O15" s="22" t="s">
        <v>458</v>
      </c>
      <c r="P15">
        <v>8</v>
      </c>
      <c r="Q15" t="str">
        <f t="shared" si="0"/>
        <v>Nghỉ khám thai ở phòng khám tư nên không có giấy nghỉ.</v>
      </c>
      <c r="R15"/>
      <c r="S15"/>
      <c r="T15"/>
      <c r="U15"/>
      <c r="V15"/>
      <c r="W15"/>
      <c r="X15"/>
      <c r="Y15"/>
      <c r="Z15"/>
    </row>
    <row r="16" spans="1:26" ht="14.5" hidden="1">
      <c r="A16" s="184" t="s">
        <v>612</v>
      </c>
      <c r="B16" t="s">
        <v>613</v>
      </c>
      <c r="C16" t="s">
        <v>34</v>
      </c>
      <c r="D16" t="s">
        <v>30</v>
      </c>
      <c r="E16" s="185" t="s">
        <v>25</v>
      </c>
      <c r="F16" s="184">
        <v>0.5</v>
      </c>
      <c r="G16" t="s">
        <v>543</v>
      </c>
      <c r="H16" t="s">
        <v>543</v>
      </c>
      <c r="I16">
        <v>8</v>
      </c>
      <c r="J16" t="s">
        <v>1</v>
      </c>
      <c r="L16"/>
      <c r="M16"/>
      <c r="N16"/>
      <c r="O16" s="22" t="s">
        <v>450</v>
      </c>
      <c r="P16">
        <v>8</v>
      </c>
      <c r="Q16" t="str">
        <f t="shared" si="0"/>
        <v>Chăm con nằm viện</v>
      </c>
      <c r="R16"/>
      <c r="S16"/>
      <c r="T16"/>
      <c r="U16"/>
      <c r="V16"/>
      <c r="W16"/>
      <c r="X16"/>
      <c r="Y16"/>
      <c r="Z16"/>
    </row>
    <row r="17" spans="1:26" ht="14.5" hidden="1">
      <c r="A17" s="184" t="s">
        <v>614</v>
      </c>
      <c r="B17" t="s">
        <v>583</v>
      </c>
      <c r="C17" t="s">
        <v>149</v>
      </c>
      <c r="D17" t="s">
        <v>27</v>
      </c>
      <c r="E17" s="185" t="s">
        <v>25</v>
      </c>
      <c r="F17" s="184">
        <v>1</v>
      </c>
      <c r="G17" t="s">
        <v>543</v>
      </c>
      <c r="H17" t="s">
        <v>543</v>
      </c>
      <c r="I17">
        <v>8</v>
      </c>
      <c r="J17" t="s">
        <v>25</v>
      </c>
      <c r="L17"/>
      <c r="M17"/>
      <c r="N17"/>
      <c r="O17" s="22" t="s">
        <v>119</v>
      </c>
      <c r="P17">
        <v>110</v>
      </c>
      <c r="Q17"/>
      <c r="R17"/>
      <c r="S17"/>
      <c r="T17"/>
      <c r="U17"/>
      <c r="V17"/>
      <c r="W17"/>
      <c r="X17"/>
      <c r="Y17"/>
      <c r="Z17"/>
    </row>
    <row r="18" spans="1:26" ht="14.5" hidden="1">
      <c r="A18" s="184" t="s">
        <v>243</v>
      </c>
      <c r="B18" t="s">
        <v>245</v>
      </c>
      <c r="C18" t="s">
        <v>248</v>
      </c>
      <c r="D18" t="s">
        <v>30</v>
      </c>
      <c r="E18" s="185" t="s">
        <v>615</v>
      </c>
      <c r="F18" s="184">
        <v>1</v>
      </c>
      <c r="G18" t="s">
        <v>543</v>
      </c>
      <c r="H18" t="s">
        <v>543</v>
      </c>
      <c r="I18">
        <v>8</v>
      </c>
      <c r="J18" t="s">
        <v>25</v>
      </c>
      <c r="L18"/>
      <c r="M18"/>
      <c r="N18"/>
      <c r="O18"/>
      <c r="P18"/>
      <c r="Q18"/>
      <c r="R18"/>
      <c r="S18"/>
      <c r="T18"/>
      <c r="U18"/>
      <c r="V18"/>
      <c r="W18"/>
      <c r="X18"/>
      <c r="Y18"/>
      <c r="Z18"/>
    </row>
    <row r="19" spans="1:26" ht="14.5" hidden="1">
      <c r="A19" s="184" t="s">
        <v>330</v>
      </c>
      <c r="B19" t="s">
        <v>331</v>
      </c>
      <c r="C19" t="s">
        <v>248</v>
      </c>
      <c r="D19" t="s">
        <v>30</v>
      </c>
      <c r="E19" s="185" t="s">
        <v>25</v>
      </c>
      <c r="F19" s="184">
        <v>1</v>
      </c>
      <c r="G19" t="s">
        <v>543</v>
      </c>
      <c r="H19" t="s">
        <v>543</v>
      </c>
      <c r="I19">
        <v>8</v>
      </c>
      <c r="J19" t="s">
        <v>25</v>
      </c>
      <c r="L19"/>
      <c r="M19"/>
      <c r="N19"/>
      <c r="O19"/>
      <c r="P19"/>
      <c r="Q19"/>
      <c r="R19"/>
      <c r="S19"/>
      <c r="T19"/>
      <c r="U19"/>
      <c r="V19"/>
      <c r="W19"/>
      <c r="X19"/>
      <c r="Y19"/>
      <c r="Z19"/>
    </row>
    <row r="20" spans="1:26" ht="14.5" hidden="1">
      <c r="A20" s="184" t="s">
        <v>323</v>
      </c>
      <c r="B20" t="s">
        <v>324</v>
      </c>
      <c r="C20"/>
      <c r="D20" t="s">
        <v>30</v>
      </c>
      <c r="E20" s="185" t="s">
        <v>616</v>
      </c>
      <c r="F20" s="184">
        <v>2</v>
      </c>
      <c r="G20" t="s">
        <v>543</v>
      </c>
      <c r="H20" t="s">
        <v>556</v>
      </c>
      <c r="I20">
        <v>8</v>
      </c>
      <c r="J20" t="s">
        <v>25</v>
      </c>
      <c r="L20"/>
      <c r="M20"/>
      <c r="N20"/>
      <c r="O20"/>
      <c r="P20"/>
      <c r="Q20"/>
      <c r="R20"/>
      <c r="S20"/>
      <c r="T20"/>
      <c r="U20"/>
      <c r="V20"/>
      <c r="W20"/>
      <c r="X20"/>
      <c r="Y20"/>
      <c r="Z20"/>
    </row>
    <row r="21" spans="1:26" ht="14.5" hidden="1">
      <c r="A21" s="184" t="s">
        <v>299</v>
      </c>
      <c r="B21" t="s">
        <v>300</v>
      </c>
      <c r="C21" t="s">
        <v>34</v>
      </c>
      <c r="D21" t="s">
        <v>30</v>
      </c>
      <c r="E21" s="185" t="s">
        <v>25</v>
      </c>
      <c r="F21" s="184">
        <v>0.5</v>
      </c>
      <c r="G21" t="s">
        <v>543</v>
      </c>
      <c r="H21" t="s">
        <v>543</v>
      </c>
      <c r="I21">
        <v>8</v>
      </c>
      <c r="J21" t="s">
        <v>5</v>
      </c>
      <c r="L21"/>
      <c r="M21"/>
      <c r="N21"/>
      <c r="O21"/>
      <c r="P21"/>
      <c r="Q21"/>
      <c r="R21"/>
      <c r="S21"/>
      <c r="T21"/>
      <c r="U21"/>
      <c r="V21"/>
      <c r="W21"/>
      <c r="X21"/>
      <c r="Y21"/>
      <c r="Z21"/>
    </row>
    <row r="22" spans="1:26" ht="14.5" hidden="1">
      <c r="A22" s="184" t="s">
        <v>136</v>
      </c>
      <c r="B22" t="s">
        <v>137</v>
      </c>
      <c r="C22" t="s">
        <v>298</v>
      </c>
      <c r="D22" t="s">
        <v>30</v>
      </c>
      <c r="E22" s="185" t="s">
        <v>617</v>
      </c>
      <c r="F22" s="184">
        <v>1</v>
      </c>
      <c r="G22" t="s">
        <v>543</v>
      </c>
      <c r="H22" t="s">
        <v>543</v>
      </c>
      <c r="I22">
        <v>8</v>
      </c>
      <c r="J22" t="s">
        <v>25</v>
      </c>
      <c r="L22"/>
      <c r="M22"/>
      <c r="N22"/>
      <c r="O22"/>
      <c r="P22"/>
      <c r="Q22"/>
      <c r="R22"/>
      <c r="S22"/>
      <c r="T22"/>
      <c r="U22"/>
      <c r="V22"/>
      <c r="W22"/>
      <c r="X22"/>
      <c r="Y22"/>
      <c r="Z22"/>
    </row>
    <row r="23" spans="1:26" ht="14.5" hidden="1">
      <c r="A23" s="184" t="s">
        <v>618</v>
      </c>
      <c r="B23" t="s">
        <v>619</v>
      </c>
      <c r="C23" t="s">
        <v>149</v>
      </c>
      <c r="D23" t="s">
        <v>30</v>
      </c>
      <c r="E23" s="185" t="s">
        <v>25</v>
      </c>
      <c r="F23" s="184">
        <v>0.5</v>
      </c>
      <c r="G23" t="s">
        <v>543</v>
      </c>
      <c r="H23" t="s">
        <v>543</v>
      </c>
      <c r="I23">
        <v>8</v>
      </c>
      <c r="J23" t="s">
        <v>1</v>
      </c>
      <c r="L23"/>
      <c r="M23"/>
      <c r="N23"/>
      <c r="O23"/>
      <c r="P23"/>
      <c r="Q23"/>
      <c r="R23"/>
      <c r="S23"/>
      <c r="T23"/>
      <c r="U23"/>
      <c r="V23"/>
      <c r="W23"/>
      <c r="X23"/>
      <c r="Y23"/>
      <c r="Z23"/>
    </row>
    <row r="24" spans="1:26" ht="14.5" hidden="1">
      <c r="A24" s="184" t="s">
        <v>429</v>
      </c>
      <c r="B24" t="s">
        <v>430</v>
      </c>
      <c r="C24" t="s">
        <v>431</v>
      </c>
      <c r="D24" t="s">
        <v>29</v>
      </c>
      <c r="E24" s="185" t="s">
        <v>472</v>
      </c>
      <c r="F24" s="184">
        <v>1</v>
      </c>
      <c r="G24" t="s">
        <v>543</v>
      </c>
      <c r="H24" t="s">
        <v>543</v>
      </c>
      <c r="I24">
        <v>8</v>
      </c>
      <c r="J24" t="s">
        <v>25</v>
      </c>
      <c r="L24"/>
      <c r="M24"/>
      <c r="N24"/>
      <c r="O24"/>
      <c r="P24"/>
      <c r="Q24"/>
      <c r="R24"/>
      <c r="S24"/>
      <c r="T24"/>
      <c r="U24"/>
      <c r="V24"/>
      <c r="W24"/>
      <c r="X24"/>
      <c r="Y24"/>
      <c r="Z24"/>
    </row>
    <row r="25" spans="1:26" ht="14.5" hidden="1">
      <c r="A25" s="184" t="s">
        <v>620</v>
      </c>
      <c r="B25" t="s">
        <v>545</v>
      </c>
      <c r="C25" t="s">
        <v>247</v>
      </c>
      <c r="D25" t="s">
        <v>153</v>
      </c>
      <c r="E25" s="185" t="s">
        <v>25</v>
      </c>
      <c r="F25" s="184">
        <v>0.5</v>
      </c>
      <c r="G25" t="s">
        <v>543</v>
      </c>
      <c r="H25" t="s">
        <v>543</v>
      </c>
      <c r="I25">
        <v>8</v>
      </c>
      <c r="J25" t="s">
        <v>1</v>
      </c>
      <c r="L25"/>
      <c r="M25"/>
      <c r="N25"/>
      <c r="O25"/>
      <c r="P25"/>
      <c r="Q25"/>
      <c r="R25"/>
      <c r="S25"/>
      <c r="T25"/>
      <c r="U25"/>
      <c r="V25"/>
      <c r="W25"/>
      <c r="X25"/>
      <c r="Y25"/>
      <c r="Z25"/>
    </row>
    <row r="26" spans="1:26" ht="14.5" hidden="1">
      <c r="A26" s="184" t="s">
        <v>470</v>
      </c>
      <c r="B26" t="s">
        <v>471</v>
      </c>
      <c r="C26"/>
      <c r="D26" t="s">
        <v>24</v>
      </c>
      <c r="E26" s="185" t="s">
        <v>25</v>
      </c>
      <c r="F26" s="184">
        <v>2</v>
      </c>
      <c r="G26" t="s">
        <v>543</v>
      </c>
      <c r="H26" t="s">
        <v>556</v>
      </c>
      <c r="I26">
        <v>8</v>
      </c>
      <c r="J26" t="s">
        <v>25</v>
      </c>
      <c r="L26"/>
      <c r="M26"/>
      <c r="N26"/>
      <c r="O26"/>
      <c r="P26"/>
      <c r="Q26"/>
      <c r="R26"/>
      <c r="S26"/>
      <c r="T26"/>
      <c r="U26"/>
      <c r="V26"/>
      <c r="W26"/>
      <c r="X26"/>
      <c r="Y26"/>
      <c r="Z26"/>
    </row>
    <row r="27" spans="1:26" ht="14.5" hidden="1">
      <c r="A27" s="184" t="s">
        <v>621</v>
      </c>
      <c r="B27" t="s">
        <v>622</v>
      </c>
      <c r="C27" t="s">
        <v>149</v>
      </c>
      <c r="D27" t="s">
        <v>36</v>
      </c>
      <c r="E27" s="185" t="s">
        <v>25</v>
      </c>
      <c r="F27" s="184">
        <v>1</v>
      </c>
      <c r="G27" t="s">
        <v>543</v>
      </c>
      <c r="H27" t="s">
        <v>543</v>
      </c>
      <c r="I27">
        <v>8</v>
      </c>
      <c r="J27" t="s">
        <v>25</v>
      </c>
      <c r="L27"/>
      <c r="M27"/>
      <c r="N27"/>
      <c r="O27"/>
      <c r="P27"/>
      <c r="Q27"/>
      <c r="R27"/>
      <c r="S27"/>
      <c r="T27"/>
      <c r="U27"/>
      <c r="V27"/>
      <c r="W27"/>
      <c r="X27"/>
    </row>
    <row r="28" spans="1:26" ht="14.5" hidden="1">
      <c r="A28" s="184" t="s">
        <v>442</v>
      </c>
      <c r="B28" t="s">
        <v>411</v>
      </c>
      <c r="C28" t="s">
        <v>148</v>
      </c>
      <c r="D28" t="s">
        <v>30</v>
      </c>
      <c r="E28" s="185" t="s">
        <v>25</v>
      </c>
      <c r="F28" s="184">
        <v>0.5</v>
      </c>
      <c r="G28" t="s">
        <v>543</v>
      </c>
      <c r="H28" t="s">
        <v>543</v>
      </c>
      <c r="I28">
        <v>8</v>
      </c>
      <c r="J28" t="s">
        <v>5</v>
      </c>
      <c r="L28"/>
      <c r="M28"/>
      <c r="N28"/>
      <c r="O28"/>
      <c r="P28"/>
      <c r="Q28"/>
      <c r="R28"/>
      <c r="S28"/>
      <c r="T28"/>
      <c r="U28"/>
      <c r="V28"/>
      <c r="W28"/>
      <c r="X28"/>
    </row>
    <row r="29" spans="1:26" ht="14.5" hidden="1">
      <c r="A29" s="184" t="s">
        <v>40</v>
      </c>
      <c r="B29" t="s">
        <v>41</v>
      </c>
      <c r="C29" t="s">
        <v>42</v>
      </c>
      <c r="D29" t="s">
        <v>30</v>
      </c>
      <c r="E29" s="185" t="s">
        <v>469</v>
      </c>
      <c r="F29" s="184">
        <v>1</v>
      </c>
      <c r="G29" t="s">
        <v>543</v>
      </c>
      <c r="H29" t="s">
        <v>543</v>
      </c>
      <c r="I29">
        <v>8</v>
      </c>
      <c r="J29" t="s">
        <v>25</v>
      </c>
      <c r="L29"/>
      <c r="M29"/>
      <c r="N29"/>
      <c r="O29"/>
      <c r="P29"/>
      <c r="Q29"/>
      <c r="R29"/>
      <c r="S29"/>
      <c r="T29"/>
      <c r="U29"/>
      <c r="V29"/>
      <c r="W29"/>
      <c r="X29"/>
    </row>
    <row r="30" spans="1:26" ht="14.5" hidden="1">
      <c r="A30" s="184" t="s">
        <v>623</v>
      </c>
      <c r="B30" t="s">
        <v>375</v>
      </c>
      <c r="C30" t="s">
        <v>389</v>
      </c>
      <c r="D30" t="s">
        <v>29</v>
      </c>
      <c r="E30" s="185" t="s">
        <v>624</v>
      </c>
      <c r="F30" s="184">
        <v>2</v>
      </c>
      <c r="G30" t="s">
        <v>543</v>
      </c>
      <c r="H30" t="s">
        <v>556</v>
      </c>
      <c r="I30">
        <v>8</v>
      </c>
      <c r="J30" t="s">
        <v>25</v>
      </c>
      <c r="L30"/>
      <c r="M30"/>
      <c r="N30"/>
      <c r="O30"/>
      <c r="P30"/>
      <c r="Q30"/>
      <c r="R30"/>
      <c r="S30"/>
      <c r="T30"/>
      <c r="U30"/>
      <c r="V30"/>
      <c r="W30"/>
      <c r="X30"/>
    </row>
    <row r="31" spans="1:26" ht="14.5" hidden="1">
      <c r="A31" s="184" t="s">
        <v>625</v>
      </c>
      <c r="B31" t="s">
        <v>626</v>
      </c>
      <c r="C31" t="s">
        <v>39</v>
      </c>
      <c r="D31" t="s">
        <v>30</v>
      </c>
      <c r="E31" s="185" t="s">
        <v>25</v>
      </c>
      <c r="F31" s="184">
        <v>1</v>
      </c>
      <c r="G31" t="s">
        <v>543</v>
      </c>
      <c r="H31" t="s">
        <v>543</v>
      </c>
      <c r="I31">
        <v>8</v>
      </c>
      <c r="J31" t="s">
        <v>25</v>
      </c>
      <c r="L31"/>
      <c r="M31"/>
      <c r="N31"/>
      <c r="O31"/>
      <c r="P31"/>
      <c r="Q31"/>
      <c r="R31"/>
      <c r="S31"/>
      <c r="T31"/>
      <c r="U31"/>
      <c r="V31"/>
      <c r="W31"/>
      <c r="X31"/>
    </row>
    <row r="32" spans="1:26" ht="14.5" hidden="1">
      <c r="A32" s="184" t="s">
        <v>627</v>
      </c>
      <c r="B32" t="s">
        <v>628</v>
      </c>
      <c r="C32" t="s">
        <v>147</v>
      </c>
      <c r="D32" t="s">
        <v>30</v>
      </c>
      <c r="E32" s="185" t="s">
        <v>25</v>
      </c>
      <c r="F32" s="184">
        <v>0.5</v>
      </c>
      <c r="G32" t="s">
        <v>543</v>
      </c>
      <c r="H32" t="s">
        <v>543</v>
      </c>
      <c r="I32">
        <v>8</v>
      </c>
      <c r="J32" t="s">
        <v>5</v>
      </c>
      <c r="L32"/>
      <c r="M32"/>
      <c r="N32"/>
      <c r="O32"/>
      <c r="P32"/>
      <c r="Q32"/>
      <c r="R32"/>
      <c r="S32"/>
      <c r="T32"/>
      <c r="U32"/>
      <c r="V32"/>
      <c r="W32"/>
      <c r="X32"/>
    </row>
    <row r="33" spans="1:24" ht="14.5" hidden="1">
      <c r="A33" s="184" t="s">
        <v>449</v>
      </c>
      <c r="B33" t="s">
        <v>450</v>
      </c>
      <c r="C33" t="s">
        <v>431</v>
      </c>
      <c r="D33" t="s">
        <v>30</v>
      </c>
      <c r="E33" s="185" t="s">
        <v>629</v>
      </c>
      <c r="F33" s="184">
        <v>2</v>
      </c>
      <c r="G33" t="s">
        <v>630</v>
      </c>
      <c r="H33" t="s">
        <v>543</v>
      </c>
      <c r="I33">
        <v>8</v>
      </c>
      <c r="J33" t="s">
        <v>25</v>
      </c>
      <c r="L33"/>
      <c r="M33"/>
      <c r="N33"/>
      <c r="O33"/>
      <c r="P33"/>
      <c r="Q33"/>
      <c r="R33"/>
      <c r="S33"/>
      <c r="T33"/>
      <c r="U33"/>
      <c r="V33"/>
      <c r="W33"/>
      <c r="X33"/>
    </row>
    <row r="34" spans="1:24" ht="14.5" hidden="1">
      <c r="A34" s="184" t="s">
        <v>440</v>
      </c>
      <c r="B34" t="s">
        <v>441</v>
      </c>
      <c r="C34" t="s">
        <v>149</v>
      </c>
      <c r="D34" t="s">
        <v>27</v>
      </c>
      <c r="E34" s="185" t="s">
        <v>25</v>
      </c>
      <c r="F34" s="184">
        <v>0.5</v>
      </c>
      <c r="G34" t="s">
        <v>630</v>
      </c>
      <c r="H34" t="s">
        <v>630</v>
      </c>
      <c r="I34">
        <v>8</v>
      </c>
      <c r="J34" t="s">
        <v>5</v>
      </c>
      <c r="L34"/>
      <c r="M34"/>
      <c r="N34"/>
      <c r="O34"/>
      <c r="P34"/>
      <c r="Q34"/>
      <c r="R34"/>
      <c r="S34"/>
      <c r="T34"/>
      <c r="U34"/>
      <c r="V34"/>
      <c r="W34"/>
      <c r="X34"/>
    </row>
    <row r="35" spans="1:24" ht="14.5" hidden="1">
      <c r="A35" s="184" t="s">
        <v>151</v>
      </c>
      <c r="B35" t="s">
        <v>152</v>
      </c>
      <c r="C35" t="s">
        <v>147</v>
      </c>
      <c r="D35" t="s">
        <v>30</v>
      </c>
      <c r="E35" s="185" t="s">
        <v>25</v>
      </c>
      <c r="F35" s="184">
        <v>0.5</v>
      </c>
      <c r="G35" t="s">
        <v>630</v>
      </c>
      <c r="H35" t="s">
        <v>630</v>
      </c>
      <c r="I35">
        <v>8</v>
      </c>
      <c r="J35" t="s">
        <v>1</v>
      </c>
      <c r="L35"/>
      <c r="M35"/>
      <c r="N35"/>
      <c r="O35"/>
      <c r="P35"/>
      <c r="Q35"/>
      <c r="R35"/>
      <c r="S35"/>
      <c r="T35"/>
      <c r="U35"/>
      <c r="V35"/>
      <c r="W35"/>
      <c r="X35"/>
    </row>
    <row r="36" spans="1:24" ht="14.5" hidden="1">
      <c r="A36" s="184" t="s">
        <v>631</v>
      </c>
      <c r="B36" t="s">
        <v>632</v>
      </c>
      <c r="C36" t="s">
        <v>39</v>
      </c>
      <c r="D36" t="s">
        <v>428</v>
      </c>
      <c r="E36" s="185" t="s">
        <v>633</v>
      </c>
      <c r="F36" s="184">
        <v>3</v>
      </c>
      <c r="G36" t="s">
        <v>630</v>
      </c>
      <c r="H36" t="s">
        <v>556</v>
      </c>
      <c r="I36">
        <v>8</v>
      </c>
      <c r="J36" t="s">
        <v>25</v>
      </c>
      <c r="L36"/>
      <c r="M36"/>
      <c r="N36"/>
      <c r="O36"/>
      <c r="P36"/>
      <c r="Q36"/>
      <c r="R36"/>
      <c r="S36"/>
      <c r="T36"/>
      <c r="U36"/>
      <c r="V36"/>
      <c r="W36"/>
      <c r="X36"/>
    </row>
    <row r="37" spans="1:24" ht="14.5" hidden="1">
      <c r="A37" s="184" t="s">
        <v>634</v>
      </c>
      <c r="B37" t="s">
        <v>635</v>
      </c>
      <c r="C37" t="s">
        <v>26</v>
      </c>
      <c r="D37" t="s">
        <v>30</v>
      </c>
      <c r="E37" s="185" t="s">
        <v>25</v>
      </c>
      <c r="F37" s="184">
        <v>1</v>
      </c>
      <c r="G37" t="s">
        <v>630</v>
      </c>
      <c r="H37" t="s">
        <v>630</v>
      </c>
      <c r="I37">
        <v>8</v>
      </c>
      <c r="J37" t="s">
        <v>25</v>
      </c>
      <c r="L37"/>
      <c r="M37"/>
      <c r="N37"/>
      <c r="O37"/>
      <c r="P37"/>
      <c r="Q37"/>
      <c r="R37"/>
      <c r="S37"/>
      <c r="T37"/>
      <c r="U37"/>
      <c r="V37"/>
      <c r="W37"/>
      <c r="X37"/>
    </row>
    <row r="38" spans="1:24" ht="14.5" hidden="1">
      <c r="A38" s="184" t="s">
        <v>330</v>
      </c>
      <c r="B38" t="s">
        <v>331</v>
      </c>
      <c r="C38" t="s">
        <v>248</v>
      </c>
      <c r="D38" t="s">
        <v>30</v>
      </c>
      <c r="E38" s="185" t="s">
        <v>25</v>
      </c>
      <c r="F38" s="184">
        <v>0.5</v>
      </c>
      <c r="G38" t="s">
        <v>630</v>
      </c>
      <c r="H38" t="s">
        <v>630</v>
      </c>
      <c r="I38">
        <v>8</v>
      </c>
      <c r="J38" t="s">
        <v>1</v>
      </c>
      <c r="L38"/>
      <c r="M38"/>
      <c r="N38"/>
      <c r="O38"/>
      <c r="P38"/>
      <c r="Q38"/>
      <c r="R38"/>
      <c r="S38"/>
      <c r="T38"/>
      <c r="U38"/>
      <c r="V38"/>
      <c r="W38"/>
      <c r="X38"/>
    </row>
    <row r="39" spans="1:24" ht="14.5" hidden="1">
      <c r="A39" s="184" t="s">
        <v>459</v>
      </c>
      <c r="B39" t="s">
        <v>460</v>
      </c>
      <c r="C39" t="s">
        <v>39</v>
      </c>
      <c r="D39" t="s">
        <v>30</v>
      </c>
      <c r="E39" s="185" t="s">
        <v>25</v>
      </c>
      <c r="F39" s="184">
        <v>0.5</v>
      </c>
      <c r="G39" t="s">
        <v>630</v>
      </c>
      <c r="H39" t="s">
        <v>630</v>
      </c>
      <c r="I39">
        <v>8</v>
      </c>
      <c r="J39" t="s">
        <v>1</v>
      </c>
      <c r="L39"/>
      <c r="M39"/>
      <c r="N39"/>
      <c r="O39"/>
      <c r="P39"/>
      <c r="Q39"/>
      <c r="R39"/>
      <c r="S39"/>
      <c r="T39"/>
      <c r="U39"/>
      <c r="V39"/>
      <c r="W39"/>
      <c r="X39"/>
    </row>
    <row r="40" spans="1:24" ht="14.5" hidden="1">
      <c r="A40" s="184" t="s">
        <v>452</v>
      </c>
      <c r="B40" t="s">
        <v>636</v>
      </c>
      <c r="C40" t="s">
        <v>250</v>
      </c>
      <c r="D40" t="s">
        <v>36</v>
      </c>
      <c r="E40" s="185" t="s">
        <v>25</v>
      </c>
      <c r="F40" s="184">
        <v>3</v>
      </c>
      <c r="G40" t="s">
        <v>630</v>
      </c>
      <c r="H40" t="s">
        <v>556</v>
      </c>
      <c r="I40">
        <v>8</v>
      </c>
      <c r="J40" t="s">
        <v>25</v>
      </c>
      <c r="L40"/>
      <c r="M40"/>
      <c r="N40"/>
      <c r="O40"/>
      <c r="P40"/>
      <c r="Q40"/>
      <c r="R40"/>
      <c r="S40"/>
      <c r="T40"/>
      <c r="U40"/>
      <c r="V40"/>
      <c r="W40"/>
      <c r="X40"/>
    </row>
    <row r="41" spans="1:24" ht="14.5" hidden="1">
      <c r="A41" s="184" t="s">
        <v>637</v>
      </c>
      <c r="B41" t="s">
        <v>638</v>
      </c>
      <c r="C41" t="s">
        <v>248</v>
      </c>
      <c r="D41" t="s">
        <v>27</v>
      </c>
      <c r="E41" s="185" t="s">
        <v>25</v>
      </c>
      <c r="F41" s="184">
        <v>1</v>
      </c>
      <c r="G41" t="s">
        <v>630</v>
      </c>
      <c r="H41" t="s">
        <v>630</v>
      </c>
      <c r="I41">
        <v>8</v>
      </c>
      <c r="J41" t="s">
        <v>25</v>
      </c>
      <c r="L41"/>
      <c r="M41"/>
      <c r="N41"/>
      <c r="O41"/>
      <c r="P41"/>
      <c r="Q41"/>
      <c r="R41"/>
      <c r="S41"/>
      <c r="T41"/>
      <c r="U41"/>
      <c r="V41"/>
      <c r="W41"/>
      <c r="X41"/>
    </row>
    <row r="42" spans="1:24" ht="14.5" hidden="1">
      <c r="A42" s="184" t="s">
        <v>639</v>
      </c>
      <c r="B42" t="s">
        <v>640</v>
      </c>
      <c r="C42" t="s">
        <v>249</v>
      </c>
      <c r="D42" t="s">
        <v>36</v>
      </c>
      <c r="E42" s="185" t="s">
        <v>641</v>
      </c>
      <c r="F42" s="184">
        <v>5</v>
      </c>
      <c r="G42" t="s">
        <v>560</v>
      </c>
      <c r="H42" t="s">
        <v>597</v>
      </c>
      <c r="I42">
        <v>8</v>
      </c>
      <c r="J42" t="s">
        <v>25</v>
      </c>
      <c r="L42"/>
      <c r="M42"/>
      <c r="N42"/>
      <c r="O42"/>
      <c r="P42"/>
      <c r="Q42"/>
      <c r="R42"/>
      <c r="S42"/>
      <c r="T42"/>
      <c r="U42"/>
      <c r="V42"/>
      <c r="W42"/>
      <c r="X42"/>
    </row>
    <row r="43" spans="1:24" ht="14.5" hidden="1">
      <c r="A43" s="184" t="s">
        <v>452</v>
      </c>
      <c r="B43" t="s">
        <v>636</v>
      </c>
      <c r="C43" t="s">
        <v>250</v>
      </c>
      <c r="D43" t="s">
        <v>30</v>
      </c>
      <c r="E43" s="185" t="s">
        <v>25</v>
      </c>
      <c r="F43" s="184">
        <v>1</v>
      </c>
      <c r="G43" t="s">
        <v>560</v>
      </c>
      <c r="H43" t="s">
        <v>560</v>
      </c>
      <c r="I43">
        <v>8</v>
      </c>
      <c r="J43" t="s">
        <v>25</v>
      </c>
      <c r="L43"/>
      <c r="M43"/>
      <c r="N43"/>
      <c r="O43"/>
      <c r="P43"/>
      <c r="Q43"/>
      <c r="R43"/>
      <c r="S43"/>
      <c r="T43"/>
      <c r="U43"/>
      <c r="V43"/>
      <c r="W43"/>
      <c r="X43"/>
    </row>
    <row r="44" spans="1:24" ht="14.5" hidden="1">
      <c r="A44" s="184" t="s">
        <v>257</v>
      </c>
      <c r="B44" t="s">
        <v>258</v>
      </c>
      <c r="C44" t="s">
        <v>149</v>
      </c>
      <c r="D44" t="s">
        <v>36</v>
      </c>
      <c r="E44" s="185" t="s">
        <v>25</v>
      </c>
      <c r="F44" s="184">
        <v>1</v>
      </c>
      <c r="G44" t="s">
        <v>560</v>
      </c>
      <c r="H44" t="s">
        <v>560</v>
      </c>
      <c r="I44">
        <v>8</v>
      </c>
      <c r="J44" t="s">
        <v>25</v>
      </c>
      <c r="L44"/>
      <c r="M44"/>
      <c r="N44"/>
      <c r="O44"/>
      <c r="P44"/>
      <c r="Q44"/>
      <c r="R44"/>
      <c r="S44"/>
      <c r="T44"/>
      <c r="U44"/>
      <c r="V44"/>
      <c r="W44"/>
      <c r="X44"/>
    </row>
    <row r="45" spans="1:24" ht="14.5" hidden="1">
      <c r="A45" s="184" t="s">
        <v>264</v>
      </c>
      <c r="B45" t="s">
        <v>265</v>
      </c>
      <c r="C45" t="s">
        <v>34</v>
      </c>
      <c r="D45" t="s">
        <v>30</v>
      </c>
      <c r="E45" s="185" t="s">
        <v>642</v>
      </c>
      <c r="F45" s="184">
        <v>0.5</v>
      </c>
      <c r="G45" t="s">
        <v>560</v>
      </c>
      <c r="H45" t="s">
        <v>560</v>
      </c>
      <c r="I45">
        <v>8</v>
      </c>
      <c r="J45" t="s">
        <v>1</v>
      </c>
      <c r="L45"/>
      <c r="M45"/>
      <c r="N45"/>
      <c r="O45"/>
      <c r="P45"/>
      <c r="Q45"/>
      <c r="R45"/>
      <c r="S45"/>
      <c r="T45"/>
      <c r="U45"/>
      <c r="V45"/>
      <c r="W45"/>
      <c r="X45"/>
    </row>
    <row r="46" spans="1:24" ht="14.5" hidden="1">
      <c r="A46" s="184" t="s">
        <v>398</v>
      </c>
      <c r="B46" t="s">
        <v>399</v>
      </c>
      <c r="C46" t="s">
        <v>148</v>
      </c>
      <c r="D46" t="s">
        <v>27</v>
      </c>
      <c r="E46" s="185" t="s">
        <v>25</v>
      </c>
      <c r="F46" s="184">
        <v>1</v>
      </c>
      <c r="G46" t="s">
        <v>560</v>
      </c>
      <c r="H46" t="s">
        <v>560</v>
      </c>
      <c r="I46">
        <v>8</v>
      </c>
      <c r="J46" t="s">
        <v>25</v>
      </c>
      <c r="L46"/>
      <c r="M46"/>
      <c r="N46"/>
      <c r="O46"/>
      <c r="P46"/>
      <c r="Q46"/>
      <c r="R46"/>
      <c r="S46"/>
      <c r="T46"/>
      <c r="U46"/>
      <c r="V46"/>
      <c r="W46"/>
      <c r="X46"/>
    </row>
    <row r="47" spans="1:24" ht="14.5" hidden="1">
      <c r="A47" s="184" t="s">
        <v>478</v>
      </c>
      <c r="B47" t="s">
        <v>479</v>
      </c>
      <c r="C47" t="s">
        <v>147</v>
      </c>
      <c r="D47" t="s">
        <v>30</v>
      </c>
      <c r="E47" s="185" t="s">
        <v>25</v>
      </c>
      <c r="F47" s="184">
        <v>0.5</v>
      </c>
      <c r="G47" t="s">
        <v>560</v>
      </c>
      <c r="H47" t="s">
        <v>560</v>
      </c>
      <c r="I47">
        <v>8</v>
      </c>
      <c r="J47" t="s">
        <v>5</v>
      </c>
      <c r="L47"/>
      <c r="M47"/>
      <c r="N47"/>
      <c r="O47"/>
      <c r="P47"/>
      <c r="Q47"/>
      <c r="R47"/>
      <c r="S47"/>
      <c r="T47"/>
      <c r="U47"/>
      <c r="V47"/>
      <c r="W47"/>
      <c r="X47"/>
    </row>
    <row r="48" spans="1:24" ht="14.5" hidden="1">
      <c r="A48" s="184" t="s">
        <v>643</v>
      </c>
      <c r="B48" t="s">
        <v>644</v>
      </c>
      <c r="C48" t="s">
        <v>147</v>
      </c>
      <c r="D48" t="s">
        <v>30</v>
      </c>
      <c r="E48" s="185" t="s">
        <v>645</v>
      </c>
      <c r="F48" s="184">
        <v>1</v>
      </c>
      <c r="G48" t="s">
        <v>560</v>
      </c>
      <c r="H48" t="s">
        <v>560</v>
      </c>
      <c r="I48">
        <v>8</v>
      </c>
      <c r="J48" t="s">
        <v>25</v>
      </c>
      <c r="L48"/>
      <c r="M48"/>
      <c r="N48"/>
      <c r="O48"/>
      <c r="P48"/>
      <c r="Q48"/>
      <c r="R48"/>
      <c r="S48"/>
      <c r="T48"/>
      <c r="U48"/>
      <c r="V48"/>
      <c r="W48"/>
      <c r="X48"/>
    </row>
    <row r="49" spans="1:24" ht="14.5" hidden="1">
      <c r="A49" s="184" t="s">
        <v>631</v>
      </c>
      <c r="B49" t="s">
        <v>632</v>
      </c>
      <c r="C49" t="s">
        <v>39</v>
      </c>
      <c r="D49" t="s">
        <v>30</v>
      </c>
      <c r="E49" s="185" t="s">
        <v>25</v>
      </c>
      <c r="F49" s="184">
        <v>0.5</v>
      </c>
      <c r="G49" t="s">
        <v>560</v>
      </c>
      <c r="H49" t="s">
        <v>560</v>
      </c>
      <c r="I49">
        <v>8</v>
      </c>
      <c r="J49" t="s">
        <v>5</v>
      </c>
      <c r="L49"/>
      <c r="M49"/>
      <c r="N49"/>
      <c r="O49"/>
      <c r="P49"/>
      <c r="Q49"/>
      <c r="R49"/>
      <c r="S49"/>
      <c r="T49"/>
      <c r="U49"/>
      <c r="V49"/>
      <c r="W49"/>
      <c r="X49"/>
    </row>
    <row r="50" spans="1:24" ht="14.5" hidden="1">
      <c r="A50" s="184" t="s">
        <v>40</v>
      </c>
      <c r="B50" t="s">
        <v>41</v>
      </c>
      <c r="C50" t="s">
        <v>42</v>
      </c>
      <c r="D50" t="s">
        <v>30</v>
      </c>
      <c r="E50" s="185" t="s">
        <v>646</v>
      </c>
      <c r="F50" s="184">
        <v>1</v>
      </c>
      <c r="G50" t="s">
        <v>560</v>
      </c>
      <c r="H50" t="s">
        <v>560</v>
      </c>
      <c r="I50">
        <v>8</v>
      </c>
      <c r="J50" t="s">
        <v>25</v>
      </c>
      <c r="L50"/>
      <c r="M50"/>
      <c r="N50"/>
      <c r="O50"/>
      <c r="P50"/>
      <c r="Q50"/>
      <c r="R50"/>
      <c r="S50"/>
      <c r="T50"/>
      <c r="U50"/>
      <c r="V50"/>
      <c r="W50"/>
      <c r="X50"/>
    </row>
    <row r="51" spans="1:24" ht="14.5" hidden="1">
      <c r="A51" s="184" t="s">
        <v>591</v>
      </c>
      <c r="B51" t="s">
        <v>592</v>
      </c>
      <c r="C51"/>
      <c r="D51" t="s">
        <v>30</v>
      </c>
      <c r="E51" s="185" t="s">
        <v>593</v>
      </c>
      <c r="F51" s="184">
        <v>5</v>
      </c>
      <c r="G51" t="s">
        <v>560</v>
      </c>
      <c r="H51" t="s">
        <v>597</v>
      </c>
      <c r="I51">
        <v>8</v>
      </c>
      <c r="J51" t="s">
        <v>25</v>
      </c>
      <c r="L51"/>
      <c r="M51"/>
      <c r="N51"/>
      <c r="O51"/>
      <c r="P51"/>
      <c r="Q51"/>
      <c r="R51"/>
      <c r="S51"/>
      <c r="T51"/>
      <c r="U51"/>
      <c r="V51"/>
      <c r="W51"/>
      <c r="X51"/>
    </row>
    <row r="52" spans="1:24" ht="29" hidden="1">
      <c r="A52" s="184" t="s">
        <v>647</v>
      </c>
      <c r="B52" t="s">
        <v>458</v>
      </c>
      <c r="C52" t="s">
        <v>148</v>
      </c>
      <c r="D52" t="s">
        <v>24</v>
      </c>
      <c r="E52" s="185" t="s">
        <v>648</v>
      </c>
      <c r="F52" s="184" t="s">
        <v>336</v>
      </c>
      <c r="G52" t="s">
        <v>562</v>
      </c>
      <c r="H52" t="s">
        <v>562</v>
      </c>
      <c r="I52">
        <v>8</v>
      </c>
      <c r="J52" t="s">
        <v>25</v>
      </c>
      <c r="L52"/>
      <c r="M52"/>
      <c r="N52"/>
      <c r="O52"/>
      <c r="P52"/>
      <c r="Q52"/>
      <c r="R52"/>
      <c r="S52"/>
      <c r="T52"/>
      <c r="U52"/>
      <c r="V52"/>
      <c r="W52"/>
      <c r="X52"/>
    </row>
    <row r="53" spans="1:24" ht="14.5" hidden="1">
      <c r="A53" s="184" t="s">
        <v>649</v>
      </c>
      <c r="B53" t="s">
        <v>582</v>
      </c>
      <c r="C53" t="s">
        <v>149</v>
      </c>
      <c r="D53" t="s">
        <v>27</v>
      </c>
      <c r="E53" s="185" t="s">
        <v>25</v>
      </c>
      <c r="F53" s="184">
        <v>1</v>
      </c>
      <c r="G53" t="s">
        <v>562</v>
      </c>
      <c r="H53" t="s">
        <v>562</v>
      </c>
      <c r="I53">
        <v>8</v>
      </c>
      <c r="J53" t="s">
        <v>25</v>
      </c>
      <c r="L53"/>
      <c r="M53"/>
      <c r="N53"/>
      <c r="O53"/>
      <c r="P53"/>
      <c r="Q53"/>
      <c r="R53"/>
      <c r="S53"/>
      <c r="T53"/>
      <c r="U53"/>
      <c r="V53"/>
      <c r="W53"/>
      <c r="X53"/>
    </row>
    <row r="54" spans="1:24" ht="14.5" hidden="1">
      <c r="A54" s="184" t="s">
        <v>650</v>
      </c>
      <c r="B54" t="s">
        <v>576</v>
      </c>
      <c r="C54" t="s">
        <v>431</v>
      </c>
      <c r="D54" t="s">
        <v>29</v>
      </c>
      <c r="E54" s="185" t="s">
        <v>651</v>
      </c>
      <c r="F54" s="184">
        <v>3</v>
      </c>
      <c r="G54" t="s">
        <v>562</v>
      </c>
      <c r="H54" t="s">
        <v>630</v>
      </c>
      <c r="I54">
        <v>8</v>
      </c>
      <c r="J54" t="s">
        <v>25</v>
      </c>
      <c r="L54"/>
      <c r="M54"/>
      <c r="N54"/>
      <c r="O54"/>
      <c r="P54"/>
      <c r="Q54"/>
      <c r="R54"/>
      <c r="S54"/>
      <c r="T54"/>
      <c r="U54"/>
      <c r="V54"/>
      <c r="W54"/>
      <c r="X54"/>
    </row>
    <row r="55" spans="1:24" ht="14.5" hidden="1">
      <c r="A55" s="184" t="s">
        <v>40</v>
      </c>
      <c r="B55" t="s">
        <v>41</v>
      </c>
      <c r="C55" t="s">
        <v>42</v>
      </c>
      <c r="D55" t="s">
        <v>30</v>
      </c>
      <c r="E55" s="185" t="s">
        <v>427</v>
      </c>
      <c r="F55" s="184">
        <v>1</v>
      </c>
      <c r="G55" t="s">
        <v>562</v>
      </c>
      <c r="H55" t="s">
        <v>562</v>
      </c>
      <c r="I55">
        <v>8</v>
      </c>
      <c r="J55" t="s">
        <v>25</v>
      </c>
      <c r="L55"/>
      <c r="M55"/>
      <c r="N55"/>
      <c r="O55"/>
      <c r="P55"/>
      <c r="Q55"/>
      <c r="R55"/>
      <c r="S55"/>
      <c r="T55"/>
      <c r="U55"/>
      <c r="V55"/>
      <c r="W55"/>
      <c r="X55"/>
    </row>
    <row r="56" spans="1:24" ht="14.5" hidden="1">
      <c r="A56" s="184" t="s">
        <v>467</v>
      </c>
      <c r="B56" t="s">
        <v>468</v>
      </c>
      <c r="C56" t="s">
        <v>149</v>
      </c>
      <c r="D56" t="s">
        <v>27</v>
      </c>
      <c r="E56" s="185" t="s">
        <v>25</v>
      </c>
      <c r="F56" s="184">
        <v>0.5</v>
      </c>
      <c r="G56" t="s">
        <v>562</v>
      </c>
      <c r="H56" t="s">
        <v>562</v>
      </c>
      <c r="I56">
        <v>8</v>
      </c>
      <c r="J56" t="s">
        <v>5</v>
      </c>
      <c r="L56"/>
      <c r="M56"/>
      <c r="N56"/>
      <c r="O56"/>
      <c r="P56"/>
      <c r="Q56"/>
      <c r="R56"/>
      <c r="S56"/>
      <c r="T56"/>
      <c r="U56"/>
      <c r="V56"/>
      <c r="W56"/>
      <c r="X56"/>
    </row>
    <row r="57" spans="1:24" ht="14.5" hidden="1">
      <c r="A57" s="184" t="s">
        <v>652</v>
      </c>
      <c r="B57" t="s">
        <v>653</v>
      </c>
      <c r="C57" t="s">
        <v>39</v>
      </c>
      <c r="D57" t="s">
        <v>30</v>
      </c>
      <c r="E57" s="185" t="s">
        <v>25</v>
      </c>
      <c r="F57" s="184">
        <v>2</v>
      </c>
      <c r="G57" t="s">
        <v>562</v>
      </c>
      <c r="H57" t="s">
        <v>560</v>
      </c>
      <c r="I57">
        <v>8</v>
      </c>
      <c r="J57" t="s">
        <v>25</v>
      </c>
      <c r="L57"/>
      <c r="M57"/>
      <c r="N57"/>
      <c r="O57"/>
      <c r="P57"/>
      <c r="Q57"/>
      <c r="R57"/>
      <c r="S57"/>
      <c r="T57"/>
      <c r="U57"/>
      <c r="V57"/>
      <c r="W57"/>
      <c r="X57"/>
    </row>
    <row r="58" spans="1:24" ht="14.5" hidden="1">
      <c r="A58" s="184" t="s">
        <v>390</v>
      </c>
      <c r="B58" t="s">
        <v>391</v>
      </c>
      <c r="C58" t="s">
        <v>147</v>
      </c>
      <c r="D58" t="s">
        <v>36</v>
      </c>
      <c r="E58" s="185" t="s">
        <v>25</v>
      </c>
      <c r="F58" s="184">
        <v>1</v>
      </c>
      <c r="G58" t="s">
        <v>562</v>
      </c>
      <c r="H58" t="s">
        <v>562</v>
      </c>
      <c r="I58">
        <v>8</v>
      </c>
      <c r="J58" t="s">
        <v>25</v>
      </c>
      <c r="L58"/>
      <c r="M58"/>
      <c r="N58"/>
      <c r="O58"/>
      <c r="P58"/>
      <c r="Q58"/>
      <c r="R58"/>
      <c r="S58"/>
      <c r="T58"/>
      <c r="U58"/>
      <c r="V58"/>
      <c r="W58"/>
      <c r="X58"/>
    </row>
    <row r="59" spans="1:24" ht="29" hidden="1">
      <c r="A59" s="184" t="s">
        <v>305</v>
      </c>
      <c r="B59" t="s">
        <v>14</v>
      </c>
      <c r="C59" t="s">
        <v>259</v>
      </c>
      <c r="D59" t="s">
        <v>29</v>
      </c>
      <c r="E59" s="185" t="s">
        <v>654</v>
      </c>
      <c r="F59" s="184">
        <v>3</v>
      </c>
      <c r="G59" t="s">
        <v>562</v>
      </c>
      <c r="H59" t="s">
        <v>630</v>
      </c>
      <c r="I59">
        <v>8</v>
      </c>
      <c r="J59" t="s">
        <v>25</v>
      </c>
      <c r="L59"/>
      <c r="M59"/>
      <c r="N59"/>
      <c r="O59"/>
      <c r="P59"/>
      <c r="Q59"/>
      <c r="R59"/>
      <c r="S59"/>
      <c r="T59"/>
      <c r="U59"/>
      <c r="V59"/>
      <c r="W59"/>
      <c r="X59"/>
    </row>
    <row r="60" spans="1:24" ht="14.5" hidden="1">
      <c r="A60" s="184" t="s">
        <v>447</v>
      </c>
      <c r="B60" t="s">
        <v>448</v>
      </c>
      <c r="C60" t="s">
        <v>431</v>
      </c>
      <c r="D60" t="s">
        <v>29</v>
      </c>
      <c r="E60" s="185" t="s">
        <v>655</v>
      </c>
      <c r="F60" s="184">
        <v>3</v>
      </c>
      <c r="G60" t="s">
        <v>562</v>
      </c>
      <c r="H60" t="s">
        <v>630</v>
      </c>
      <c r="I60">
        <v>8</v>
      </c>
      <c r="J60" t="s">
        <v>25</v>
      </c>
      <c r="L60"/>
      <c r="M60"/>
      <c r="N60"/>
      <c r="O60"/>
      <c r="P60"/>
      <c r="Q60"/>
      <c r="R60"/>
      <c r="S60"/>
      <c r="T60"/>
      <c r="U60"/>
      <c r="V60"/>
      <c r="W60"/>
      <c r="X60"/>
    </row>
    <row r="61" spans="1:24" ht="14.5" hidden="1">
      <c r="A61" s="184" t="s">
        <v>309</v>
      </c>
      <c r="B61" t="s">
        <v>310</v>
      </c>
      <c r="C61" t="s">
        <v>259</v>
      </c>
      <c r="D61" t="s">
        <v>29</v>
      </c>
      <c r="E61" s="185" t="s">
        <v>656</v>
      </c>
      <c r="F61" s="184">
        <v>3</v>
      </c>
      <c r="G61" t="s">
        <v>562</v>
      </c>
      <c r="H61" t="s">
        <v>630</v>
      </c>
      <c r="I61">
        <v>8</v>
      </c>
      <c r="J61" t="s">
        <v>25</v>
      </c>
      <c r="L61"/>
      <c r="M61"/>
      <c r="N61"/>
      <c r="O61"/>
      <c r="P61"/>
      <c r="Q61"/>
      <c r="R61"/>
      <c r="S61"/>
      <c r="T61"/>
      <c r="U61"/>
      <c r="V61"/>
      <c r="W61"/>
      <c r="X61"/>
    </row>
    <row r="62" spans="1:24" ht="14.5" hidden="1">
      <c r="A62" s="184" t="s">
        <v>449</v>
      </c>
      <c r="B62" t="s">
        <v>450</v>
      </c>
      <c r="C62" t="s">
        <v>431</v>
      </c>
      <c r="D62" t="s">
        <v>30</v>
      </c>
      <c r="E62" s="185" t="s">
        <v>657</v>
      </c>
      <c r="F62" s="184">
        <v>2</v>
      </c>
      <c r="G62" t="s">
        <v>562</v>
      </c>
      <c r="H62" t="s">
        <v>560</v>
      </c>
      <c r="I62">
        <v>8</v>
      </c>
      <c r="J62" t="s">
        <v>25</v>
      </c>
      <c r="L62"/>
      <c r="M62"/>
      <c r="N62"/>
      <c r="O62"/>
      <c r="P62"/>
      <c r="Q62"/>
      <c r="R62"/>
      <c r="S62"/>
      <c r="T62"/>
      <c r="U62"/>
      <c r="V62"/>
      <c r="W62"/>
      <c r="X62"/>
    </row>
    <row r="63" spans="1:24" ht="14.5" hidden="1">
      <c r="A63" s="184" t="s">
        <v>452</v>
      </c>
      <c r="B63" t="s">
        <v>636</v>
      </c>
      <c r="C63" t="s">
        <v>250</v>
      </c>
      <c r="D63" t="s">
        <v>30</v>
      </c>
      <c r="E63" s="185" t="s">
        <v>25</v>
      </c>
      <c r="F63" s="184">
        <v>1</v>
      </c>
      <c r="G63" t="s">
        <v>562</v>
      </c>
      <c r="H63" t="s">
        <v>562</v>
      </c>
      <c r="I63">
        <v>8</v>
      </c>
      <c r="J63" t="s">
        <v>25</v>
      </c>
      <c r="L63"/>
      <c r="M63"/>
      <c r="N63"/>
      <c r="O63"/>
      <c r="P63"/>
      <c r="Q63"/>
      <c r="R63"/>
      <c r="S63"/>
      <c r="T63"/>
      <c r="U63"/>
      <c r="V63"/>
      <c r="W63"/>
      <c r="X63"/>
    </row>
    <row r="64" spans="1:24" ht="14.5" hidden="1">
      <c r="A64" s="184" t="s">
        <v>631</v>
      </c>
      <c r="B64" t="s">
        <v>632</v>
      </c>
      <c r="C64" t="s">
        <v>39</v>
      </c>
      <c r="D64" t="s">
        <v>30</v>
      </c>
      <c r="E64" s="185" t="s">
        <v>25</v>
      </c>
      <c r="F64" s="184">
        <v>1</v>
      </c>
      <c r="G64" t="s">
        <v>562</v>
      </c>
      <c r="H64" t="s">
        <v>562</v>
      </c>
      <c r="I64">
        <v>8</v>
      </c>
      <c r="J64" t="s">
        <v>25</v>
      </c>
      <c r="L64"/>
      <c r="M64"/>
      <c r="N64"/>
      <c r="O64"/>
      <c r="P64"/>
      <c r="Q64"/>
      <c r="R64"/>
      <c r="S64"/>
      <c r="T64"/>
      <c r="U64"/>
      <c r="V64"/>
      <c r="W64"/>
      <c r="X64"/>
    </row>
    <row r="65" spans="1:24" ht="14.5" hidden="1">
      <c r="A65" s="184" t="s">
        <v>421</v>
      </c>
      <c r="B65" t="s">
        <v>422</v>
      </c>
      <c r="C65" t="s">
        <v>149</v>
      </c>
      <c r="D65" t="s">
        <v>36</v>
      </c>
      <c r="E65" s="185" t="s">
        <v>25</v>
      </c>
      <c r="F65" s="184">
        <v>1</v>
      </c>
      <c r="G65" t="s">
        <v>562</v>
      </c>
      <c r="H65" t="s">
        <v>562</v>
      </c>
      <c r="I65">
        <v>8</v>
      </c>
      <c r="J65" t="s">
        <v>25</v>
      </c>
      <c r="L65"/>
      <c r="M65"/>
      <c r="N65"/>
      <c r="O65"/>
      <c r="P65"/>
      <c r="Q65"/>
      <c r="R65"/>
      <c r="S65"/>
      <c r="T65"/>
      <c r="U65"/>
      <c r="V65"/>
      <c r="W65"/>
      <c r="X65"/>
    </row>
    <row r="66" spans="1:24" ht="14.5" hidden="1">
      <c r="A66" s="184" t="s">
        <v>658</v>
      </c>
      <c r="B66" t="s">
        <v>659</v>
      </c>
      <c r="C66" t="s">
        <v>34</v>
      </c>
      <c r="D66" t="s">
        <v>30</v>
      </c>
      <c r="E66" s="185" t="s">
        <v>25</v>
      </c>
      <c r="F66" s="184">
        <v>0.5</v>
      </c>
      <c r="G66" t="s">
        <v>562</v>
      </c>
      <c r="H66" t="s">
        <v>562</v>
      </c>
      <c r="I66">
        <v>8</v>
      </c>
      <c r="J66" t="s">
        <v>1</v>
      </c>
      <c r="L66"/>
      <c r="M66"/>
      <c r="N66"/>
      <c r="O66"/>
      <c r="P66"/>
      <c r="Q66"/>
      <c r="R66"/>
      <c r="S66"/>
      <c r="T66"/>
      <c r="U66"/>
      <c r="V66"/>
      <c r="W66"/>
      <c r="X66"/>
    </row>
    <row r="67" spans="1:24" ht="29" hidden="1">
      <c r="A67" s="184" t="s">
        <v>660</v>
      </c>
      <c r="B67" t="s">
        <v>661</v>
      </c>
      <c r="C67" t="s">
        <v>149</v>
      </c>
      <c r="D67" t="s">
        <v>30</v>
      </c>
      <c r="E67" s="185" t="s">
        <v>662</v>
      </c>
      <c r="F67" s="184">
        <v>0.5</v>
      </c>
      <c r="G67" t="s">
        <v>562</v>
      </c>
      <c r="H67" t="s">
        <v>562</v>
      </c>
      <c r="I67">
        <v>8</v>
      </c>
      <c r="J67" t="s">
        <v>5</v>
      </c>
      <c r="L67"/>
      <c r="M67"/>
      <c r="N67"/>
      <c r="O67"/>
      <c r="P67"/>
      <c r="Q67"/>
      <c r="R67"/>
      <c r="S67"/>
      <c r="T67"/>
      <c r="U67"/>
      <c r="V67"/>
      <c r="W67"/>
      <c r="X67"/>
    </row>
    <row r="68" spans="1:24" ht="14.5" hidden="1">
      <c r="A68" s="184" t="s">
        <v>663</v>
      </c>
      <c r="B68" t="s">
        <v>664</v>
      </c>
      <c r="C68" t="s">
        <v>33</v>
      </c>
      <c r="D68" t="s">
        <v>27</v>
      </c>
      <c r="E68" s="185" t="s">
        <v>25</v>
      </c>
      <c r="F68" s="184">
        <v>1</v>
      </c>
      <c r="G68" t="s">
        <v>562</v>
      </c>
      <c r="H68" t="s">
        <v>562</v>
      </c>
      <c r="I68">
        <v>8</v>
      </c>
      <c r="J68" t="s">
        <v>25</v>
      </c>
      <c r="L68"/>
      <c r="M68"/>
      <c r="N68"/>
      <c r="O68"/>
      <c r="P68"/>
      <c r="Q68"/>
      <c r="R68"/>
      <c r="S68"/>
      <c r="T68"/>
      <c r="U68"/>
      <c r="V68"/>
      <c r="W68"/>
      <c r="X68"/>
    </row>
    <row r="69" spans="1:24" ht="14.5" hidden="1">
      <c r="A69" s="184" t="s">
        <v>639</v>
      </c>
      <c r="B69" t="s">
        <v>640</v>
      </c>
      <c r="C69" t="s">
        <v>249</v>
      </c>
      <c r="D69" t="s">
        <v>30</v>
      </c>
      <c r="E69" s="185" t="s">
        <v>665</v>
      </c>
      <c r="F69" s="184">
        <v>1</v>
      </c>
      <c r="G69" t="s">
        <v>562</v>
      </c>
      <c r="H69" t="s">
        <v>562</v>
      </c>
      <c r="I69">
        <v>8</v>
      </c>
      <c r="J69" t="s">
        <v>25</v>
      </c>
      <c r="L69"/>
      <c r="M69"/>
      <c r="N69"/>
      <c r="O69"/>
      <c r="P69"/>
      <c r="Q69"/>
      <c r="R69"/>
      <c r="S69"/>
      <c r="T69"/>
      <c r="U69"/>
      <c r="V69"/>
      <c r="W69"/>
      <c r="X69"/>
    </row>
    <row r="70" spans="1:24" ht="14.5" hidden="1">
      <c r="A70" s="184" t="s">
        <v>666</v>
      </c>
      <c r="B70" t="s">
        <v>667</v>
      </c>
      <c r="C70" t="s">
        <v>389</v>
      </c>
      <c r="D70" t="s">
        <v>27</v>
      </c>
      <c r="E70" s="185" t="s">
        <v>385</v>
      </c>
      <c r="F70" s="184">
        <v>1</v>
      </c>
      <c r="G70" t="s">
        <v>562</v>
      </c>
      <c r="H70" t="s">
        <v>562</v>
      </c>
      <c r="I70">
        <v>8</v>
      </c>
      <c r="J70" t="s">
        <v>25</v>
      </c>
      <c r="L70"/>
      <c r="M70"/>
      <c r="N70"/>
      <c r="O70"/>
      <c r="P70"/>
      <c r="Q70"/>
      <c r="R70"/>
      <c r="S70"/>
      <c r="T70"/>
      <c r="U70"/>
      <c r="V70"/>
      <c r="W70"/>
      <c r="X70"/>
    </row>
    <row r="71" spans="1:24" ht="14.5" hidden="1">
      <c r="A71" s="184" t="s">
        <v>600</v>
      </c>
      <c r="B71" t="s">
        <v>601</v>
      </c>
      <c r="C71" t="s">
        <v>135</v>
      </c>
      <c r="D71" t="s">
        <v>30</v>
      </c>
      <c r="E71" s="185" t="s">
        <v>25</v>
      </c>
      <c r="F71" s="184">
        <v>0.5</v>
      </c>
      <c r="G71" t="s">
        <v>668</v>
      </c>
      <c r="H71" t="s">
        <v>668</v>
      </c>
      <c r="I71">
        <v>8</v>
      </c>
      <c r="J71" t="s">
        <v>5</v>
      </c>
      <c r="L71"/>
      <c r="M71"/>
      <c r="N71"/>
      <c r="O71"/>
      <c r="P71"/>
      <c r="Q71"/>
      <c r="R71"/>
      <c r="S71"/>
      <c r="T71"/>
      <c r="U71"/>
      <c r="V71"/>
      <c r="W71"/>
      <c r="X71"/>
    </row>
    <row r="72" spans="1:24" ht="14.5" hidden="1">
      <c r="A72" s="184" t="s">
        <v>669</v>
      </c>
      <c r="B72" t="s">
        <v>670</v>
      </c>
      <c r="C72" t="s">
        <v>248</v>
      </c>
      <c r="D72" t="s">
        <v>30</v>
      </c>
      <c r="E72" s="185" t="s">
        <v>25</v>
      </c>
      <c r="F72" s="184">
        <v>1</v>
      </c>
      <c r="G72" t="s">
        <v>671</v>
      </c>
      <c r="H72" t="s">
        <v>671</v>
      </c>
      <c r="I72">
        <v>8</v>
      </c>
      <c r="J72" t="s">
        <v>25</v>
      </c>
      <c r="L72"/>
      <c r="M72"/>
      <c r="N72"/>
      <c r="O72"/>
      <c r="P72"/>
      <c r="Q72"/>
      <c r="R72"/>
      <c r="S72"/>
      <c r="T72"/>
      <c r="U72"/>
      <c r="V72"/>
      <c r="W72"/>
      <c r="X72"/>
    </row>
    <row r="73" spans="1:24" ht="14.5" hidden="1">
      <c r="A73" s="184" t="s">
        <v>323</v>
      </c>
      <c r="B73" t="s">
        <v>324</v>
      </c>
      <c r="C73"/>
      <c r="D73" t="s">
        <v>24</v>
      </c>
      <c r="E73" s="185" t="s">
        <v>25</v>
      </c>
      <c r="F73" s="184">
        <v>1</v>
      </c>
      <c r="G73" t="s">
        <v>671</v>
      </c>
      <c r="H73" t="s">
        <v>671</v>
      </c>
      <c r="I73">
        <v>8</v>
      </c>
      <c r="J73" t="s">
        <v>25</v>
      </c>
      <c r="L73"/>
      <c r="M73"/>
      <c r="N73"/>
      <c r="O73"/>
      <c r="P73"/>
      <c r="Q73"/>
      <c r="R73"/>
      <c r="S73"/>
      <c r="T73"/>
      <c r="U73"/>
      <c r="V73"/>
      <c r="W73"/>
      <c r="X73"/>
    </row>
    <row r="74" spans="1:24" ht="14.5" hidden="1">
      <c r="A74" s="184" t="s">
        <v>449</v>
      </c>
      <c r="B74" t="s">
        <v>450</v>
      </c>
      <c r="C74" t="s">
        <v>431</v>
      </c>
      <c r="D74" t="s">
        <v>30</v>
      </c>
      <c r="E74" s="185" t="s">
        <v>394</v>
      </c>
      <c r="F74" s="184">
        <v>0.5</v>
      </c>
      <c r="G74" t="s">
        <v>671</v>
      </c>
      <c r="H74" t="s">
        <v>671</v>
      </c>
      <c r="I74">
        <v>8</v>
      </c>
      <c r="J74" t="s">
        <v>5</v>
      </c>
      <c r="L74"/>
      <c r="M74"/>
      <c r="N74"/>
      <c r="O74"/>
      <c r="P74"/>
      <c r="Q74"/>
      <c r="R74"/>
      <c r="S74"/>
      <c r="T74"/>
      <c r="U74"/>
      <c r="V74"/>
      <c r="W74"/>
      <c r="X74"/>
    </row>
    <row r="75" spans="1:24" ht="14.5" hidden="1">
      <c r="A75" s="184" t="s">
        <v>452</v>
      </c>
      <c r="B75" t="s">
        <v>636</v>
      </c>
      <c r="C75" t="s">
        <v>250</v>
      </c>
      <c r="D75" t="s">
        <v>30</v>
      </c>
      <c r="E75" s="185" t="s">
        <v>25</v>
      </c>
      <c r="F75" s="184">
        <v>1</v>
      </c>
      <c r="G75" t="s">
        <v>671</v>
      </c>
      <c r="H75" t="s">
        <v>671</v>
      </c>
      <c r="I75">
        <v>8</v>
      </c>
      <c r="J75" t="s">
        <v>25</v>
      </c>
      <c r="L75"/>
      <c r="M75"/>
      <c r="N75"/>
      <c r="O75"/>
      <c r="P75"/>
      <c r="Q75"/>
      <c r="R75"/>
      <c r="S75"/>
      <c r="T75"/>
      <c r="U75"/>
      <c r="V75"/>
      <c r="W75"/>
      <c r="X75"/>
    </row>
    <row r="76" spans="1:24" ht="14.5" hidden="1">
      <c r="A76" s="184" t="s">
        <v>459</v>
      </c>
      <c r="B76" t="s">
        <v>460</v>
      </c>
      <c r="C76" t="s">
        <v>39</v>
      </c>
      <c r="D76" t="s">
        <v>30</v>
      </c>
      <c r="E76" s="185" t="s">
        <v>25</v>
      </c>
      <c r="F76" s="184">
        <v>1</v>
      </c>
      <c r="G76" t="s">
        <v>671</v>
      </c>
      <c r="H76" t="s">
        <v>671</v>
      </c>
      <c r="I76">
        <v>8</v>
      </c>
      <c r="J76" t="s">
        <v>25</v>
      </c>
      <c r="L76"/>
      <c r="M76"/>
      <c r="N76"/>
      <c r="O76"/>
      <c r="P76"/>
      <c r="Q76"/>
      <c r="R76"/>
      <c r="S76"/>
      <c r="T76"/>
      <c r="U76"/>
      <c r="V76"/>
      <c r="W76"/>
      <c r="X76"/>
    </row>
    <row r="77" spans="1:24" ht="14.5" hidden="1">
      <c r="A77" s="184" t="s">
        <v>31</v>
      </c>
      <c r="B77" t="s">
        <v>32</v>
      </c>
      <c r="C77" t="s">
        <v>33</v>
      </c>
      <c r="D77" t="s">
        <v>30</v>
      </c>
      <c r="E77" s="185" t="s">
        <v>25</v>
      </c>
      <c r="F77" s="184">
        <v>0.5</v>
      </c>
      <c r="G77" t="s">
        <v>671</v>
      </c>
      <c r="H77" t="s">
        <v>671</v>
      </c>
      <c r="I77">
        <v>8</v>
      </c>
      <c r="J77" t="s">
        <v>1</v>
      </c>
      <c r="L77"/>
      <c r="M77"/>
      <c r="N77"/>
      <c r="O77"/>
      <c r="P77"/>
      <c r="Q77"/>
      <c r="R77"/>
      <c r="S77"/>
      <c r="T77"/>
      <c r="U77"/>
      <c r="V77"/>
      <c r="W77"/>
      <c r="X77"/>
    </row>
    <row r="78" spans="1:24" ht="14.5" hidden="1">
      <c r="A78" s="184" t="s">
        <v>672</v>
      </c>
      <c r="B78" t="s">
        <v>673</v>
      </c>
      <c r="C78" t="s">
        <v>28</v>
      </c>
      <c r="D78" t="s">
        <v>27</v>
      </c>
      <c r="E78" s="185" t="s">
        <v>25</v>
      </c>
      <c r="F78" s="184">
        <v>0.5</v>
      </c>
      <c r="G78" t="s">
        <v>671</v>
      </c>
      <c r="H78" t="s">
        <v>671</v>
      </c>
      <c r="I78">
        <v>8</v>
      </c>
      <c r="J78" t="s">
        <v>1</v>
      </c>
      <c r="L78"/>
      <c r="M78"/>
      <c r="N78"/>
      <c r="O78"/>
      <c r="P78"/>
      <c r="Q78"/>
      <c r="R78"/>
      <c r="S78"/>
      <c r="T78"/>
      <c r="U78"/>
      <c r="V78"/>
      <c r="W78"/>
      <c r="X78"/>
    </row>
    <row r="79" spans="1:24" ht="14.5" hidden="1">
      <c r="A79" s="184" t="s">
        <v>674</v>
      </c>
      <c r="B79" t="s">
        <v>374</v>
      </c>
      <c r="C79" t="s">
        <v>26</v>
      </c>
      <c r="D79" t="s">
        <v>27</v>
      </c>
      <c r="E79" s="185" t="s">
        <v>25</v>
      </c>
      <c r="F79" s="184">
        <v>1</v>
      </c>
      <c r="G79" t="s">
        <v>671</v>
      </c>
      <c r="H79" t="s">
        <v>671</v>
      </c>
      <c r="I79">
        <v>8</v>
      </c>
      <c r="J79" t="s">
        <v>25</v>
      </c>
      <c r="L79"/>
      <c r="M79"/>
      <c r="N79"/>
      <c r="O79"/>
      <c r="P79"/>
      <c r="Q79"/>
      <c r="R79"/>
      <c r="S79"/>
      <c r="T79"/>
      <c r="U79"/>
      <c r="V79"/>
      <c r="W79"/>
      <c r="X79"/>
    </row>
    <row r="80" spans="1:24" ht="14.5" hidden="1">
      <c r="A80" s="184" t="s">
        <v>151</v>
      </c>
      <c r="B80" t="s">
        <v>152</v>
      </c>
      <c r="C80" t="s">
        <v>147</v>
      </c>
      <c r="D80" t="s">
        <v>29</v>
      </c>
      <c r="E80" s="185" t="s">
        <v>675</v>
      </c>
      <c r="F80" s="184">
        <v>1</v>
      </c>
      <c r="G80" t="s">
        <v>671</v>
      </c>
      <c r="H80" t="s">
        <v>671</v>
      </c>
      <c r="I80">
        <v>8</v>
      </c>
      <c r="J80" t="s">
        <v>25</v>
      </c>
      <c r="L80"/>
      <c r="M80"/>
      <c r="N80"/>
      <c r="O80"/>
      <c r="P80"/>
      <c r="Q80"/>
      <c r="R80"/>
      <c r="S80"/>
      <c r="T80"/>
      <c r="U80"/>
      <c r="V80"/>
      <c r="W80"/>
      <c r="X80"/>
    </row>
    <row r="81" spans="1:24" ht="14.5" hidden="1">
      <c r="A81" s="184" t="s">
        <v>643</v>
      </c>
      <c r="B81" t="s">
        <v>644</v>
      </c>
      <c r="C81" t="s">
        <v>147</v>
      </c>
      <c r="D81" t="s">
        <v>27</v>
      </c>
      <c r="E81" s="185" t="s">
        <v>676</v>
      </c>
      <c r="F81" s="184">
        <v>1</v>
      </c>
      <c r="G81" t="s">
        <v>671</v>
      </c>
      <c r="H81" t="s">
        <v>671</v>
      </c>
      <c r="I81">
        <v>8</v>
      </c>
      <c r="J81" t="s">
        <v>25</v>
      </c>
      <c r="L81"/>
      <c r="M81"/>
      <c r="N81"/>
      <c r="O81"/>
      <c r="P81"/>
      <c r="Q81"/>
      <c r="R81"/>
      <c r="S81"/>
      <c r="T81"/>
      <c r="U81"/>
      <c r="V81"/>
      <c r="W81"/>
      <c r="X81"/>
    </row>
    <row r="82" spans="1:24" ht="14.5" hidden="1">
      <c r="A82" s="184" t="s">
        <v>151</v>
      </c>
      <c r="B82" t="s">
        <v>152</v>
      </c>
      <c r="C82" t="s">
        <v>147</v>
      </c>
      <c r="D82" t="s">
        <v>29</v>
      </c>
      <c r="E82" s="185" t="s">
        <v>677</v>
      </c>
      <c r="F82" s="184">
        <v>1</v>
      </c>
      <c r="G82" t="s">
        <v>546</v>
      </c>
      <c r="H82" t="s">
        <v>546</v>
      </c>
      <c r="I82">
        <v>8</v>
      </c>
      <c r="J82" t="s">
        <v>25</v>
      </c>
      <c r="L82"/>
      <c r="M82"/>
      <c r="N82"/>
      <c r="O82"/>
      <c r="P82"/>
      <c r="Q82"/>
      <c r="R82"/>
      <c r="S82"/>
      <c r="T82"/>
      <c r="U82"/>
      <c r="V82"/>
      <c r="W82"/>
      <c r="X82"/>
    </row>
    <row r="83" spans="1:24" ht="14.5" hidden="1">
      <c r="A83" s="184" t="s">
        <v>678</v>
      </c>
      <c r="B83" t="s">
        <v>679</v>
      </c>
      <c r="C83" t="s">
        <v>26</v>
      </c>
      <c r="D83" t="s">
        <v>27</v>
      </c>
      <c r="E83" s="185" t="s">
        <v>25</v>
      </c>
      <c r="F83" s="184">
        <v>1</v>
      </c>
      <c r="G83" t="s">
        <v>546</v>
      </c>
      <c r="H83" t="s">
        <v>546</v>
      </c>
      <c r="I83">
        <v>8</v>
      </c>
      <c r="J83" t="s">
        <v>25</v>
      </c>
      <c r="L83"/>
      <c r="M83"/>
      <c r="N83"/>
      <c r="O83"/>
      <c r="P83"/>
      <c r="Q83"/>
      <c r="R83"/>
      <c r="S83"/>
      <c r="T83"/>
      <c r="U83"/>
      <c r="V83"/>
      <c r="W83"/>
      <c r="X83"/>
    </row>
    <row r="84" spans="1:24" ht="14.5" hidden="1">
      <c r="A84" s="184" t="s">
        <v>260</v>
      </c>
      <c r="B84" t="s">
        <v>261</v>
      </c>
      <c r="C84" t="s">
        <v>33</v>
      </c>
      <c r="D84" t="s">
        <v>30</v>
      </c>
      <c r="E84" s="185" t="s">
        <v>680</v>
      </c>
      <c r="F84" s="184">
        <v>1</v>
      </c>
      <c r="G84" t="s">
        <v>546</v>
      </c>
      <c r="H84" t="s">
        <v>546</v>
      </c>
      <c r="I84">
        <v>8</v>
      </c>
      <c r="J84" t="s">
        <v>25</v>
      </c>
      <c r="L84"/>
      <c r="M84"/>
      <c r="N84"/>
      <c r="O84"/>
      <c r="P84"/>
      <c r="Q84"/>
      <c r="R84"/>
      <c r="S84"/>
      <c r="T84"/>
      <c r="U84"/>
      <c r="V84"/>
      <c r="W84"/>
      <c r="X84"/>
    </row>
    <row r="85" spans="1:24" ht="14.5" hidden="1">
      <c r="A85" s="184" t="s">
        <v>288</v>
      </c>
      <c r="B85" t="s">
        <v>289</v>
      </c>
      <c r="C85" t="s">
        <v>147</v>
      </c>
      <c r="D85" t="s">
        <v>29</v>
      </c>
      <c r="E85" s="185" t="s">
        <v>25</v>
      </c>
      <c r="F85" s="184">
        <v>2</v>
      </c>
      <c r="G85" t="s">
        <v>546</v>
      </c>
      <c r="H85" t="s">
        <v>671</v>
      </c>
      <c r="I85">
        <v>8</v>
      </c>
      <c r="J85" t="s">
        <v>25</v>
      </c>
      <c r="L85"/>
      <c r="M85"/>
      <c r="N85"/>
      <c r="O85"/>
      <c r="P85"/>
      <c r="Q85"/>
      <c r="R85"/>
      <c r="S85"/>
      <c r="T85"/>
      <c r="U85"/>
      <c r="V85"/>
      <c r="W85"/>
      <c r="X85"/>
    </row>
    <row r="86" spans="1:24" ht="29" hidden="1">
      <c r="A86" s="184" t="s">
        <v>136</v>
      </c>
      <c r="B86" t="s">
        <v>137</v>
      </c>
      <c r="C86" t="s">
        <v>298</v>
      </c>
      <c r="D86" t="s">
        <v>30</v>
      </c>
      <c r="E86" s="185" t="s">
        <v>681</v>
      </c>
      <c r="F86" s="184">
        <v>1</v>
      </c>
      <c r="G86" t="s">
        <v>546</v>
      </c>
      <c r="H86" t="s">
        <v>546</v>
      </c>
      <c r="I86">
        <v>8</v>
      </c>
      <c r="J86" t="s">
        <v>25</v>
      </c>
      <c r="L86"/>
      <c r="M86"/>
      <c r="N86"/>
      <c r="O86"/>
      <c r="P86"/>
      <c r="Q86"/>
      <c r="R86"/>
      <c r="S86"/>
      <c r="T86"/>
      <c r="U86"/>
      <c r="V86"/>
      <c r="W86"/>
      <c r="X86"/>
    </row>
    <row r="87" spans="1:24" ht="14.5" hidden="1">
      <c r="A87" s="184" t="s">
        <v>392</v>
      </c>
      <c r="B87" t="s">
        <v>393</v>
      </c>
      <c r="C87" t="s">
        <v>147</v>
      </c>
      <c r="D87" t="s">
        <v>29</v>
      </c>
      <c r="E87" s="185" t="s">
        <v>25</v>
      </c>
      <c r="F87" s="184">
        <v>2</v>
      </c>
      <c r="G87" t="s">
        <v>546</v>
      </c>
      <c r="H87" t="s">
        <v>671</v>
      </c>
      <c r="I87">
        <v>8</v>
      </c>
      <c r="J87" t="s">
        <v>25</v>
      </c>
      <c r="L87"/>
      <c r="M87"/>
      <c r="N87"/>
      <c r="O87"/>
      <c r="P87"/>
      <c r="Q87"/>
      <c r="R87"/>
      <c r="S87"/>
      <c r="T87"/>
      <c r="U87"/>
      <c r="V87"/>
      <c r="W87"/>
      <c r="X87"/>
    </row>
    <row r="88" spans="1:24" ht="14.5" hidden="1">
      <c r="A88" s="184" t="s">
        <v>40</v>
      </c>
      <c r="B88" t="s">
        <v>41</v>
      </c>
      <c r="C88" t="s">
        <v>42</v>
      </c>
      <c r="D88" t="s">
        <v>29</v>
      </c>
      <c r="E88" s="185" t="s">
        <v>682</v>
      </c>
      <c r="F88" s="184">
        <v>0.5</v>
      </c>
      <c r="G88" t="s">
        <v>546</v>
      </c>
      <c r="H88" t="s">
        <v>546</v>
      </c>
      <c r="I88">
        <v>8</v>
      </c>
      <c r="J88" t="s">
        <v>5</v>
      </c>
      <c r="L88"/>
      <c r="M88"/>
      <c r="N88"/>
      <c r="O88"/>
      <c r="P88"/>
      <c r="Q88"/>
      <c r="R88"/>
      <c r="S88"/>
      <c r="T88"/>
      <c r="U88"/>
      <c r="V88"/>
      <c r="W88"/>
      <c r="X88"/>
    </row>
    <row r="89" spans="1:24" ht="14.5" hidden="1">
      <c r="A89" s="184" t="s">
        <v>307</v>
      </c>
      <c r="B89" t="s">
        <v>308</v>
      </c>
      <c r="C89" t="s">
        <v>33</v>
      </c>
      <c r="D89" t="s">
        <v>27</v>
      </c>
      <c r="E89" s="185" t="s">
        <v>25</v>
      </c>
      <c r="F89" s="184">
        <v>0.5</v>
      </c>
      <c r="G89" t="s">
        <v>546</v>
      </c>
      <c r="H89" t="s">
        <v>546</v>
      </c>
      <c r="I89">
        <v>8</v>
      </c>
      <c r="J89" t="s">
        <v>5</v>
      </c>
      <c r="L89"/>
      <c r="M89"/>
      <c r="N89"/>
      <c r="O89"/>
      <c r="P89"/>
      <c r="Q89"/>
      <c r="R89"/>
      <c r="S89"/>
      <c r="T89"/>
      <c r="U89"/>
      <c r="V89"/>
      <c r="W89"/>
      <c r="X89"/>
    </row>
    <row r="90" spans="1:24" ht="14.5" hidden="1">
      <c r="A90" s="184" t="s">
        <v>474</v>
      </c>
      <c r="B90" t="s">
        <v>475</v>
      </c>
      <c r="C90" t="s">
        <v>149</v>
      </c>
      <c r="D90" t="s">
        <v>27</v>
      </c>
      <c r="E90" s="185" t="s">
        <v>25</v>
      </c>
      <c r="F90" s="184">
        <v>0.5</v>
      </c>
      <c r="G90" t="s">
        <v>546</v>
      </c>
      <c r="H90" t="s">
        <v>546</v>
      </c>
      <c r="I90">
        <v>8</v>
      </c>
      <c r="J90" t="s">
        <v>1</v>
      </c>
      <c r="L90"/>
      <c r="M90"/>
      <c r="N90"/>
      <c r="O90"/>
      <c r="P90"/>
      <c r="Q90"/>
      <c r="R90"/>
      <c r="S90"/>
      <c r="T90"/>
      <c r="U90"/>
      <c r="V90"/>
      <c r="W90"/>
      <c r="X90"/>
    </row>
    <row r="91" spans="1:24" ht="14.5" hidden="1">
      <c r="A91" s="184" t="s">
        <v>438</v>
      </c>
      <c r="B91" t="s">
        <v>439</v>
      </c>
      <c r="C91" t="s">
        <v>149</v>
      </c>
      <c r="D91" t="s">
        <v>306</v>
      </c>
      <c r="E91" s="185" t="s">
        <v>25</v>
      </c>
      <c r="F91" s="184">
        <v>6</v>
      </c>
      <c r="G91" t="s">
        <v>546</v>
      </c>
      <c r="H91" t="s">
        <v>683</v>
      </c>
      <c r="I91">
        <v>8</v>
      </c>
      <c r="J91" t="s">
        <v>25</v>
      </c>
      <c r="L91"/>
      <c r="M91"/>
      <c r="N91"/>
      <c r="O91"/>
      <c r="P91"/>
      <c r="Q91"/>
      <c r="R91"/>
      <c r="S91"/>
      <c r="T91"/>
      <c r="U91"/>
      <c r="V91"/>
      <c r="W91"/>
      <c r="X91"/>
    </row>
    <row r="92" spans="1:24" ht="14.5" hidden="1">
      <c r="A92" s="184" t="s">
        <v>625</v>
      </c>
      <c r="B92" t="s">
        <v>626</v>
      </c>
      <c r="C92" t="s">
        <v>39</v>
      </c>
      <c r="D92" t="s">
        <v>30</v>
      </c>
      <c r="E92" s="185" t="s">
        <v>25</v>
      </c>
      <c r="F92" s="184">
        <v>1</v>
      </c>
      <c r="G92" t="s">
        <v>546</v>
      </c>
      <c r="H92" t="s">
        <v>546</v>
      </c>
      <c r="I92">
        <v>8</v>
      </c>
      <c r="J92" t="s">
        <v>25</v>
      </c>
      <c r="L92"/>
      <c r="M92"/>
      <c r="N92"/>
      <c r="O92"/>
      <c r="P92"/>
      <c r="Q92"/>
      <c r="R92"/>
      <c r="S92"/>
      <c r="T92"/>
      <c r="U92"/>
      <c r="V92"/>
      <c r="W92"/>
      <c r="X92"/>
    </row>
    <row r="93" spans="1:24" ht="14.5" hidden="1">
      <c r="A93" s="184" t="s">
        <v>621</v>
      </c>
      <c r="B93" t="s">
        <v>622</v>
      </c>
      <c r="C93" t="s">
        <v>149</v>
      </c>
      <c r="D93" t="s">
        <v>36</v>
      </c>
      <c r="E93" s="185" t="s">
        <v>25</v>
      </c>
      <c r="F93" s="184">
        <v>0.5</v>
      </c>
      <c r="G93" t="s">
        <v>546</v>
      </c>
      <c r="H93" t="s">
        <v>546</v>
      </c>
      <c r="I93">
        <v>8</v>
      </c>
      <c r="J93" t="s">
        <v>1</v>
      </c>
      <c r="L93"/>
      <c r="M93"/>
      <c r="N93"/>
      <c r="O93"/>
      <c r="P93"/>
      <c r="Q93"/>
      <c r="R93"/>
      <c r="S93"/>
      <c r="T93"/>
      <c r="U93"/>
      <c r="V93"/>
      <c r="W93"/>
      <c r="X93"/>
    </row>
    <row r="94" spans="1:24" ht="14.5" hidden="1">
      <c r="A94" s="184" t="s">
        <v>341</v>
      </c>
      <c r="B94" t="s">
        <v>342</v>
      </c>
      <c r="C94" t="s">
        <v>26</v>
      </c>
      <c r="D94" t="s">
        <v>36</v>
      </c>
      <c r="E94" s="185" t="s">
        <v>25</v>
      </c>
      <c r="F94" s="184">
        <v>10</v>
      </c>
      <c r="G94" t="s">
        <v>546</v>
      </c>
      <c r="H94" t="s">
        <v>597</v>
      </c>
      <c r="I94">
        <v>8</v>
      </c>
      <c r="J94" t="s">
        <v>25</v>
      </c>
      <c r="L94"/>
      <c r="M94"/>
      <c r="N94"/>
      <c r="O94"/>
      <c r="P94"/>
      <c r="Q94"/>
      <c r="R94"/>
      <c r="S94"/>
      <c r="T94"/>
      <c r="U94"/>
      <c r="V94"/>
      <c r="W94"/>
      <c r="X94"/>
    </row>
    <row r="95" spans="1:24" ht="14.5" hidden="1">
      <c r="A95" s="184" t="s">
        <v>341</v>
      </c>
      <c r="B95" t="s">
        <v>342</v>
      </c>
      <c r="C95" t="s">
        <v>26</v>
      </c>
      <c r="D95" t="s">
        <v>27</v>
      </c>
      <c r="E95" s="185" t="s">
        <v>25</v>
      </c>
      <c r="F95" s="184">
        <v>1</v>
      </c>
      <c r="G95" t="s">
        <v>684</v>
      </c>
      <c r="H95" t="s">
        <v>684</v>
      </c>
      <c r="I95">
        <v>8</v>
      </c>
      <c r="J95" t="s">
        <v>25</v>
      </c>
      <c r="L95"/>
      <c r="M95"/>
      <c r="N95"/>
      <c r="O95"/>
      <c r="P95"/>
      <c r="Q95"/>
      <c r="R95"/>
      <c r="S95"/>
      <c r="T95"/>
      <c r="U95"/>
      <c r="V95"/>
      <c r="W95"/>
      <c r="X95"/>
    </row>
    <row r="96" spans="1:24" ht="14.5" hidden="1">
      <c r="A96" s="184" t="s">
        <v>303</v>
      </c>
      <c r="B96" t="s">
        <v>304</v>
      </c>
      <c r="C96" t="s">
        <v>147</v>
      </c>
      <c r="D96" t="s">
        <v>36</v>
      </c>
      <c r="E96" s="185" t="s">
        <v>25</v>
      </c>
      <c r="F96" s="184">
        <v>1</v>
      </c>
      <c r="G96" t="s">
        <v>684</v>
      </c>
      <c r="H96" t="s">
        <v>684</v>
      </c>
      <c r="I96">
        <v>8</v>
      </c>
      <c r="J96" t="s">
        <v>25</v>
      </c>
      <c r="L96"/>
      <c r="M96"/>
      <c r="N96"/>
      <c r="O96"/>
      <c r="P96"/>
      <c r="Q96"/>
      <c r="R96"/>
      <c r="S96"/>
      <c r="T96"/>
      <c r="U96"/>
      <c r="V96"/>
      <c r="W96"/>
      <c r="X96"/>
    </row>
    <row r="97" spans="1:24" ht="14.5" hidden="1">
      <c r="A97" s="184" t="s">
        <v>330</v>
      </c>
      <c r="B97" t="s">
        <v>331</v>
      </c>
      <c r="C97" t="s">
        <v>248</v>
      </c>
      <c r="D97" t="s">
        <v>30</v>
      </c>
      <c r="E97" s="185" t="s">
        <v>25</v>
      </c>
      <c r="F97" s="184">
        <v>0.5</v>
      </c>
      <c r="G97" t="s">
        <v>684</v>
      </c>
      <c r="H97" t="s">
        <v>684</v>
      </c>
      <c r="I97">
        <v>8</v>
      </c>
      <c r="J97" t="s">
        <v>1</v>
      </c>
      <c r="L97"/>
      <c r="M97"/>
      <c r="N97"/>
      <c r="O97"/>
      <c r="P97"/>
      <c r="Q97"/>
      <c r="R97"/>
      <c r="S97"/>
      <c r="T97"/>
      <c r="U97"/>
      <c r="V97"/>
      <c r="W97"/>
      <c r="X97"/>
    </row>
    <row r="98" spans="1:24" ht="14.5" hidden="1">
      <c r="A98" s="184" t="s">
        <v>685</v>
      </c>
      <c r="B98" t="s">
        <v>686</v>
      </c>
      <c r="C98" t="s">
        <v>149</v>
      </c>
      <c r="D98" t="s">
        <v>30</v>
      </c>
      <c r="E98" s="185" t="s">
        <v>25</v>
      </c>
      <c r="F98" s="184">
        <v>0.5</v>
      </c>
      <c r="G98" t="s">
        <v>684</v>
      </c>
      <c r="H98" t="s">
        <v>684</v>
      </c>
      <c r="I98">
        <v>8</v>
      </c>
      <c r="J98" t="s">
        <v>5</v>
      </c>
      <c r="L98"/>
      <c r="M98"/>
      <c r="N98"/>
      <c r="O98"/>
      <c r="P98"/>
      <c r="Q98"/>
      <c r="R98"/>
      <c r="S98"/>
      <c r="T98"/>
      <c r="U98"/>
      <c r="V98"/>
      <c r="W98"/>
      <c r="X98"/>
    </row>
    <row r="99" spans="1:24" ht="14.5" hidden="1">
      <c r="A99" s="184" t="s">
        <v>136</v>
      </c>
      <c r="B99" t="s">
        <v>137</v>
      </c>
      <c r="C99" t="s">
        <v>298</v>
      </c>
      <c r="D99" t="s">
        <v>30</v>
      </c>
      <c r="E99" s="185" t="s">
        <v>687</v>
      </c>
      <c r="F99" s="184">
        <v>1</v>
      </c>
      <c r="G99" t="s">
        <v>684</v>
      </c>
      <c r="H99" t="s">
        <v>684</v>
      </c>
      <c r="I99">
        <v>8</v>
      </c>
      <c r="J99" t="s">
        <v>25</v>
      </c>
      <c r="L99"/>
      <c r="M99"/>
      <c r="N99"/>
      <c r="O99"/>
      <c r="P99"/>
      <c r="Q99"/>
      <c r="R99"/>
      <c r="S99"/>
      <c r="T99"/>
      <c r="U99"/>
      <c r="V99"/>
      <c r="W99"/>
      <c r="X99"/>
    </row>
    <row r="100" spans="1:24" ht="14.5" hidden="1">
      <c r="A100" s="184" t="s">
        <v>325</v>
      </c>
      <c r="B100" t="s">
        <v>326</v>
      </c>
      <c r="C100" t="s">
        <v>135</v>
      </c>
      <c r="D100" t="s">
        <v>30</v>
      </c>
      <c r="E100" s="185" t="s">
        <v>25</v>
      </c>
      <c r="F100" s="184">
        <v>1</v>
      </c>
      <c r="G100" t="s">
        <v>684</v>
      </c>
      <c r="H100" t="s">
        <v>684</v>
      </c>
      <c r="I100">
        <v>8</v>
      </c>
      <c r="J100" t="s">
        <v>25</v>
      </c>
      <c r="L100"/>
      <c r="M100"/>
      <c r="N100"/>
      <c r="O100"/>
      <c r="P100"/>
      <c r="Q100"/>
      <c r="R100"/>
      <c r="S100"/>
      <c r="T100"/>
      <c r="U100"/>
      <c r="V100"/>
      <c r="W100"/>
      <c r="X100"/>
    </row>
    <row r="101" spans="1:24" ht="14.5" hidden="1">
      <c r="A101" s="184" t="s">
        <v>299</v>
      </c>
      <c r="B101" t="s">
        <v>300</v>
      </c>
      <c r="C101" t="s">
        <v>34</v>
      </c>
      <c r="D101" t="s">
        <v>30</v>
      </c>
      <c r="E101" s="185" t="s">
        <v>25</v>
      </c>
      <c r="F101" s="184">
        <v>0.5</v>
      </c>
      <c r="G101" t="s">
        <v>684</v>
      </c>
      <c r="H101" t="s">
        <v>684</v>
      </c>
      <c r="I101">
        <v>8</v>
      </c>
      <c r="J101" t="s">
        <v>5</v>
      </c>
      <c r="L101"/>
      <c r="M101"/>
      <c r="N101"/>
      <c r="O101"/>
      <c r="P101"/>
      <c r="Q101"/>
      <c r="R101"/>
      <c r="S101"/>
      <c r="T101"/>
      <c r="U101"/>
      <c r="V101"/>
      <c r="W101"/>
      <c r="X101"/>
    </row>
    <row r="102" spans="1:24" ht="14.5" hidden="1">
      <c r="A102" s="184" t="s">
        <v>473</v>
      </c>
      <c r="B102" t="s">
        <v>378</v>
      </c>
      <c r="C102" t="s">
        <v>431</v>
      </c>
      <c r="D102" t="s">
        <v>30</v>
      </c>
      <c r="E102" s="185" t="s">
        <v>25</v>
      </c>
      <c r="F102" s="184">
        <v>1</v>
      </c>
      <c r="G102" t="s">
        <v>684</v>
      </c>
      <c r="H102" t="s">
        <v>684</v>
      </c>
      <c r="I102">
        <v>8</v>
      </c>
      <c r="J102" t="s">
        <v>25</v>
      </c>
      <c r="L102"/>
      <c r="M102"/>
      <c r="N102"/>
      <c r="O102"/>
      <c r="P102"/>
      <c r="Q102"/>
      <c r="R102"/>
      <c r="S102"/>
      <c r="T102"/>
      <c r="U102"/>
      <c r="V102"/>
      <c r="W102"/>
      <c r="X102"/>
    </row>
    <row r="103" spans="1:24" ht="14.5" hidden="1">
      <c r="A103" s="184" t="s">
        <v>453</v>
      </c>
      <c r="B103" t="s">
        <v>454</v>
      </c>
      <c r="C103" t="s">
        <v>149</v>
      </c>
      <c r="D103" t="s">
        <v>27</v>
      </c>
      <c r="E103" s="185" t="s">
        <v>25</v>
      </c>
      <c r="F103" s="184">
        <v>1</v>
      </c>
      <c r="G103" t="s">
        <v>684</v>
      </c>
      <c r="H103" t="s">
        <v>684</v>
      </c>
      <c r="I103">
        <v>8</v>
      </c>
      <c r="J103" t="s">
        <v>25</v>
      </c>
      <c r="L103"/>
      <c r="M103"/>
      <c r="N103"/>
      <c r="O103"/>
      <c r="P103"/>
      <c r="Q103"/>
      <c r="R103"/>
      <c r="S103"/>
      <c r="T103"/>
      <c r="U103"/>
      <c r="V103"/>
      <c r="W103"/>
      <c r="X103"/>
    </row>
    <row r="104" spans="1:24" ht="14.5" hidden="1">
      <c r="A104" s="184" t="s">
        <v>595</v>
      </c>
      <c r="B104" t="s">
        <v>596</v>
      </c>
      <c r="C104" t="s">
        <v>135</v>
      </c>
      <c r="D104" t="s">
        <v>30</v>
      </c>
      <c r="E104" s="185" t="s">
        <v>25</v>
      </c>
      <c r="F104" s="184">
        <v>1</v>
      </c>
      <c r="G104" t="s">
        <v>688</v>
      </c>
      <c r="H104" t="s">
        <v>688</v>
      </c>
      <c r="I104">
        <v>8</v>
      </c>
      <c r="J104" t="s">
        <v>1</v>
      </c>
      <c r="L104"/>
      <c r="M104"/>
      <c r="N104"/>
      <c r="O104"/>
      <c r="P104"/>
      <c r="Q104"/>
      <c r="R104"/>
      <c r="S104"/>
      <c r="T104"/>
      <c r="U104"/>
      <c r="V104"/>
      <c r="W104"/>
      <c r="X104"/>
    </row>
    <row r="105" spans="1:24" ht="14.5" hidden="1">
      <c r="A105" s="184" t="s">
        <v>689</v>
      </c>
      <c r="B105" t="s">
        <v>570</v>
      </c>
      <c r="C105" t="s">
        <v>247</v>
      </c>
      <c r="D105" t="s">
        <v>27</v>
      </c>
      <c r="E105" s="185" t="s">
        <v>690</v>
      </c>
      <c r="F105" s="184">
        <v>0.5</v>
      </c>
      <c r="G105" t="s">
        <v>688</v>
      </c>
      <c r="H105" t="s">
        <v>688</v>
      </c>
      <c r="I105">
        <v>8</v>
      </c>
      <c r="J105" t="s">
        <v>1</v>
      </c>
      <c r="L105"/>
      <c r="M105"/>
      <c r="N105"/>
      <c r="O105"/>
      <c r="P105"/>
      <c r="Q105"/>
      <c r="R105"/>
      <c r="S105"/>
      <c r="T105"/>
      <c r="U105"/>
      <c r="V105"/>
      <c r="W105"/>
      <c r="X105"/>
    </row>
    <row r="106" spans="1:24" ht="14.5" hidden="1">
      <c r="A106" s="184" t="s">
        <v>691</v>
      </c>
      <c r="B106" t="s">
        <v>692</v>
      </c>
      <c r="C106" t="s">
        <v>148</v>
      </c>
      <c r="D106" t="s">
        <v>27</v>
      </c>
      <c r="E106" s="185" t="s">
        <v>25</v>
      </c>
      <c r="F106" s="184">
        <v>1</v>
      </c>
      <c r="G106" t="s">
        <v>688</v>
      </c>
      <c r="H106" t="s">
        <v>688</v>
      </c>
      <c r="I106">
        <v>8</v>
      </c>
      <c r="J106" t="s">
        <v>25</v>
      </c>
      <c r="L106"/>
      <c r="M106"/>
      <c r="N106"/>
      <c r="O106"/>
      <c r="P106"/>
      <c r="Q106"/>
      <c r="R106"/>
      <c r="S106"/>
      <c r="T106"/>
      <c r="U106"/>
      <c r="V106"/>
      <c r="W106"/>
      <c r="X106"/>
    </row>
    <row r="107" spans="1:24" ht="14.5" hidden="1">
      <c r="A107" s="184" t="s">
        <v>455</v>
      </c>
      <c r="B107" t="s">
        <v>456</v>
      </c>
      <c r="C107" t="s">
        <v>149</v>
      </c>
      <c r="D107" t="s">
        <v>27</v>
      </c>
      <c r="E107" s="185" t="s">
        <v>25</v>
      </c>
      <c r="F107" s="184">
        <v>0.5</v>
      </c>
      <c r="G107" t="s">
        <v>688</v>
      </c>
      <c r="H107" t="s">
        <v>688</v>
      </c>
      <c r="I107">
        <v>8</v>
      </c>
      <c r="J107" t="s">
        <v>1</v>
      </c>
      <c r="L107"/>
      <c r="M107"/>
      <c r="N107"/>
      <c r="O107"/>
      <c r="P107"/>
      <c r="Q107"/>
      <c r="R107"/>
      <c r="S107"/>
      <c r="T107"/>
      <c r="U107"/>
      <c r="V107"/>
      <c r="W107"/>
      <c r="X107"/>
    </row>
    <row r="108" spans="1:24" ht="14.5" hidden="1">
      <c r="A108" s="184" t="s">
        <v>595</v>
      </c>
      <c r="B108" t="s">
        <v>596</v>
      </c>
      <c r="C108" t="s">
        <v>135</v>
      </c>
      <c r="D108" t="s">
        <v>30</v>
      </c>
      <c r="E108" s="185" t="s">
        <v>25</v>
      </c>
      <c r="F108" s="184">
        <v>1</v>
      </c>
      <c r="G108" t="s">
        <v>688</v>
      </c>
      <c r="H108" t="s">
        <v>688</v>
      </c>
      <c r="I108">
        <v>8</v>
      </c>
      <c r="J108" t="s">
        <v>5</v>
      </c>
      <c r="L108"/>
      <c r="M108"/>
      <c r="N108"/>
      <c r="O108"/>
      <c r="P108"/>
      <c r="Q108"/>
      <c r="R108"/>
      <c r="S108"/>
      <c r="T108"/>
      <c r="U108"/>
      <c r="V108"/>
      <c r="W108"/>
      <c r="X108"/>
    </row>
    <row r="109" spans="1:24" ht="14.5" hidden="1">
      <c r="A109" s="184" t="s">
        <v>650</v>
      </c>
      <c r="B109" t="s">
        <v>576</v>
      </c>
      <c r="C109" t="s">
        <v>431</v>
      </c>
      <c r="D109" t="s">
        <v>153</v>
      </c>
      <c r="E109" s="185" t="s">
        <v>693</v>
      </c>
      <c r="F109" s="184">
        <v>1</v>
      </c>
      <c r="G109" t="s">
        <v>688</v>
      </c>
      <c r="H109" t="s">
        <v>688</v>
      </c>
      <c r="I109">
        <v>8</v>
      </c>
      <c r="J109" t="s">
        <v>25</v>
      </c>
      <c r="L109"/>
      <c r="M109"/>
      <c r="N109"/>
      <c r="O109"/>
      <c r="P109"/>
      <c r="Q109"/>
      <c r="R109"/>
      <c r="S109"/>
      <c r="T109"/>
      <c r="U109"/>
      <c r="V109"/>
      <c r="W109"/>
      <c r="X109"/>
    </row>
    <row r="110" spans="1:24" ht="14.5" hidden="1">
      <c r="A110" s="184" t="s">
        <v>381</v>
      </c>
      <c r="B110" t="s">
        <v>382</v>
      </c>
      <c r="C110" t="s">
        <v>28</v>
      </c>
      <c r="D110" t="s">
        <v>27</v>
      </c>
      <c r="E110" s="185" t="s">
        <v>25</v>
      </c>
      <c r="F110" s="184">
        <v>1</v>
      </c>
      <c r="G110" t="s">
        <v>688</v>
      </c>
      <c r="H110" t="s">
        <v>688</v>
      </c>
      <c r="I110">
        <v>8</v>
      </c>
      <c r="J110" t="s">
        <v>25</v>
      </c>
      <c r="L110"/>
      <c r="M110"/>
      <c r="N110"/>
      <c r="O110"/>
      <c r="P110"/>
      <c r="Q110"/>
      <c r="R110"/>
      <c r="S110"/>
      <c r="T110"/>
      <c r="U110"/>
      <c r="V110"/>
      <c r="W110"/>
      <c r="X110"/>
    </row>
    <row r="111" spans="1:24" ht="14.5" hidden="1">
      <c r="A111" s="184" t="s">
        <v>330</v>
      </c>
      <c r="B111" t="s">
        <v>331</v>
      </c>
      <c r="C111" t="s">
        <v>248</v>
      </c>
      <c r="D111" t="s">
        <v>30</v>
      </c>
      <c r="E111" s="185" t="s">
        <v>694</v>
      </c>
      <c r="F111" s="184">
        <v>1</v>
      </c>
      <c r="G111" t="s">
        <v>688</v>
      </c>
      <c r="H111" t="s">
        <v>688</v>
      </c>
      <c r="I111">
        <v>8</v>
      </c>
      <c r="J111" t="s">
        <v>25</v>
      </c>
      <c r="L111"/>
      <c r="M111"/>
      <c r="N111"/>
      <c r="O111"/>
      <c r="P111"/>
      <c r="Q111"/>
      <c r="R111"/>
      <c r="S111"/>
      <c r="T111"/>
      <c r="U111"/>
      <c r="V111"/>
      <c r="W111"/>
      <c r="X111"/>
    </row>
    <row r="112" spans="1:24" ht="14.5" hidden="1">
      <c r="A112" s="184" t="s">
        <v>392</v>
      </c>
      <c r="B112" t="s">
        <v>393</v>
      </c>
      <c r="C112" t="s">
        <v>147</v>
      </c>
      <c r="D112" t="s">
        <v>30</v>
      </c>
      <c r="E112" s="185" t="s">
        <v>25</v>
      </c>
      <c r="F112" s="184">
        <v>0.5</v>
      </c>
      <c r="G112" t="s">
        <v>688</v>
      </c>
      <c r="H112" t="s">
        <v>688</v>
      </c>
      <c r="I112">
        <v>8</v>
      </c>
      <c r="J112" t="s">
        <v>5</v>
      </c>
      <c r="L112"/>
      <c r="M112"/>
      <c r="N112"/>
      <c r="O112"/>
      <c r="P112"/>
      <c r="Q112"/>
      <c r="R112"/>
      <c r="S112"/>
      <c r="T112"/>
      <c r="U112"/>
      <c r="V112"/>
      <c r="W112"/>
      <c r="X112"/>
    </row>
    <row r="113" spans="1:24" ht="14.5" hidden="1">
      <c r="A113" s="184" t="s">
        <v>151</v>
      </c>
      <c r="B113" t="s">
        <v>152</v>
      </c>
      <c r="C113" t="s">
        <v>147</v>
      </c>
      <c r="D113" t="s">
        <v>27</v>
      </c>
      <c r="E113" s="185" t="s">
        <v>150</v>
      </c>
      <c r="F113" s="184">
        <v>0.5</v>
      </c>
      <c r="G113" t="s">
        <v>688</v>
      </c>
      <c r="H113" t="s">
        <v>688</v>
      </c>
      <c r="I113">
        <v>8</v>
      </c>
      <c r="J113" t="s">
        <v>1</v>
      </c>
      <c r="L113"/>
      <c r="M113"/>
      <c r="N113"/>
      <c r="O113"/>
      <c r="P113"/>
      <c r="Q113"/>
      <c r="R113"/>
      <c r="S113"/>
      <c r="T113"/>
      <c r="U113"/>
      <c r="V113"/>
      <c r="W113"/>
      <c r="X113"/>
    </row>
    <row r="114" spans="1:24" ht="14.5" hidden="1">
      <c r="A114" s="184" t="s">
        <v>421</v>
      </c>
      <c r="B114" t="s">
        <v>422</v>
      </c>
      <c r="C114" t="s">
        <v>149</v>
      </c>
      <c r="D114" t="s">
        <v>30</v>
      </c>
      <c r="E114" s="185" t="s">
        <v>25</v>
      </c>
      <c r="F114" s="184">
        <v>1</v>
      </c>
      <c r="G114" t="s">
        <v>549</v>
      </c>
      <c r="H114" t="s">
        <v>549</v>
      </c>
      <c r="I114">
        <v>8</v>
      </c>
      <c r="J114" t="s">
        <v>25</v>
      </c>
      <c r="L114"/>
      <c r="M114"/>
      <c r="N114"/>
      <c r="O114"/>
      <c r="P114"/>
      <c r="Q114"/>
      <c r="R114"/>
      <c r="S114"/>
      <c r="T114"/>
      <c r="U114"/>
      <c r="V114"/>
      <c r="W114"/>
      <c r="X114"/>
    </row>
    <row r="115" spans="1:24" ht="14.5" hidden="1">
      <c r="A115" s="184" t="s">
        <v>383</v>
      </c>
      <c r="B115" t="s">
        <v>384</v>
      </c>
      <c r="C115" t="s">
        <v>28</v>
      </c>
      <c r="D115" t="s">
        <v>27</v>
      </c>
      <c r="E115" s="185" t="s">
        <v>25</v>
      </c>
      <c r="F115" s="184">
        <v>1</v>
      </c>
      <c r="G115" t="s">
        <v>549</v>
      </c>
      <c r="H115" t="s">
        <v>549</v>
      </c>
      <c r="I115">
        <v>8</v>
      </c>
      <c r="J115" t="s">
        <v>25</v>
      </c>
      <c r="L115"/>
      <c r="M115"/>
      <c r="N115"/>
      <c r="O115"/>
      <c r="P115"/>
      <c r="Q115"/>
      <c r="R115"/>
      <c r="S115"/>
      <c r="T115"/>
      <c r="U115"/>
      <c r="V115"/>
      <c r="W115"/>
      <c r="X115"/>
    </row>
    <row r="116" spans="1:24" ht="14.5" hidden="1">
      <c r="A116" s="184" t="s">
        <v>303</v>
      </c>
      <c r="B116" t="s">
        <v>304</v>
      </c>
      <c r="C116" t="s">
        <v>147</v>
      </c>
      <c r="D116" t="s">
        <v>30</v>
      </c>
      <c r="E116" s="185" t="s">
        <v>25</v>
      </c>
      <c r="F116" s="184">
        <v>0.5</v>
      </c>
      <c r="G116" t="s">
        <v>549</v>
      </c>
      <c r="H116" t="s">
        <v>549</v>
      </c>
      <c r="I116">
        <v>8</v>
      </c>
      <c r="J116" t="s">
        <v>1</v>
      </c>
      <c r="L116"/>
      <c r="M116"/>
      <c r="N116"/>
      <c r="O116"/>
      <c r="P116"/>
      <c r="Q116"/>
      <c r="R116"/>
      <c r="S116"/>
      <c r="T116"/>
      <c r="U116"/>
      <c r="V116"/>
      <c r="W116"/>
      <c r="X116"/>
    </row>
    <row r="117" spans="1:24" ht="14.5" hidden="1">
      <c r="A117" s="184" t="s">
        <v>31</v>
      </c>
      <c r="B117" t="s">
        <v>32</v>
      </c>
      <c r="C117" t="s">
        <v>33</v>
      </c>
      <c r="D117" t="s">
        <v>30</v>
      </c>
      <c r="E117" s="185" t="s">
        <v>25</v>
      </c>
      <c r="F117" s="184">
        <v>0.5</v>
      </c>
      <c r="G117" t="s">
        <v>549</v>
      </c>
      <c r="H117" t="s">
        <v>549</v>
      </c>
      <c r="I117">
        <v>8</v>
      </c>
      <c r="J117" t="s">
        <v>5</v>
      </c>
      <c r="L117"/>
      <c r="M117"/>
      <c r="N117"/>
      <c r="O117"/>
      <c r="P117"/>
      <c r="Q117"/>
      <c r="R117"/>
      <c r="S117"/>
      <c r="T117"/>
      <c r="U117"/>
      <c r="V117"/>
      <c r="W117"/>
      <c r="X117"/>
    </row>
    <row r="118" spans="1:24" ht="14.5" hidden="1">
      <c r="A118" s="184" t="s">
        <v>639</v>
      </c>
      <c r="B118" t="s">
        <v>640</v>
      </c>
      <c r="C118" t="s">
        <v>249</v>
      </c>
      <c r="D118" t="s">
        <v>30</v>
      </c>
      <c r="E118" s="185" t="s">
        <v>665</v>
      </c>
      <c r="F118" s="184">
        <v>6</v>
      </c>
      <c r="G118" t="s">
        <v>549</v>
      </c>
      <c r="H118" t="s">
        <v>668</v>
      </c>
      <c r="I118">
        <v>8</v>
      </c>
      <c r="J118" t="s">
        <v>25</v>
      </c>
      <c r="L118"/>
      <c r="M118"/>
      <c r="N118"/>
      <c r="O118"/>
      <c r="P118"/>
      <c r="Q118"/>
      <c r="R118"/>
      <c r="S118"/>
      <c r="T118"/>
      <c r="U118"/>
      <c r="V118"/>
      <c r="W118"/>
      <c r="X118"/>
    </row>
    <row r="119" spans="1:24" ht="14.5" hidden="1">
      <c r="A119" s="184" t="s">
        <v>595</v>
      </c>
      <c r="B119" t="s">
        <v>596</v>
      </c>
      <c r="C119" t="s">
        <v>135</v>
      </c>
      <c r="D119" t="s">
        <v>30</v>
      </c>
      <c r="E119" s="185" t="s">
        <v>25</v>
      </c>
      <c r="F119" s="184">
        <v>0.5</v>
      </c>
      <c r="G119" t="s">
        <v>695</v>
      </c>
      <c r="H119" t="s">
        <v>695</v>
      </c>
      <c r="I119">
        <v>8</v>
      </c>
      <c r="J119" t="s">
        <v>5</v>
      </c>
      <c r="L119"/>
      <c r="M119"/>
      <c r="N119"/>
      <c r="O119"/>
      <c r="P119"/>
      <c r="Q119"/>
      <c r="R119"/>
      <c r="S119"/>
      <c r="T119"/>
      <c r="U119"/>
      <c r="V119"/>
      <c r="W119"/>
      <c r="X119"/>
    </row>
    <row r="120" spans="1:24" ht="14.5" hidden="1">
      <c r="A120" s="184" t="s">
        <v>600</v>
      </c>
      <c r="B120" t="s">
        <v>601</v>
      </c>
      <c r="C120" t="s">
        <v>135</v>
      </c>
      <c r="D120" t="s">
        <v>30</v>
      </c>
      <c r="E120" s="185" t="s">
        <v>25</v>
      </c>
      <c r="F120" s="184">
        <v>0.5</v>
      </c>
      <c r="G120" t="s">
        <v>695</v>
      </c>
      <c r="H120" t="s">
        <v>695</v>
      </c>
      <c r="I120">
        <v>8</v>
      </c>
      <c r="J120" t="s">
        <v>5</v>
      </c>
      <c r="L120"/>
      <c r="M120"/>
      <c r="N120"/>
      <c r="O120"/>
      <c r="P120"/>
      <c r="Q120"/>
      <c r="R120"/>
      <c r="S120"/>
      <c r="T120"/>
      <c r="U120"/>
      <c r="V120"/>
      <c r="W120"/>
      <c r="X120"/>
    </row>
    <row r="121" spans="1:24" ht="29" hidden="1">
      <c r="A121" s="184" t="s">
        <v>696</v>
      </c>
      <c r="B121" t="s">
        <v>567</v>
      </c>
      <c r="C121" t="s">
        <v>247</v>
      </c>
      <c r="D121" t="s">
        <v>24</v>
      </c>
      <c r="E121" s="185" t="s">
        <v>697</v>
      </c>
      <c r="F121" s="184">
        <v>0.5</v>
      </c>
      <c r="G121" t="s">
        <v>563</v>
      </c>
      <c r="H121" t="s">
        <v>563</v>
      </c>
      <c r="I121">
        <v>8</v>
      </c>
      <c r="J121" t="s">
        <v>1</v>
      </c>
      <c r="L121"/>
      <c r="M121"/>
      <c r="N121"/>
      <c r="O121"/>
      <c r="P121"/>
      <c r="Q121"/>
      <c r="R121"/>
      <c r="S121"/>
      <c r="T121"/>
      <c r="U121"/>
      <c r="V121"/>
      <c r="W121"/>
      <c r="X121"/>
    </row>
    <row r="122" spans="1:24" ht="14.5" hidden="1">
      <c r="A122" s="184" t="s">
        <v>330</v>
      </c>
      <c r="B122" t="s">
        <v>331</v>
      </c>
      <c r="C122" t="s">
        <v>248</v>
      </c>
      <c r="D122" t="s">
        <v>29</v>
      </c>
      <c r="E122" s="185" t="s">
        <v>698</v>
      </c>
      <c r="F122" s="184">
        <v>1</v>
      </c>
      <c r="G122" t="s">
        <v>563</v>
      </c>
      <c r="H122" t="s">
        <v>563</v>
      </c>
      <c r="I122">
        <v>8</v>
      </c>
      <c r="J122" t="s">
        <v>25</v>
      </c>
      <c r="L122"/>
      <c r="M122"/>
      <c r="N122"/>
      <c r="O122"/>
      <c r="P122"/>
      <c r="Q122"/>
      <c r="R122"/>
      <c r="S122"/>
      <c r="T122"/>
      <c r="U122"/>
      <c r="V122"/>
      <c r="W122"/>
      <c r="X122"/>
    </row>
    <row r="123" spans="1:24" ht="14.5" hidden="1">
      <c r="A123" s="184" t="s">
        <v>595</v>
      </c>
      <c r="B123" t="s">
        <v>596</v>
      </c>
      <c r="C123" t="s">
        <v>135</v>
      </c>
      <c r="D123" t="s">
        <v>30</v>
      </c>
      <c r="E123" s="185" t="s">
        <v>25</v>
      </c>
      <c r="F123" s="184">
        <v>0.5</v>
      </c>
      <c r="G123" t="s">
        <v>563</v>
      </c>
      <c r="H123" t="s">
        <v>563</v>
      </c>
      <c r="I123">
        <v>8</v>
      </c>
      <c r="J123" t="s">
        <v>1</v>
      </c>
      <c r="L123"/>
      <c r="M123"/>
      <c r="N123"/>
      <c r="O123"/>
      <c r="P123"/>
      <c r="Q123"/>
      <c r="R123"/>
      <c r="S123"/>
      <c r="T123"/>
      <c r="U123"/>
      <c r="V123"/>
      <c r="W123"/>
      <c r="X123"/>
    </row>
    <row r="124" spans="1:24" ht="14.5" hidden="1">
      <c r="A124" s="184" t="s">
        <v>699</v>
      </c>
      <c r="B124" t="s">
        <v>564</v>
      </c>
      <c r="C124" t="s">
        <v>148</v>
      </c>
      <c r="D124" t="s">
        <v>36</v>
      </c>
      <c r="E124" s="185" t="s">
        <v>700</v>
      </c>
      <c r="F124" s="184">
        <v>1</v>
      </c>
      <c r="G124" t="s">
        <v>563</v>
      </c>
      <c r="H124" t="s">
        <v>563</v>
      </c>
      <c r="I124">
        <v>8</v>
      </c>
      <c r="J124" t="s">
        <v>25</v>
      </c>
      <c r="L124"/>
      <c r="M124"/>
      <c r="N124"/>
      <c r="O124"/>
      <c r="P124"/>
      <c r="Q124"/>
      <c r="R124"/>
      <c r="S124"/>
      <c r="T124"/>
      <c r="U124"/>
      <c r="V124"/>
      <c r="W124"/>
      <c r="X124"/>
    </row>
    <row r="125" spans="1:24" ht="14.5" hidden="1">
      <c r="A125" s="184" t="s">
        <v>285</v>
      </c>
      <c r="B125" t="s">
        <v>286</v>
      </c>
      <c r="C125" t="s">
        <v>149</v>
      </c>
      <c r="D125" t="s">
        <v>30</v>
      </c>
      <c r="E125" s="185" t="s">
        <v>25</v>
      </c>
      <c r="F125" s="184">
        <v>1</v>
      </c>
      <c r="G125" t="s">
        <v>563</v>
      </c>
      <c r="H125" t="s">
        <v>563</v>
      </c>
      <c r="I125">
        <v>8</v>
      </c>
      <c r="J125" t="s">
        <v>25</v>
      </c>
      <c r="L125"/>
      <c r="M125"/>
      <c r="N125"/>
      <c r="O125"/>
      <c r="P125"/>
      <c r="Q125"/>
      <c r="R125"/>
      <c r="S125"/>
      <c r="T125"/>
      <c r="U125"/>
      <c r="V125"/>
      <c r="W125"/>
      <c r="X125"/>
    </row>
    <row r="126" spans="1:24" ht="14.5" hidden="1">
      <c r="A126" s="184" t="s">
        <v>392</v>
      </c>
      <c r="B126" t="s">
        <v>393</v>
      </c>
      <c r="C126" t="s">
        <v>147</v>
      </c>
      <c r="D126" t="s">
        <v>30</v>
      </c>
      <c r="E126" s="185" t="s">
        <v>25</v>
      </c>
      <c r="F126" s="184">
        <v>1</v>
      </c>
      <c r="G126" t="s">
        <v>563</v>
      </c>
      <c r="H126" t="s">
        <v>563</v>
      </c>
      <c r="I126">
        <v>8</v>
      </c>
      <c r="J126" t="s">
        <v>25</v>
      </c>
      <c r="L126"/>
      <c r="M126"/>
      <c r="N126"/>
      <c r="O126"/>
      <c r="P126"/>
      <c r="Q126"/>
      <c r="R126"/>
      <c r="S126"/>
      <c r="T126"/>
      <c r="U126"/>
      <c r="V126"/>
      <c r="W126"/>
      <c r="X126"/>
    </row>
    <row r="127" spans="1:24" ht="14.5" hidden="1">
      <c r="A127" s="184" t="s">
        <v>334</v>
      </c>
      <c r="B127" t="s">
        <v>335</v>
      </c>
      <c r="C127" t="s">
        <v>149</v>
      </c>
      <c r="D127" t="s">
        <v>36</v>
      </c>
      <c r="E127" s="185" t="s">
        <v>25</v>
      </c>
      <c r="F127" s="184">
        <v>1</v>
      </c>
      <c r="G127" t="s">
        <v>563</v>
      </c>
      <c r="H127" t="s">
        <v>563</v>
      </c>
      <c r="I127">
        <v>8</v>
      </c>
      <c r="J127" t="s">
        <v>25</v>
      </c>
      <c r="L127"/>
      <c r="M127"/>
      <c r="N127"/>
      <c r="O127"/>
      <c r="P127"/>
      <c r="Q127"/>
      <c r="R127"/>
      <c r="S127"/>
      <c r="T127"/>
      <c r="U127"/>
      <c r="V127"/>
      <c r="W127"/>
      <c r="X127"/>
    </row>
    <row r="128" spans="1:24" ht="29" hidden="1">
      <c r="A128" s="184" t="s">
        <v>701</v>
      </c>
      <c r="B128" t="s">
        <v>581</v>
      </c>
      <c r="C128" t="s">
        <v>149</v>
      </c>
      <c r="D128" t="s">
        <v>27</v>
      </c>
      <c r="E128" s="185" t="s">
        <v>702</v>
      </c>
      <c r="F128" s="184">
        <v>0.5</v>
      </c>
      <c r="G128" t="s">
        <v>563</v>
      </c>
      <c r="H128" t="s">
        <v>563</v>
      </c>
      <c r="I128">
        <v>8</v>
      </c>
      <c r="J128" t="s">
        <v>1</v>
      </c>
      <c r="L128"/>
      <c r="M128"/>
      <c r="N128"/>
      <c r="O128"/>
      <c r="P128"/>
      <c r="Q128"/>
      <c r="R128"/>
      <c r="S128"/>
      <c r="T128"/>
      <c r="U128"/>
      <c r="V128"/>
      <c r="W128"/>
      <c r="X128"/>
    </row>
    <row r="129" spans="1:24" ht="14.5" hidden="1">
      <c r="A129" s="184" t="s">
        <v>392</v>
      </c>
      <c r="B129" t="s">
        <v>393</v>
      </c>
      <c r="C129" t="s">
        <v>147</v>
      </c>
      <c r="D129" t="s">
        <v>30</v>
      </c>
      <c r="E129" s="185" t="s">
        <v>25</v>
      </c>
      <c r="F129" s="184">
        <v>0.5</v>
      </c>
      <c r="G129" t="s">
        <v>571</v>
      </c>
      <c r="H129" t="s">
        <v>571</v>
      </c>
      <c r="I129">
        <v>8</v>
      </c>
      <c r="J129" t="s">
        <v>5</v>
      </c>
      <c r="L129"/>
      <c r="M129"/>
      <c r="N129"/>
      <c r="O129"/>
      <c r="P129"/>
      <c r="Q129"/>
      <c r="R129"/>
      <c r="S129"/>
      <c r="T129"/>
      <c r="U129"/>
      <c r="V129"/>
      <c r="W129"/>
      <c r="X129"/>
    </row>
    <row r="130" spans="1:24" ht="14.5" hidden="1">
      <c r="A130" s="184" t="s">
        <v>429</v>
      </c>
      <c r="B130" t="s">
        <v>430</v>
      </c>
      <c r="C130" t="s">
        <v>431</v>
      </c>
      <c r="D130" t="s">
        <v>29</v>
      </c>
      <c r="E130" s="185" t="s">
        <v>457</v>
      </c>
      <c r="F130" s="184">
        <v>1</v>
      </c>
      <c r="G130" t="s">
        <v>571</v>
      </c>
      <c r="H130" t="s">
        <v>571</v>
      </c>
      <c r="I130">
        <v>8</v>
      </c>
      <c r="J130" t="s">
        <v>25</v>
      </c>
      <c r="L130"/>
      <c r="M130"/>
      <c r="N130"/>
      <c r="O130"/>
      <c r="P130"/>
      <c r="Q130"/>
      <c r="R130"/>
      <c r="S130"/>
      <c r="T130"/>
      <c r="U130"/>
      <c r="V130"/>
      <c r="W130"/>
      <c r="X130"/>
    </row>
    <row r="131" spans="1:24" ht="14.5" hidden="1">
      <c r="A131" s="184" t="s">
        <v>301</v>
      </c>
      <c r="B131" t="s">
        <v>302</v>
      </c>
      <c r="C131" t="s">
        <v>149</v>
      </c>
      <c r="D131" t="s">
        <v>30</v>
      </c>
      <c r="E131" s="185" t="s">
        <v>25</v>
      </c>
      <c r="F131" s="184">
        <v>0.5</v>
      </c>
      <c r="G131" t="s">
        <v>571</v>
      </c>
      <c r="H131" t="s">
        <v>571</v>
      </c>
      <c r="I131">
        <v>8</v>
      </c>
      <c r="J131" t="s">
        <v>1</v>
      </c>
      <c r="L131"/>
      <c r="M131"/>
      <c r="N131"/>
      <c r="O131"/>
      <c r="P131"/>
      <c r="Q131"/>
      <c r="R131"/>
      <c r="S131"/>
      <c r="T131"/>
      <c r="U131"/>
      <c r="V131"/>
      <c r="W131"/>
      <c r="X131"/>
    </row>
    <row r="132" spans="1:24" ht="14.5" hidden="1">
      <c r="A132" s="184" t="s">
        <v>283</v>
      </c>
      <c r="B132" t="s">
        <v>284</v>
      </c>
      <c r="C132" t="s">
        <v>147</v>
      </c>
      <c r="D132" t="s">
        <v>30</v>
      </c>
      <c r="E132" s="185" t="s">
        <v>25</v>
      </c>
      <c r="F132" s="184">
        <v>1</v>
      </c>
      <c r="G132" t="s">
        <v>571</v>
      </c>
      <c r="H132" t="s">
        <v>571</v>
      </c>
      <c r="I132">
        <v>8</v>
      </c>
      <c r="J132" t="s">
        <v>25</v>
      </c>
      <c r="L132"/>
      <c r="M132"/>
      <c r="N132"/>
      <c r="O132"/>
      <c r="P132"/>
      <c r="Q132"/>
      <c r="R132"/>
      <c r="S132"/>
      <c r="T132"/>
      <c r="U132"/>
      <c r="V132"/>
      <c r="W132"/>
      <c r="X132"/>
    </row>
    <row r="133" spans="1:24" ht="29" hidden="1">
      <c r="A133" s="184" t="s">
        <v>703</v>
      </c>
      <c r="B133" t="s">
        <v>704</v>
      </c>
      <c r="C133" t="s">
        <v>705</v>
      </c>
      <c r="D133" t="s">
        <v>29</v>
      </c>
      <c r="E133" s="185" t="s">
        <v>706</v>
      </c>
      <c r="F133" s="184">
        <v>2</v>
      </c>
      <c r="G133" t="s">
        <v>571</v>
      </c>
      <c r="H133" t="s">
        <v>563</v>
      </c>
      <c r="I133">
        <v>8</v>
      </c>
      <c r="J133" t="s">
        <v>25</v>
      </c>
      <c r="L133"/>
      <c r="M133"/>
      <c r="N133"/>
      <c r="O133"/>
      <c r="P133"/>
      <c r="Q133"/>
      <c r="R133"/>
      <c r="S133"/>
      <c r="T133"/>
      <c r="U133"/>
      <c r="V133"/>
      <c r="W133"/>
      <c r="X133"/>
    </row>
    <row r="134" spans="1:24" ht="14.5" hidden="1">
      <c r="A134" s="184" t="s">
        <v>443</v>
      </c>
      <c r="B134" t="s">
        <v>444</v>
      </c>
      <c r="C134" t="s">
        <v>147</v>
      </c>
      <c r="D134" t="s">
        <v>30</v>
      </c>
      <c r="E134" s="185" t="s">
        <v>25</v>
      </c>
      <c r="F134" s="184">
        <v>1</v>
      </c>
      <c r="G134" t="s">
        <v>572</v>
      </c>
      <c r="H134" t="s">
        <v>572</v>
      </c>
      <c r="I134">
        <v>8</v>
      </c>
      <c r="J134" t="s">
        <v>25</v>
      </c>
      <c r="L134"/>
      <c r="M134"/>
      <c r="N134"/>
      <c r="O134"/>
      <c r="P134"/>
      <c r="Q134"/>
      <c r="R134"/>
      <c r="S134"/>
      <c r="T134"/>
      <c r="U134"/>
      <c r="V134"/>
      <c r="W134"/>
      <c r="X134"/>
    </row>
    <row r="135" spans="1:24" ht="14.5" hidden="1">
      <c r="A135" s="184" t="s">
        <v>432</v>
      </c>
      <c r="B135" t="s">
        <v>433</v>
      </c>
      <c r="C135" t="s">
        <v>149</v>
      </c>
      <c r="D135" t="s">
        <v>27</v>
      </c>
      <c r="E135" s="185" t="s">
        <v>25</v>
      </c>
      <c r="F135" s="184">
        <v>1</v>
      </c>
      <c r="G135" t="s">
        <v>572</v>
      </c>
      <c r="H135" t="s">
        <v>572</v>
      </c>
      <c r="I135">
        <v>8</v>
      </c>
      <c r="J135" t="s">
        <v>25</v>
      </c>
      <c r="L135"/>
      <c r="M135"/>
      <c r="N135"/>
      <c r="O135"/>
      <c r="P135"/>
      <c r="Q135"/>
      <c r="R135"/>
      <c r="S135"/>
      <c r="T135"/>
      <c r="U135"/>
      <c r="V135"/>
      <c r="W135"/>
      <c r="X135"/>
    </row>
    <row r="136" spans="1:24" ht="14.5" hidden="1">
      <c r="A136" s="184" t="s">
        <v>136</v>
      </c>
      <c r="B136" t="s">
        <v>137</v>
      </c>
      <c r="C136" t="s">
        <v>298</v>
      </c>
      <c r="D136" t="s">
        <v>30</v>
      </c>
      <c r="E136" s="185" t="s">
        <v>617</v>
      </c>
      <c r="F136" s="184">
        <v>1</v>
      </c>
      <c r="G136" t="s">
        <v>572</v>
      </c>
      <c r="H136" t="s">
        <v>572</v>
      </c>
      <c r="I136">
        <v>8</v>
      </c>
      <c r="J136" t="s">
        <v>25</v>
      </c>
      <c r="L136"/>
      <c r="M136"/>
      <c r="N136"/>
      <c r="O136"/>
      <c r="P136"/>
      <c r="Q136"/>
      <c r="R136"/>
      <c r="S136"/>
      <c r="T136"/>
      <c r="U136"/>
      <c r="V136"/>
      <c r="W136"/>
      <c r="X136"/>
    </row>
    <row r="137" spans="1:24" ht="14.5" hidden="1">
      <c r="A137" s="184" t="s">
        <v>423</v>
      </c>
      <c r="B137" t="s">
        <v>424</v>
      </c>
      <c r="C137" t="s">
        <v>149</v>
      </c>
      <c r="D137" t="s">
        <v>30</v>
      </c>
      <c r="E137" s="185" t="s">
        <v>707</v>
      </c>
      <c r="F137" s="184">
        <v>1</v>
      </c>
      <c r="G137" t="s">
        <v>572</v>
      </c>
      <c r="H137" t="s">
        <v>572</v>
      </c>
      <c r="I137">
        <v>8</v>
      </c>
      <c r="J137" t="s">
        <v>25</v>
      </c>
      <c r="L137"/>
      <c r="M137"/>
      <c r="N137"/>
      <c r="O137"/>
      <c r="P137"/>
      <c r="Q137"/>
      <c r="R137"/>
      <c r="S137"/>
      <c r="T137"/>
      <c r="U137"/>
      <c r="V137"/>
      <c r="W137"/>
      <c r="X137"/>
    </row>
    <row r="138" spans="1:24" ht="14.5" hidden="1">
      <c r="A138" s="184" t="s">
        <v>260</v>
      </c>
      <c r="B138" t="s">
        <v>261</v>
      </c>
      <c r="C138" t="s">
        <v>33</v>
      </c>
      <c r="D138" t="s">
        <v>30</v>
      </c>
      <c r="E138" s="185" t="s">
        <v>25</v>
      </c>
      <c r="F138" s="184">
        <v>0.5</v>
      </c>
      <c r="G138" t="s">
        <v>572</v>
      </c>
      <c r="H138" t="s">
        <v>572</v>
      </c>
      <c r="I138">
        <v>8</v>
      </c>
      <c r="J138" t="s">
        <v>1</v>
      </c>
      <c r="L138"/>
      <c r="M138"/>
      <c r="N138"/>
      <c r="O138"/>
      <c r="P138"/>
      <c r="Q138"/>
      <c r="R138"/>
      <c r="S138"/>
      <c r="T138"/>
      <c r="U138"/>
      <c r="V138"/>
      <c r="W138"/>
      <c r="X138"/>
    </row>
    <row r="139" spans="1:24" ht="14.5" hidden="1">
      <c r="A139" s="184" t="s">
        <v>708</v>
      </c>
      <c r="B139" t="s">
        <v>709</v>
      </c>
      <c r="C139" t="s">
        <v>149</v>
      </c>
      <c r="D139" t="s">
        <v>27</v>
      </c>
      <c r="E139" s="185" t="s">
        <v>25</v>
      </c>
      <c r="F139" s="184">
        <v>1</v>
      </c>
      <c r="G139" t="s">
        <v>572</v>
      </c>
      <c r="H139" t="s">
        <v>572</v>
      </c>
      <c r="I139">
        <v>8</v>
      </c>
      <c r="J139" t="s">
        <v>25</v>
      </c>
      <c r="L139"/>
      <c r="M139"/>
      <c r="N139"/>
      <c r="O139"/>
      <c r="P139"/>
      <c r="Q139"/>
      <c r="R139"/>
      <c r="S139"/>
      <c r="T139"/>
      <c r="U139"/>
      <c r="V139"/>
      <c r="W139"/>
      <c r="X139"/>
    </row>
    <row r="140" spans="1:24" ht="29" hidden="1">
      <c r="A140" s="184" t="s">
        <v>327</v>
      </c>
      <c r="B140" t="s">
        <v>317</v>
      </c>
      <c r="C140" t="s">
        <v>247</v>
      </c>
      <c r="D140" t="s">
        <v>36</v>
      </c>
      <c r="E140" s="185" t="s">
        <v>710</v>
      </c>
      <c r="F140" s="184">
        <v>1</v>
      </c>
      <c r="G140" t="s">
        <v>572</v>
      </c>
      <c r="H140" t="s">
        <v>572</v>
      </c>
      <c r="I140">
        <v>8</v>
      </c>
      <c r="J140" t="s">
        <v>25</v>
      </c>
      <c r="L140"/>
      <c r="M140"/>
      <c r="N140"/>
      <c r="O140"/>
      <c r="P140"/>
      <c r="Q140"/>
      <c r="R140"/>
      <c r="S140"/>
      <c r="T140"/>
      <c r="U140"/>
      <c r="V140"/>
      <c r="W140"/>
      <c r="X140"/>
    </row>
    <row r="141" spans="1:24" ht="14.5" hidden="1">
      <c r="A141" s="184" t="s">
        <v>689</v>
      </c>
      <c r="B141" t="s">
        <v>570</v>
      </c>
      <c r="C141" t="s">
        <v>247</v>
      </c>
      <c r="D141" t="s">
        <v>36</v>
      </c>
      <c r="E141" s="185" t="s">
        <v>25</v>
      </c>
      <c r="F141" s="184">
        <v>0.5</v>
      </c>
      <c r="G141" t="s">
        <v>551</v>
      </c>
      <c r="H141" t="s">
        <v>551</v>
      </c>
      <c r="I141">
        <v>8</v>
      </c>
      <c r="J141" t="s">
        <v>5</v>
      </c>
      <c r="L141"/>
      <c r="M141"/>
      <c r="N141"/>
      <c r="O141"/>
      <c r="P141"/>
      <c r="Q141"/>
      <c r="R141"/>
      <c r="S141"/>
      <c r="T141"/>
      <c r="U141"/>
      <c r="V141"/>
      <c r="W141"/>
      <c r="X141"/>
    </row>
    <row r="142" spans="1:24" ht="14.5" hidden="1">
      <c r="A142" s="184" t="s">
        <v>425</v>
      </c>
      <c r="B142" t="s">
        <v>426</v>
      </c>
      <c r="C142" t="s">
        <v>135</v>
      </c>
      <c r="D142" t="s">
        <v>29</v>
      </c>
      <c r="E142" s="185" t="s">
        <v>711</v>
      </c>
      <c r="F142" s="184">
        <v>0.5</v>
      </c>
      <c r="G142" t="s">
        <v>551</v>
      </c>
      <c r="H142" t="s">
        <v>551</v>
      </c>
      <c r="I142">
        <v>8</v>
      </c>
      <c r="J142" t="s">
        <v>1</v>
      </c>
      <c r="L142"/>
      <c r="M142"/>
      <c r="N142"/>
      <c r="O142"/>
      <c r="P142"/>
      <c r="Q142"/>
      <c r="R142"/>
      <c r="S142"/>
      <c r="T142"/>
      <c r="U142"/>
      <c r="V142"/>
      <c r="W142"/>
      <c r="X142"/>
    </row>
    <row r="143" spans="1:24" ht="14.5" hidden="1">
      <c r="A143" s="184" t="s">
        <v>334</v>
      </c>
      <c r="B143" t="s">
        <v>335</v>
      </c>
      <c r="C143" t="s">
        <v>149</v>
      </c>
      <c r="D143" t="s">
        <v>27</v>
      </c>
      <c r="E143" s="185" t="s">
        <v>25</v>
      </c>
      <c r="F143" s="184">
        <v>1</v>
      </c>
      <c r="G143" t="s">
        <v>551</v>
      </c>
      <c r="H143" t="s">
        <v>551</v>
      </c>
      <c r="I143">
        <v>8</v>
      </c>
      <c r="J143" t="s">
        <v>25</v>
      </c>
      <c r="L143"/>
      <c r="M143"/>
      <c r="N143"/>
      <c r="O143"/>
      <c r="P143"/>
      <c r="Q143"/>
      <c r="R143"/>
      <c r="S143"/>
      <c r="T143"/>
      <c r="U143"/>
      <c r="V143"/>
      <c r="W143"/>
      <c r="X143"/>
    </row>
    <row r="144" spans="1:24" ht="14.5" hidden="1">
      <c r="A144" s="184" t="s">
        <v>40</v>
      </c>
      <c r="B144" t="s">
        <v>41</v>
      </c>
      <c r="C144" t="s">
        <v>42</v>
      </c>
      <c r="D144" t="s">
        <v>27</v>
      </c>
      <c r="E144" s="185" t="s">
        <v>712</v>
      </c>
      <c r="F144" s="184">
        <v>0.5</v>
      </c>
      <c r="G144" t="s">
        <v>551</v>
      </c>
      <c r="H144" t="s">
        <v>551</v>
      </c>
      <c r="I144">
        <v>8</v>
      </c>
      <c r="J144" t="s">
        <v>5</v>
      </c>
      <c r="L144"/>
      <c r="M144"/>
      <c r="N144"/>
      <c r="O144"/>
      <c r="P144"/>
      <c r="Q144"/>
      <c r="R144"/>
      <c r="S144"/>
      <c r="T144"/>
      <c r="U144"/>
      <c r="V144"/>
      <c r="W144"/>
      <c r="X144"/>
    </row>
    <row r="145" spans="1:24" ht="14.5" hidden="1">
      <c r="A145" s="184" t="s">
        <v>151</v>
      </c>
      <c r="B145" t="s">
        <v>152</v>
      </c>
      <c r="C145" t="s">
        <v>147</v>
      </c>
      <c r="D145" t="s">
        <v>30</v>
      </c>
      <c r="E145" s="185" t="s">
        <v>25</v>
      </c>
      <c r="F145" s="184">
        <v>1</v>
      </c>
      <c r="G145" t="s">
        <v>551</v>
      </c>
      <c r="H145" t="s">
        <v>551</v>
      </c>
      <c r="I145">
        <v>8</v>
      </c>
      <c r="J145" t="s">
        <v>25</v>
      </c>
      <c r="L145"/>
      <c r="M145"/>
      <c r="N145"/>
      <c r="O145"/>
      <c r="P145"/>
      <c r="Q145"/>
      <c r="R145"/>
      <c r="S145"/>
      <c r="T145"/>
      <c r="U145"/>
      <c r="V145"/>
      <c r="W145"/>
      <c r="X145"/>
    </row>
    <row r="146" spans="1:24" ht="14.5" hidden="1">
      <c r="A146" s="184" t="s">
        <v>647</v>
      </c>
      <c r="B146" t="s">
        <v>458</v>
      </c>
      <c r="C146" t="s">
        <v>148</v>
      </c>
      <c r="D146" t="s">
        <v>713</v>
      </c>
      <c r="E146" s="185" t="s">
        <v>25</v>
      </c>
      <c r="F146" s="184">
        <v>1</v>
      </c>
      <c r="G146" t="s">
        <v>551</v>
      </c>
      <c r="H146" t="s">
        <v>551</v>
      </c>
      <c r="I146">
        <v>8</v>
      </c>
      <c r="J146" t="s">
        <v>25</v>
      </c>
      <c r="L146"/>
      <c r="M146"/>
      <c r="N146"/>
      <c r="O146"/>
      <c r="P146"/>
      <c r="Q146"/>
      <c r="R146"/>
      <c r="S146"/>
      <c r="T146"/>
      <c r="U146"/>
      <c r="V146"/>
      <c r="W146"/>
      <c r="X146"/>
    </row>
    <row r="147" spans="1:24" ht="29" hidden="1">
      <c r="A147" s="184" t="s">
        <v>434</v>
      </c>
      <c r="B147" t="s">
        <v>435</v>
      </c>
      <c r="C147" t="s">
        <v>159</v>
      </c>
      <c r="D147" t="s">
        <v>29</v>
      </c>
      <c r="E147" s="185" t="s">
        <v>714</v>
      </c>
      <c r="F147" s="184">
        <v>0.5</v>
      </c>
      <c r="G147" t="s">
        <v>551</v>
      </c>
      <c r="H147" t="s">
        <v>551</v>
      </c>
      <c r="I147">
        <v>8</v>
      </c>
      <c r="J147" t="s">
        <v>5</v>
      </c>
      <c r="L147"/>
      <c r="M147"/>
      <c r="N147"/>
      <c r="O147"/>
      <c r="P147"/>
      <c r="Q147"/>
      <c r="R147"/>
      <c r="S147"/>
      <c r="T147"/>
      <c r="U147"/>
      <c r="V147"/>
      <c r="W147"/>
      <c r="X147"/>
    </row>
    <row r="148" spans="1:24" ht="14.5" hidden="1">
      <c r="A148" s="184" t="s">
        <v>715</v>
      </c>
      <c r="B148" t="s">
        <v>716</v>
      </c>
      <c r="C148" t="s">
        <v>159</v>
      </c>
      <c r="D148" t="s">
        <v>29</v>
      </c>
      <c r="E148" s="185" t="s">
        <v>25</v>
      </c>
      <c r="F148" s="184">
        <v>0.5</v>
      </c>
      <c r="G148" t="s">
        <v>551</v>
      </c>
      <c r="H148" t="s">
        <v>551</v>
      </c>
      <c r="I148">
        <v>8</v>
      </c>
      <c r="J148" t="s">
        <v>5</v>
      </c>
      <c r="L148"/>
      <c r="M148"/>
      <c r="N148"/>
      <c r="O148"/>
      <c r="P148"/>
      <c r="Q148"/>
      <c r="R148"/>
      <c r="S148"/>
      <c r="T148"/>
      <c r="U148"/>
      <c r="V148"/>
      <c r="W148"/>
      <c r="X148"/>
    </row>
    <row r="149" spans="1:24" ht="29" hidden="1">
      <c r="A149" s="184" t="s">
        <v>434</v>
      </c>
      <c r="B149" t="s">
        <v>435</v>
      </c>
      <c r="C149" t="s">
        <v>159</v>
      </c>
      <c r="D149" t="s">
        <v>29</v>
      </c>
      <c r="E149" s="185" t="s">
        <v>717</v>
      </c>
      <c r="F149" s="184">
        <v>1</v>
      </c>
      <c r="G149" t="s">
        <v>552</v>
      </c>
      <c r="H149" t="s">
        <v>552</v>
      </c>
      <c r="I149">
        <v>8</v>
      </c>
      <c r="J149" t="s">
        <v>25</v>
      </c>
      <c r="L149"/>
      <c r="M149"/>
      <c r="N149"/>
      <c r="O149"/>
      <c r="P149"/>
      <c r="Q149"/>
      <c r="R149"/>
      <c r="S149"/>
      <c r="T149"/>
      <c r="U149"/>
      <c r="V149"/>
      <c r="W149"/>
      <c r="X149"/>
    </row>
    <row r="150" spans="1:24" ht="14.5" hidden="1">
      <c r="A150" s="184" t="s">
        <v>478</v>
      </c>
      <c r="B150" t="s">
        <v>479</v>
      </c>
      <c r="C150" t="s">
        <v>147</v>
      </c>
      <c r="D150" t="s">
        <v>29</v>
      </c>
      <c r="E150" s="185" t="s">
        <v>25</v>
      </c>
      <c r="F150" s="184">
        <v>2</v>
      </c>
      <c r="G150" t="s">
        <v>552</v>
      </c>
      <c r="H150" t="s">
        <v>551</v>
      </c>
      <c r="I150">
        <v>8</v>
      </c>
      <c r="J150" t="s">
        <v>25</v>
      </c>
      <c r="L150"/>
      <c r="M150"/>
      <c r="N150"/>
      <c r="O150"/>
      <c r="P150"/>
      <c r="Q150"/>
      <c r="R150"/>
      <c r="S150"/>
      <c r="T150"/>
      <c r="U150"/>
      <c r="V150"/>
      <c r="W150"/>
      <c r="X150"/>
    </row>
    <row r="151" spans="1:24" ht="14.5" hidden="1">
      <c r="A151" s="184" t="s">
        <v>715</v>
      </c>
      <c r="B151" t="s">
        <v>716</v>
      </c>
      <c r="C151" t="s">
        <v>159</v>
      </c>
      <c r="D151" t="s">
        <v>29</v>
      </c>
      <c r="E151" s="185" t="s">
        <v>25</v>
      </c>
      <c r="F151" s="184">
        <v>1</v>
      </c>
      <c r="G151" t="s">
        <v>552</v>
      </c>
      <c r="H151" t="s">
        <v>552</v>
      </c>
      <c r="I151">
        <v>8</v>
      </c>
      <c r="J151" t="s">
        <v>25</v>
      </c>
      <c r="L151"/>
      <c r="M151"/>
      <c r="N151"/>
      <c r="O151"/>
      <c r="P151"/>
      <c r="Q151"/>
      <c r="R151"/>
      <c r="S151"/>
      <c r="T151"/>
      <c r="U151"/>
      <c r="V151"/>
      <c r="W151"/>
      <c r="X151"/>
    </row>
    <row r="152" spans="1:24" ht="14.5" hidden="1">
      <c r="A152" s="184" t="s">
        <v>188</v>
      </c>
      <c r="B152" t="s">
        <v>189</v>
      </c>
      <c r="C152" t="s">
        <v>147</v>
      </c>
      <c r="D152" t="s">
        <v>27</v>
      </c>
      <c r="E152" s="185" t="s">
        <v>25</v>
      </c>
      <c r="F152" s="184">
        <v>1</v>
      </c>
      <c r="G152" t="s">
        <v>552</v>
      </c>
      <c r="H152" t="s">
        <v>552</v>
      </c>
      <c r="I152">
        <v>8</v>
      </c>
      <c r="J152" t="s">
        <v>25</v>
      </c>
      <c r="L152"/>
      <c r="M152"/>
      <c r="N152"/>
      <c r="O152"/>
      <c r="P152"/>
      <c r="Q152"/>
      <c r="R152"/>
      <c r="S152"/>
      <c r="T152"/>
      <c r="U152"/>
      <c r="V152"/>
      <c r="W152"/>
      <c r="X152"/>
    </row>
    <row r="153" spans="1:24" ht="14.5" hidden="1">
      <c r="A153" s="184" t="s">
        <v>718</v>
      </c>
      <c r="B153" t="s">
        <v>719</v>
      </c>
      <c r="C153" t="s">
        <v>149</v>
      </c>
      <c r="D153" t="s">
        <v>36</v>
      </c>
      <c r="E153" s="185" t="s">
        <v>25</v>
      </c>
      <c r="F153" s="184">
        <v>1</v>
      </c>
      <c r="G153" t="s">
        <v>552</v>
      </c>
      <c r="H153" t="s">
        <v>552</v>
      </c>
      <c r="I153">
        <v>8</v>
      </c>
      <c r="J153" t="s">
        <v>25</v>
      </c>
      <c r="L153"/>
      <c r="M153"/>
      <c r="N153"/>
      <c r="O153"/>
      <c r="P153"/>
      <c r="Q153"/>
      <c r="R153"/>
      <c r="S153"/>
      <c r="T153"/>
      <c r="U153"/>
      <c r="V153"/>
      <c r="W153"/>
      <c r="X153"/>
    </row>
    <row r="154" spans="1:24" ht="14.5" hidden="1">
      <c r="A154" s="184" t="s">
        <v>379</v>
      </c>
      <c r="B154" t="s">
        <v>380</v>
      </c>
      <c r="C154" t="s">
        <v>149</v>
      </c>
      <c r="D154" t="s">
        <v>713</v>
      </c>
      <c r="E154" s="185" t="s">
        <v>25</v>
      </c>
      <c r="F154" s="184">
        <v>1</v>
      </c>
      <c r="G154" t="s">
        <v>552</v>
      </c>
      <c r="H154" t="s">
        <v>552</v>
      </c>
      <c r="I154">
        <v>8</v>
      </c>
      <c r="J154" t="s">
        <v>25</v>
      </c>
      <c r="L154"/>
      <c r="M154"/>
      <c r="N154"/>
      <c r="O154"/>
      <c r="P154"/>
      <c r="Q154"/>
      <c r="R154"/>
      <c r="S154"/>
      <c r="T154"/>
      <c r="U154"/>
      <c r="V154"/>
      <c r="W154"/>
      <c r="X154"/>
    </row>
    <row r="155" spans="1:24" ht="14.5" hidden="1">
      <c r="A155" s="184" t="s">
        <v>445</v>
      </c>
      <c r="B155" t="s">
        <v>446</v>
      </c>
      <c r="C155" t="s">
        <v>147</v>
      </c>
      <c r="D155" t="s">
        <v>36</v>
      </c>
      <c r="E155" s="185" t="s">
        <v>25</v>
      </c>
      <c r="F155" s="184">
        <v>1</v>
      </c>
      <c r="G155" t="s">
        <v>552</v>
      </c>
      <c r="H155" t="s">
        <v>552</v>
      </c>
      <c r="I155">
        <v>8</v>
      </c>
      <c r="J155" t="s">
        <v>25</v>
      </c>
      <c r="L155"/>
      <c r="M155"/>
      <c r="N155"/>
      <c r="O155"/>
      <c r="P155"/>
      <c r="Q155"/>
      <c r="R155"/>
      <c r="S155"/>
      <c r="T155"/>
      <c r="U155"/>
      <c r="V155"/>
      <c r="W155"/>
      <c r="X155"/>
    </row>
    <row r="156" spans="1:24" ht="14.5" hidden="1">
      <c r="A156" s="184" t="s">
        <v>332</v>
      </c>
      <c r="B156" t="s">
        <v>333</v>
      </c>
      <c r="C156" t="s">
        <v>147</v>
      </c>
      <c r="D156" t="s">
        <v>29</v>
      </c>
      <c r="E156" s="185" t="s">
        <v>25</v>
      </c>
      <c r="F156" s="184">
        <v>2</v>
      </c>
      <c r="G156" t="s">
        <v>552</v>
      </c>
      <c r="H156" t="s">
        <v>551</v>
      </c>
      <c r="I156">
        <v>8</v>
      </c>
      <c r="J156" t="s">
        <v>25</v>
      </c>
      <c r="L156"/>
      <c r="M156"/>
      <c r="N156"/>
      <c r="O156"/>
      <c r="P156"/>
      <c r="Q156"/>
      <c r="R156"/>
      <c r="S156"/>
      <c r="T156"/>
      <c r="U156"/>
      <c r="V156"/>
      <c r="W156"/>
      <c r="X156"/>
    </row>
    <row r="157" spans="1:24" ht="14.5" hidden="1">
      <c r="A157" s="184" t="s">
        <v>243</v>
      </c>
      <c r="B157" t="s">
        <v>245</v>
      </c>
      <c r="C157" t="s">
        <v>248</v>
      </c>
      <c r="D157" t="s">
        <v>30</v>
      </c>
      <c r="E157" s="185" t="s">
        <v>720</v>
      </c>
      <c r="F157" s="184">
        <v>0.5</v>
      </c>
      <c r="G157" t="s">
        <v>552</v>
      </c>
      <c r="H157" t="s">
        <v>552</v>
      </c>
      <c r="I157">
        <v>8</v>
      </c>
      <c r="J157" t="s">
        <v>1</v>
      </c>
      <c r="L157"/>
      <c r="M157"/>
      <c r="N157"/>
      <c r="O157"/>
      <c r="P157"/>
      <c r="Q157"/>
      <c r="R157"/>
      <c r="S157"/>
      <c r="T157"/>
      <c r="U157"/>
      <c r="V157"/>
      <c r="W157"/>
      <c r="X157"/>
    </row>
    <row r="158" spans="1:24" ht="14.5" hidden="1">
      <c r="A158" s="184" t="s">
        <v>721</v>
      </c>
      <c r="B158" t="s">
        <v>722</v>
      </c>
      <c r="C158" t="s">
        <v>135</v>
      </c>
      <c r="D158" t="s">
        <v>30</v>
      </c>
      <c r="E158" s="185" t="s">
        <v>25</v>
      </c>
      <c r="F158" s="184">
        <v>0.5</v>
      </c>
      <c r="G158" t="s">
        <v>552</v>
      </c>
      <c r="H158" t="s">
        <v>552</v>
      </c>
      <c r="I158">
        <v>8</v>
      </c>
      <c r="J158" t="s">
        <v>1</v>
      </c>
      <c r="L158"/>
      <c r="M158"/>
      <c r="N158"/>
      <c r="O158"/>
      <c r="P158"/>
      <c r="Q158"/>
      <c r="R158"/>
      <c r="S158"/>
      <c r="T158"/>
      <c r="U158"/>
      <c r="V158"/>
      <c r="W158"/>
      <c r="X158"/>
    </row>
    <row r="159" spans="1:24" ht="29" hidden="1">
      <c r="A159" s="184" t="s">
        <v>643</v>
      </c>
      <c r="B159" t="s">
        <v>644</v>
      </c>
      <c r="C159" t="s">
        <v>147</v>
      </c>
      <c r="D159" t="s">
        <v>30</v>
      </c>
      <c r="E159" s="185" t="s">
        <v>723</v>
      </c>
      <c r="F159" s="184">
        <v>1</v>
      </c>
      <c r="G159" t="s">
        <v>552</v>
      </c>
      <c r="H159" t="s">
        <v>552</v>
      </c>
      <c r="I159">
        <v>8</v>
      </c>
      <c r="J159" t="s">
        <v>25</v>
      </c>
      <c r="L159"/>
      <c r="M159"/>
      <c r="N159"/>
      <c r="O159"/>
      <c r="P159"/>
      <c r="Q159"/>
      <c r="R159"/>
      <c r="S159"/>
      <c r="T159"/>
      <c r="U159"/>
      <c r="V159"/>
      <c r="W159"/>
      <c r="X159"/>
    </row>
    <row r="160" spans="1:24" ht="14.5" hidden="1">
      <c r="A160" s="184" t="s">
        <v>639</v>
      </c>
      <c r="B160" t="s">
        <v>640</v>
      </c>
      <c r="C160" t="s">
        <v>249</v>
      </c>
      <c r="D160" t="s">
        <v>30</v>
      </c>
      <c r="E160" s="185" t="s">
        <v>665</v>
      </c>
      <c r="F160" s="184">
        <v>6</v>
      </c>
      <c r="G160" t="s">
        <v>552</v>
      </c>
      <c r="H160" t="s">
        <v>695</v>
      </c>
      <c r="I160">
        <v>8</v>
      </c>
      <c r="J160" t="s">
        <v>25</v>
      </c>
      <c r="L160"/>
      <c r="M160"/>
      <c r="N160"/>
      <c r="O160"/>
      <c r="P160"/>
      <c r="Q160"/>
      <c r="R160"/>
      <c r="S160"/>
      <c r="T160"/>
      <c r="U160"/>
      <c r="V160"/>
      <c r="W160"/>
      <c r="X160"/>
    </row>
    <row r="161" spans="1:24" ht="14.5" hidden="1">
      <c r="A161" s="184" t="s">
        <v>443</v>
      </c>
      <c r="B161" t="s">
        <v>444</v>
      </c>
      <c r="C161" t="s">
        <v>147</v>
      </c>
      <c r="D161" t="s">
        <v>30</v>
      </c>
      <c r="E161" s="185" t="s">
        <v>25</v>
      </c>
      <c r="F161" s="184">
        <v>2</v>
      </c>
      <c r="G161" t="s">
        <v>552</v>
      </c>
      <c r="H161" t="s">
        <v>551</v>
      </c>
      <c r="I161">
        <v>8</v>
      </c>
      <c r="J161" t="s">
        <v>25</v>
      </c>
      <c r="L161"/>
      <c r="M161"/>
      <c r="N161"/>
      <c r="O161"/>
      <c r="P161"/>
      <c r="Q161"/>
      <c r="R161"/>
      <c r="S161"/>
      <c r="T161"/>
      <c r="U161"/>
      <c r="V161"/>
      <c r="W161"/>
      <c r="X161"/>
    </row>
    <row r="162" spans="1:24" ht="14.5" hidden="1">
      <c r="A162" s="184" t="s">
        <v>465</v>
      </c>
      <c r="B162" t="s">
        <v>466</v>
      </c>
      <c r="C162" t="s">
        <v>28</v>
      </c>
      <c r="D162" t="s">
        <v>36</v>
      </c>
      <c r="E162" s="185" t="s">
        <v>25</v>
      </c>
      <c r="F162" s="184">
        <v>2</v>
      </c>
      <c r="G162" t="s">
        <v>552</v>
      </c>
      <c r="H162" t="s">
        <v>551</v>
      </c>
      <c r="I162">
        <v>8</v>
      </c>
      <c r="J162" t="s">
        <v>25</v>
      </c>
      <c r="L162"/>
      <c r="M162"/>
      <c r="N162"/>
      <c r="O162"/>
      <c r="P162"/>
      <c r="Q162"/>
      <c r="R162"/>
      <c r="S162"/>
      <c r="T162"/>
      <c r="U162"/>
      <c r="V162"/>
      <c r="W162"/>
      <c r="X162"/>
    </row>
    <row r="163" spans="1:24" ht="14.5" hidden="1">
      <c r="A163" s="184" t="s">
        <v>724</v>
      </c>
      <c r="B163" t="s">
        <v>725</v>
      </c>
      <c r="C163" t="s">
        <v>149</v>
      </c>
      <c r="D163" t="s">
        <v>36</v>
      </c>
      <c r="E163" s="185" t="s">
        <v>726</v>
      </c>
      <c r="F163" s="184">
        <v>0.5</v>
      </c>
      <c r="G163" t="s">
        <v>552</v>
      </c>
      <c r="H163" t="s">
        <v>552</v>
      </c>
      <c r="I163">
        <v>8</v>
      </c>
      <c r="J163" t="s">
        <v>5</v>
      </c>
      <c r="L163"/>
      <c r="M163"/>
      <c r="N163"/>
      <c r="O163"/>
      <c r="P163"/>
      <c r="Q163"/>
      <c r="R163"/>
      <c r="S163"/>
      <c r="T163"/>
      <c r="U163"/>
      <c r="V163"/>
      <c r="W163"/>
      <c r="X163"/>
    </row>
    <row r="164" spans="1:24" ht="14.5" hidden="1">
      <c r="A164" s="184" t="s">
        <v>727</v>
      </c>
      <c r="B164" t="s">
        <v>728</v>
      </c>
      <c r="C164" t="s">
        <v>149</v>
      </c>
      <c r="D164" t="s">
        <v>36</v>
      </c>
      <c r="E164" s="185" t="s">
        <v>451</v>
      </c>
      <c r="F164" s="184">
        <v>2</v>
      </c>
      <c r="G164" t="s">
        <v>552</v>
      </c>
      <c r="H164" t="s">
        <v>551</v>
      </c>
      <c r="I164">
        <v>8</v>
      </c>
      <c r="J164" t="s">
        <v>25</v>
      </c>
      <c r="L164"/>
      <c r="M164"/>
      <c r="N164"/>
      <c r="O164"/>
      <c r="P164"/>
      <c r="Q164"/>
      <c r="R164"/>
      <c r="S164"/>
      <c r="T164"/>
      <c r="U164"/>
      <c r="V164"/>
      <c r="W164"/>
      <c r="X164"/>
    </row>
    <row r="165" spans="1:24" ht="14.5" hidden="1">
      <c r="A165" s="184" t="s">
        <v>729</v>
      </c>
      <c r="B165" t="s">
        <v>730</v>
      </c>
      <c r="C165" t="s">
        <v>28</v>
      </c>
      <c r="D165" t="s">
        <v>27</v>
      </c>
      <c r="E165" s="185" t="s">
        <v>150</v>
      </c>
      <c r="F165" s="184">
        <v>1</v>
      </c>
      <c r="G165" t="s">
        <v>552</v>
      </c>
      <c r="H165" t="s">
        <v>552</v>
      </c>
      <c r="I165">
        <v>8</v>
      </c>
      <c r="J165" t="s">
        <v>25</v>
      </c>
      <c r="L165"/>
      <c r="M165"/>
      <c r="N165"/>
      <c r="O165"/>
      <c r="P165"/>
      <c r="Q165"/>
      <c r="R165"/>
      <c r="S165"/>
      <c r="T165"/>
      <c r="U165"/>
      <c r="V165"/>
      <c r="W165"/>
      <c r="X165"/>
    </row>
    <row r="166" spans="1:24" ht="14.5" hidden="1">
      <c r="A166" s="184" t="s">
        <v>379</v>
      </c>
      <c r="B166" t="s">
        <v>380</v>
      </c>
      <c r="C166" t="s">
        <v>149</v>
      </c>
      <c r="D166" t="s">
        <v>30</v>
      </c>
      <c r="E166" s="185" t="s">
        <v>731</v>
      </c>
      <c r="F166" s="184">
        <v>0.5</v>
      </c>
      <c r="G166" t="s">
        <v>732</v>
      </c>
      <c r="H166" t="s">
        <v>732</v>
      </c>
      <c r="I166">
        <v>8</v>
      </c>
      <c r="J166" t="s">
        <v>5</v>
      </c>
      <c r="L166"/>
      <c r="M166"/>
      <c r="N166"/>
      <c r="O166"/>
      <c r="P166"/>
      <c r="Q166"/>
      <c r="R166"/>
      <c r="S166"/>
      <c r="T166"/>
      <c r="U166"/>
      <c r="V166"/>
      <c r="W166"/>
      <c r="X166"/>
    </row>
    <row r="167" spans="1:24" ht="14.5" hidden="1">
      <c r="A167" s="184" t="s">
        <v>685</v>
      </c>
      <c r="B167" t="s">
        <v>686</v>
      </c>
      <c r="C167" t="s">
        <v>149</v>
      </c>
      <c r="D167" t="s">
        <v>30</v>
      </c>
      <c r="E167" s="185" t="s">
        <v>733</v>
      </c>
      <c r="F167" s="184">
        <v>0.5</v>
      </c>
      <c r="G167" t="s">
        <v>732</v>
      </c>
      <c r="H167" t="s">
        <v>732</v>
      </c>
      <c r="I167">
        <v>8</v>
      </c>
      <c r="J167" t="s">
        <v>25</v>
      </c>
      <c r="L167"/>
      <c r="M167"/>
      <c r="N167"/>
      <c r="O167"/>
      <c r="P167"/>
      <c r="Q167"/>
      <c r="R167"/>
      <c r="S167"/>
      <c r="T167"/>
      <c r="U167"/>
      <c r="V167"/>
      <c r="W167"/>
      <c r="X167"/>
    </row>
    <row r="168" spans="1:24" ht="14.5" hidden="1">
      <c r="A168" s="184" t="s">
        <v>685</v>
      </c>
      <c r="B168" t="s">
        <v>686</v>
      </c>
      <c r="C168" t="s">
        <v>149</v>
      </c>
      <c r="D168" t="s">
        <v>30</v>
      </c>
      <c r="E168" s="185" t="s">
        <v>734</v>
      </c>
      <c r="F168" s="184">
        <v>0.5</v>
      </c>
      <c r="G168" t="s">
        <v>732</v>
      </c>
      <c r="H168" t="s">
        <v>732</v>
      </c>
      <c r="I168">
        <v>8</v>
      </c>
      <c r="J168" t="s">
        <v>5</v>
      </c>
      <c r="L168"/>
      <c r="M168"/>
      <c r="N168"/>
      <c r="O168"/>
      <c r="P168"/>
      <c r="Q168"/>
      <c r="R168"/>
      <c r="S168"/>
      <c r="T168"/>
      <c r="U168"/>
      <c r="V168"/>
      <c r="W168"/>
      <c r="X168"/>
    </row>
    <row r="169" spans="1:24" ht="14.5" hidden="1">
      <c r="A169" s="184" t="s">
        <v>600</v>
      </c>
      <c r="B169" t="s">
        <v>601</v>
      </c>
      <c r="C169" t="s">
        <v>135</v>
      </c>
      <c r="D169" t="s">
        <v>30</v>
      </c>
      <c r="E169" s="185" t="s">
        <v>25</v>
      </c>
      <c r="F169" s="184">
        <v>0.5</v>
      </c>
      <c r="G169" t="s">
        <v>732</v>
      </c>
      <c r="H169" t="s">
        <v>732</v>
      </c>
      <c r="I169">
        <v>8</v>
      </c>
      <c r="J169" t="s">
        <v>5</v>
      </c>
      <c r="L169"/>
      <c r="M169"/>
      <c r="N169"/>
      <c r="O169"/>
      <c r="P169"/>
      <c r="Q169"/>
      <c r="R169"/>
      <c r="S169"/>
      <c r="T169"/>
      <c r="U169"/>
      <c r="V169"/>
      <c r="W169"/>
      <c r="X169"/>
    </row>
    <row r="170" spans="1:24" ht="14.5" hidden="1">
      <c r="A170" s="184" t="s">
        <v>325</v>
      </c>
      <c r="B170" t="s">
        <v>326</v>
      </c>
      <c r="C170" t="s">
        <v>135</v>
      </c>
      <c r="D170" t="s">
        <v>30</v>
      </c>
      <c r="E170" s="185" t="s">
        <v>25</v>
      </c>
      <c r="F170" s="184">
        <v>0.5</v>
      </c>
      <c r="G170" t="s">
        <v>732</v>
      </c>
      <c r="H170" t="s">
        <v>732</v>
      </c>
      <c r="I170">
        <v>8</v>
      </c>
      <c r="J170" t="s">
        <v>5</v>
      </c>
      <c r="L170"/>
      <c r="M170"/>
      <c r="N170"/>
      <c r="O170"/>
      <c r="P170"/>
      <c r="Q170"/>
      <c r="R170"/>
      <c r="S170"/>
      <c r="T170"/>
      <c r="U170"/>
      <c r="V170"/>
      <c r="W170"/>
      <c r="X170"/>
    </row>
    <row r="171" spans="1:24" ht="14.5" hidden="1">
      <c r="A171" s="184" t="s">
        <v>727</v>
      </c>
      <c r="B171" t="s">
        <v>728</v>
      </c>
      <c r="C171" t="s">
        <v>149</v>
      </c>
      <c r="D171" t="s">
        <v>27</v>
      </c>
      <c r="E171" s="185" t="s">
        <v>735</v>
      </c>
      <c r="F171" s="184">
        <v>0.5</v>
      </c>
      <c r="G171" t="s">
        <v>732</v>
      </c>
      <c r="H171" t="s">
        <v>732</v>
      </c>
      <c r="I171">
        <v>8</v>
      </c>
      <c r="J171" t="s">
        <v>5</v>
      </c>
      <c r="L171"/>
      <c r="M171"/>
      <c r="N171"/>
      <c r="O171"/>
      <c r="P171"/>
      <c r="Q171"/>
      <c r="R171"/>
      <c r="S171"/>
      <c r="T171"/>
      <c r="U171"/>
      <c r="V171"/>
      <c r="W171"/>
      <c r="X171"/>
    </row>
    <row r="172" spans="1:24" ht="14.5" hidden="1">
      <c r="A172" s="184" t="s">
        <v>387</v>
      </c>
      <c r="B172" t="s">
        <v>388</v>
      </c>
      <c r="C172" t="s">
        <v>149</v>
      </c>
      <c r="D172" t="s">
        <v>27</v>
      </c>
      <c r="E172" s="185" t="s">
        <v>25</v>
      </c>
      <c r="F172" s="184">
        <v>0.5</v>
      </c>
      <c r="G172" t="s">
        <v>732</v>
      </c>
      <c r="H172" t="s">
        <v>732</v>
      </c>
      <c r="I172">
        <v>8</v>
      </c>
      <c r="J172" t="s">
        <v>5</v>
      </c>
      <c r="L172"/>
      <c r="M172"/>
      <c r="N172"/>
      <c r="O172"/>
      <c r="P172"/>
      <c r="Q172"/>
      <c r="R172"/>
      <c r="S172"/>
      <c r="T172"/>
      <c r="U172"/>
      <c r="V172"/>
      <c r="W172"/>
      <c r="X172"/>
    </row>
    <row r="173" spans="1:24" ht="14.5" hidden="1">
      <c r="A173" s="184" t="s">
        <v>736</v>
      </c>
      <c r="B173" t="s">
        <v>569</v>
      </c>
      <c r="C173" t="s">
        <v>148</v>
      </c>
      <c r="D173" t="s">
        <v>36</v>
      </c>
      <c r="E173" s="185" t="s">
        <v>25</v>
      </c>
      <c r="F173" s="184">
        <v>1</v>
      </c>
      <c r="G173" t="s">
        <v>580</v>
      </c>
      <c r="H173" t="s">
        <v>580</v>
      </c>
      <c r="I173">
        <v>8</v>
      </c>
      <c r="J173" t="s">
        <v>25</v>
      </c>
      <c r="L173"/>
      <c r="M173"/>
      <c r="N173"/>
      <c r="O173"/>
      <c r="P173"/>
      <c r="Q173"/>
      <c r="R173"/>
      <c r="S173"/>
      <c r="T173"/>
      <c r="U173"/>
      <c r="V173"/>
      <c r="W173"/>
      <c r="X173"/>
    </row>
    <row r="174" spans="1:24" ht="14.5" hidden="1">
      <c r="A174" s="184" t="s">
        <v>443</v>
      </c>
      <c r="B174" t="s">
        <v>444</v>
      </c>
      <c r="C174" t="s">
        <v>147</v>
      </c>
      <c r="D174" t="s">
        <v>30</v>
      </c>
      <c r="E174" s="185" t="s">
        <v>25</v>
      </c>
      <c r="F174" s="184">
        <v>1</v>
      </c>
      <c r="G174" t="s">
        <v>580</v>
      </c>
      <c r="H174" t="s">
        <v>580</v>
      </c>
      <c r="I174">
        <v>8</v>
      </c>
      <c r="J174" t="s">
        <v>25</v>
      </c>
      <c r="L174"/>
      <c r="M174"/>
      <c r="N174"/>
      <c r="O174"/>
      <c r="P174"/>
      <c r="Q174"/>
      <c r="R174"/>
      <c r="S174"/>
      <c r="T174"/>
      <c r="U174"/>
      <c r="V174"/>
      <c r="W174"/>
      <c r="X174"/>
    </row>
    <row r="175" spans="1:24" ht="14.5" hidden="1">
      <c r="A175" s="184" t="s">
        <v>387</v>
      </c>
      <c r="B175" t="s">
        <v>388</v>
      </c>
      <c r="C175" t="s">
        <v>149</v>
      </c>
      <c r="D175" t="s">
        <v>30</v>
      </c>
      <c r="E175" s="185" t="s">
        <v>737</v>
      </c>
      <c r="F175" s="184">
        <v>1</v>
      </c>
      <c r="G175" t="s">
        <v>580</v>
      </c>
      <c r="H175" t="s">
        <v>580</v>
      </c>
      <c r="I175">
        <v>8</v>
      </c>
      <c r="J175" t="s">
        <v>25</v>
      </c>
      <c r="L175"/>
      <c r="M175"/>
      <c r="N175"/>
      <c r="O175"/>
      <c r="P175"/>
      <c r="Q175"/>
      <c r="R175"/>
      <c r="S175"/>
      <c r="T175"/>
      <c r="U175"/>
      <c r="V175"/>
      <c r="W175"/>
      <c r="X175"/>
    </row>
    <row r="176" spans="1:24" ht="14.5" hidden="1">
      <c r="A176" s="184" t="s">
        <v>476</v>
      </c>
      <c r="B176" t="s">
        <v>477</v>
      </c>
      <c r="C176" t="s">
        <v>149</v>
      </c>
      <c r="D176" t="s">
        <v>27</v>
      </c>
      <c r="E176" s="185" t="s">
        <v>25</v>
      </c>
      <c r="F176" s="184">
        <v>1</v>
      </c>
      <c r="G176" t="s">
        <v>580</v>
      </c>
      <c r="H176" t="s">
        <v>580</v>
      </c>
      <c r="I176">
        <v>8</v>
      </c>
      <c r="J176" t="s">
        <v>25</v>
      </c>
      <c r="L176"/>
      <c r="M176"/>
      <c r="N176"/>
      <c r="O176"/>
      <c r="P176"/>
      <c r="Q176"/>
      <c r="R176"/>
      <c r="S176"/>
      <c r="T176"/>
      <c r="U176"/>
      <c r="V176"/>
      <c r="W176"/>
      <c r="X176"/>
    </row>
    <row r="177" spans="1:24" ht="14.5" hidden="1">
      <c r="A177" s="184" t="s">
        <v>262</v>
      </c>
      <c r="B177" t="s">
        <v>263</v>
      </c>
      <c r="C177" t="s">
        <v>147</v>
      </c>
      <c r="D177" t="s">
        <v>30</v>
      </c>
      <c r="E177" s="185" t="s">
        <v>25</v>
      </c>
      <c r="F177" s="184">
        <v>1</v>
      </c>
      <c r="G177" t="s">
        <v>580</v>
      </c>
      <c r="H177" t="s">
        <v>580</v>
      </c>
      <c r="I177">
        <v>8</v>
      </c>
      <c r="J177" t="s">
        <v>25</v>
      </c>
      <c r="L177"/>
      <c r="M177"/>
      <c r="N177"/>
      <c r="O177"/>
      <c r="P177"/>
      <c r="Q177"/>
      <c r="R177"/>
      <c r="S177"/>
      <c r="T177"/>
      <c r="U177"/>
      <c r="V177"/>
      <c r="W177"/>
      <c r="X177"/>
    </row>
    <row r="178" spans="1:24" ht="14.5" hidden="1">
      <c r="A178" s="184" t="s">
        <v>449</v>
      </c>
      <c r="B178" t="s">
        <v>450</v>
      </c>
      <c r="C178" t="s">
        <v>431</v>
      </c>
      <c r="D178" t="s">
        <v>29</v>
      </c>
      <c r="E178" s="185" t="s">
        <v>738</v>
      </c>
      <c r="F178" s="184">
        <v>1</v>
      </c>
      <c r="G178" t="s">
        <v>580</v>
      </c>
      <c r="H178" t="s">
        <v>580</v>
      </c>
      <c r="I178">
        <v>8</v>
      </c>
      <c r="J178" t="s">
        <v>25</v>
      </c>
      <c r="L178"/>
      <c r="M178"/>
      <c r="N178"/>
      <c r="O178"/>
      <c r="P178"/>
      <c r="Q178"/>
      <c r="R178"/>
      <c r="S178"/>
      <c r="T178"/>
      <c r="U178"/>
      <c r="V178"/>
      <c r="W178"/>
      <c r="X178"/>
    </row>
    <row r="179" spans="1:24" ht="14.5" hidden="1">
      <c r="A179" s="184" t="s">
        <v>151</v>
      </c>
      <c r="B179" t="s">
        <v>152</v>
      </c>
      <c r="C179" t="s">
        <v>147</v>
      </c>
      <c r="D179" t="s">
        <v>27</v>
      </c>
      <c r="E179" s="185" t="s">
        <v>25</v>
      </c>
      <c r="F179" s="184">
        <v>0.5</v>
      </c>
      <c r="G179" t="s">
        <v>580</v>
      </c>
      <c r="H179" t="s">
        <v>580</v>
      </c>
      <c r="I179">
        <v>8</v>
      </c>
      <c r="J179" t="s">
        <v>5</v>
      </c>
      <c r="L179"/>
      <c r="M179"/>
      <c r="N179"/>
      <c r="O179"/>
      <c r="P179"/>
      <c r="Q179"/>
      <c r="R179"/>
      <c r="S179"/>
      <c r="T179"/>
      <c r="U179"/>
      <c r="V179"/>
      <c r="W179"/>
      <c r="X179"/>
    </row>
    <row r="180" spans="1:24" ht="14.5" hidden="1">
      <c r="A180" s="184" t="s">
        <v>473</v>
      </c>
      <c r="B180" t="s">
        <v>378</v>
      </c>
      <c r="C180" t="s">
        <v>431</v>
      </c>
      <c r="D180" t="s">
        <v>29</v>
      </c>
      <c r="E180" s="185" t="s">
        <v>739</v>
      </c>
      <c r="F180" s="184">
        <v>1</v>
      </c>
      <c r="G180" t="s">
        <v>580</v>
      </c>
      <c r="H180" t="s">
        <v>580</v>
      </c>
      <c r="I180">
        <v>8</v>
      </c>
      <c r="J180" t="s">
        <v>25</v>
      </c>
      <c r="L180"/>
      <c r="M180"/>
      <c r="N180"/>
      <c r="O180"/>
      <c r="P180"/>
      <c r="Q180"/>
      <c r="R180"/>
      <c r="S180"/>
      <c r="T180"/>
      <c r="U180"/>
      <c r="V180"/>
      <c r="W180"/>
      <c r="X180"/>
    </row>
    <row r="181" spans="1:24" ht="14.5" hidden="1">
      <c r="A181" s="184" t="s">
        <v>650</v>
      </c>
      <c r="B181" t="s">
        <v>576</v>
      </c>
      <c r="C181" t="s">
        <v>431</v>
      </c>
      <c r="D181" t="s">
        <v>29</v>
      </c>
      <c r="E181" s="185" t="s">
        <v>740</v>
      </c>
      <c r="F181" s="184">
        <v>1</v>
      </c>
      <c r="G181" t="s">
        <v>580</v>
      </c>
      <c r="H181" t="s">
        <v>580</v>
      </c>
      <c r="I181">
        <v>8</v>
      </c>
      <c r="J181" t="s">
        <v>25</v>
      </c>
      <c r="L181"/>
      <c r="M181"/>
      <c r="N181"/>
      <c r="O181"/>
      <c r="P181"/>
      <c r="Q181"/>
      <c r="R181"/>
      <c r="S181"/>
      <c r="T181"/>
      <c r="U181"/>
      <c r="V181"/>
      <c r="W181"/>
      <c r="X181"/>
    </row>
    <row r="182" spans="1:24" ht="14.5" hidden="1">
      <c r="A182" s="184" t="s">
        <v>447</v>
      </c>
      <c r="B182" t="s">
        <v>448</v>
      </c>
      <c r="C182" t="s">
        <v>431</v>
      </c>
      <c r="D182" t="s">
        <v>30</v>
      </c>
      <c r="E182" s="185" t="s">
        <v>25</v>
      </c>
      <c r="F182" s="184">
        <v>0.5</v>
      </c>
      <c r="G182" t="s">
        <v>580</v>
      </c>
      <c r="H182" t="s">
        <v>580</v>
      </c>
      <c r="I182">
        <v>8</v>
      </c>
      <c r="J182" t="s">
        <v>5</v>
      </c>
      <c r="L182"/>
      <c r="M182"/>
      <c r="N182"/>
      <c r="O182"/>
      <c r="P182"/>
      <c r="Q182"/>
      <c r="R182"/>
      <c r="S182"/>
      <c r="T182"/>
      <c r="U182"/>
      <c r="V182"/>
      <c r="W182"/>
      <c r="X182"/>
    </row>
    <row r="183" spans="1:24" ht="14.5" hidden="1">
      <c r="A183" s="184" t="s">
        <v>339</v>
      </c>
      <c r="B183" t="s">
        <v>340</v>
      </c>
      <c r="C183" t="s">
        <v>255</v>
      </c>
      <c r="D183" t="s">
        <v>30</v>
      </c>
      <c r="E183" s="185" t="s">
        <v>25</v>
      </c>
      <c r="F183" s="184">
        <v>1</v>
      </c>
      <c r="G183" t="s">
        <v>580</v>
      </c>
      <c r="H183" t="s">
        <v>580</v>
      </c>
      <c r="I183">
        <v>8</v>
      </c>
      <c r="J183" t="s">
        <v>25</v>
      </c>
      <c r="L183"/>
      <c r="M183"/>
      <c r="N183"/>
      <c r="O183"/>
      <c r="P183"/>
      <c r="Q183"/>
      <c r="R183"/>
      <c r="S183"/>
      <c r="T183"/>
      <c r="U183"/>
      <c r="V183"/>
      <c r="W183"/>
      <c r="X183"/>
    </row>
    <row r="184" spans="1:24" ht="14.5" hidden="1">
      <c r="A184" s="184" t="s">
        <v>741</v>
      </c>
      <c r="B184" t="s">
        <v>241</v>
      </c>
      <c r="C184" t="s">
        <v>148</v>
      </c>
      <c r="D184" t="s">
        <v>24</v>
      </c>
      <c r="E184" s="185" t="s">
        <v>742</v>
      </c>
      <c r="F184" s="184">
        <v>1</v>
      </c>
      <c r="G184" t="s">
        <v>580</v>
      </c>
      <c r="H184" t="s">
        <v>580</v>
      </c>
      <c r="I184">
        <v>8</v>
      </c>
      <c r="J184" t="s">
        <v>25</v>
      </c>
      <c r="L184"/>
      <c r="M184"/>
      <c r="N184"/>
      <c r="O184"/>
      <c r="P184"/>
      <c r="Q184"/>
      <c r="R184"/>
      <c r="S184"/>
      <c r="T184"/>
      <c r="U184"/>
      <c r="V184"/>
      <c r="W184"/>
      <c r="X184"/>
    </row>
    <row r="185" spans="1:24" ht="14.5" hidden="1">
      <c r="A185" s="184" t="s">
        <v>743</v>
      </c>
      <c r="B185" t="s">
        <v>417</v>
      </c>
      <c r="C185" t="s">
        <v>461</v>
      </c>
      <c r="D185" t="s">
        <v>27</v>
      </c>
      <c r="E185" s="185" t="s">
        <v>744</v>
      </c>
      <c r="F185" s="184">
        <v>1</v>
      </c>
      <c r="G185" t="s">
        <v>580</v>
      </c>
      <c r="H185" t="s">
        <v>580</v>
      </c>
      <c r="I185">
        <v>8</v>
      </c>
      <c r="J185" t="s">
        <v>25</v>
      </c>
      <c r="L185"/>
      <c r="M185"/>
      <c r="N185"/>
      <c r="O185"/>
      <c r="P185"/>
      <c r="Q185"/>
      <c r="R185"/>
      <c r="S185"/>
      <c r="T185"/>
      <c r="U185"/>
      <c r="V185"/>
      <c r="W185"/>
      <c r="X185"/>
    </row>
    <row r="186" spans="1:24" ht="14.5" hidden="1">
      <c r="A186" s="184" t="s">
        <v>429</v>
      </c>
      <c r="B186" t="s">
        <v>430</v>
      </c>
      <c r="C186" t="s">
        <v>431</v>
      </c>
      <c r="D186" t="s">
        <v>29</v>
      </c>
      <c r="E186" s="185" t="s">
        <v>745</v>
      </c>
      <c r="F186" s="184">
        <v>1</v>
      </c>
      <c r="G186" t="s">
        <v>580</v>
      </c>
      <c r="H186" t="s">
        <v>580</v>
      </c>
      <c r="I186">
        <v>8</v>
      </c>
      <c r="J186" t="s">
        <v>25</v>
      </c>
      <c r="L186"/>
      <c r="M186"/>
      <c r="N186"/>
      <c r="O186"/>
      <c r="P186"/>
      <c r="Q186"/>
      <c r="R186"/>
      <c r="S186"/>
      <c r="T186"/>
      <c r="U186"/>
      <c r="V186"/>
      <c r="W186"/>
      <c r="X186"/>
    </row>
    <row r="187" spans="1:24" ht="14.5" hidden="1">
      <c r="A187" s="184" t="s">
        <v>37</v>
      </c>
      <c r="B187" t="s">
        <v>38</v>
      </c>
      <c r="C187" t="s">
        <v>28</v>
      </c>
      <c r="D187" t="s">
        <v>29</v>
      </c>
      <c r="E187" s="185" t="s">
        <v>746</v>
      </c>
      <c r="F187" s="184">
        <v>1</v>
      </c>
      <c r="G187" t="s">
        <v>580</v>
      </c>
      <c r="H187" t="s">
        <v>580</v>
      </c>
      <c r="I187">
        <v>8</v>
      </c>
      <c r="J187" t="s">
        <v>25</v>
      </c>
      <c r="L187"/>
      <c r="M187"/>
      <c r="N187"/>
      <c r="O187"/>
      <c r="P187"/>
      <c r="Q187"/>
      <c r="R187"/>
      <c r="S187"/>
      <c r="T187"/>
      <c r="U187"/>
      <c r="V187"/>
      <c r="W187"/>
      <c r="X187"/>
    </row>
    <row r="188" spans="1:24" ht="72.5" hidden="1">
      <c r="A188" s="184" t="s">
        <v>643</v>
      </c>
      <c r="B188" t="s">
        <v>644</v>
      </c>
      <c r="C188" t="s">
        <v>147</v>
      </c>
      <c r="D188" t="s">
        <v>29</v>
      </c>
      <c r="E188" s="185" t="s">
        <v>747</v>
      </c>
      <c r="F188" s="184">
        <v>1</v>
      </c>
      <c r="G188" t="s">
        <v>584</v>
      </c>
      <c r="H188" t="s">
        <v>584</v>
      </c>
      <c r="I188">
        <v>8</v>
      </c>
      <c r="J188" t="s">
        <v>25</v>
      </c>
      <c r="L188"/>
      <c r="M188"/>
      <c r="N188"/>
      <c r="O188"/>
      <c r="P188"/>
      <c r="Q188"/>
      <c r="R188"/>
      <c r="S188"/>
      <c r="T188"/>
      <c r="U188"/>
      <c r="V188"/>
      <c r="W188"/>
      <c r="X188"/>
    </row>
    <row r="189" spans="1:24" ht="14.5" hidden="1">
      <c r="A189" s="184" t="s">
        <v>429</v>
      </c>
      <c r="B189" t="s">
        <v>430</v>
      </c>
      <c r="C189" t="s">
        <v>431</v>
      </c>
      <c r="D189" t="s">
        <v>29</v>
      </c>
      <c r="E189" s="185" t="s">
        <v>748</v>
      </c>
      <c r="F189" s="184">
        <v>1</v>
      </c>
      <c r="G189" t="s">
        <v>584</v>
      </c>
      <c r="H189" t="s">
        <v>584</v>
      </c>
      <c r="I189">
        <v>8</v>
      </c>
      <c r="J189" t="s">
        <v>25</v>
      </c>
      <c r="L189"/>
      <c r="M189"/>
      <c r="N189"/>
      <c r="O189"/>
      <c r="P189"/>
      <c r="Q189"/>
      <c r="R189"/>
      <c r="S189"/>
      <c r="T189"/>
      <c r="U189"/>
      <c r="V189"/>
      <c r="W189"/>
      <c r="X189"/>
    </row>
    <row r="190" spans="1:24" ht="14.5" hidden="1">
      <c r="A190" s="184" t="s">
        <v>736</v>
      </c>
      <c r="B190" t="s">
        <v>569</v>
      </c>
      <c r="C190" t="s">
        <v>148</v>
      </c>
      <c r="D190" t="s">
        <v>36</v>
      </c>
      <c r="E190" s="185" t="s">
        <v>25</v>
      </c>
      <c r="F190" s="184">
        <v>1</v>
      </c>
      <c r="G190" t="s">
        <v>584</v>
      </c>
      <c r="H190" t="s">
        <v>584</v>
      </c>
      <c r="I190">
        <v>8</v>
      </c>
      <c r="J190" t="s">
        <v>25</v>
      </c>
      <c r="L190"/>
      <c r="M190"/>
      <c r="N190"/>
      <c r="O190"/>
      <c r="P190"/>
      <c r="Q190"/>
      <c r="R190"/>
      <c r="S190"/>
      <c r="T190"/>
      <c r="U190"/>
      <c r="V190"/>
      <c r="W190"/>
      <c r="X190"/>
    </row>
    <row r="191" spans="1:24" ht="14.5" hidden="1">
      <c r="A191" s="184" t="s">
        <v>663</v>
      </c>
      <c r="B191" t="s">
        <v>664</v>
      </c>
      <c r="C191" t="s">
        <v>33</v>
      </c>
      <c r="D191" t="s">
        <v>30</v>
      </c>
      <c r="E191" s="185" t="s">
        <v>25</v>
      </c>
      <c r="F191" s="184">
        <v>0.5</v>
      </c>
      <c r="G191" t="s">
        <v>584</v>
      </c>
      <c r="H191" t="s">
        <v>584</v>
      </c>
      <c r="I191">
        <v>8</v>
      </c>
      <c r="J191" t="s">
        <v>1</v>
      </c>
      <c r="L191"/>
      <c r="M191"/>
      <c r="N191"/>
      <c r="O191"/>
      <c r="P191"/>
      <c r="Q191"/>
      <c r="R191"/>
      <c r="S191"/>
      <c r="T191"/>
      <c r="U191"/>
      <c r="V191"/>
      <c r="W191"/>
      <c r="X191"/>
    </row>
    <row r="192" spans="1:24" ht="43.5" hidden="1">
      <c r="A192" s="184" t="s">
        <v>392</v>
      </c>
      <c r="B192" t="s">
        <v>393</v>
      </c>
      <c r="C192" t="s">
        <v>147</v>
      </c>
      <c r="D192" t="s">
        <v>29</v>
      </c>
      <c r="E192" s="185" t="s">
        <v>749</v>
      </c>
      <c r="F192" s="184">
        <v>1</v>
      </c>
      <c r="G192" t="s">
        <v>584</v>
      </c>
      <c r="H192" t="s">
        <v>584</v>
      </c>
      <c r="I192">
        <v>8</v>
      </c>
      <c r="J192" t="s">
        <v>25</v>
      </c>
      <c r="L192"/>
      <c r="M192"/>
      <c r="N192"/>
      <c r="O192"/>
      <c r="P192"/>
      <c r="Q192"/>
      <c r="R192"/>
      <c r="S192"/>
      <c r="T192"/>
      <c r="U192"/>
      <c r="V192"/>
      <c r="W192"/>
      <c r="X192"/>
    </row>
    <row r="193" spans="1:24" ht="14.5" hidden="1">
      <c r="A193" s="184" t="s">
        <v>136</v>
      </c>
      <c r="B193" t="s">
        <v>137</v>
      </c>
      <c r="C193" t="s">
        <v>298</v>
      </c>
      <c r="D193" t="s">
        <v>30</v>
      </c>
      <c r="E193" s="185" t="s">
        <v>750</v>
      </c>
      <c r="F193" s="184">
        <v>1</v>
      </c>
      <c r="G193" t="s">
        <v>584</v>
      </c>
      <c r="H193" t="s">
        <v>584</v>
      </c>
      <c r="I193">
        <v>8</v>
      </c>
      <c r="J193" t="s">
        <v>25</v>
      </c>
      <c r="L193"/>
      <c r="M193"/>
      <c r="N193"/>
      <c r="O193"/>
      <c r="P193"/>
      <c r="Q193"/>
      <c r="R193"/>
      <c r="S193"/>
      <c r="T193"/>
      <c r="U193"/>
      <c r="V193"/>
      <c r="W193"/>
      <c r="X193"/>
    </row>
    <row r="194" spans="1:24" ht="14.5" hidden="1">
      <c r="A194" s="184" t="s">
        <v>325</v>
      </c>
      <c r="B194" t="s">
        <v>326</v>
      </c>
      <c r="C194" t="s">
        <v>135</v>
      </c>
      <c r="D194" t="s">
        <v>30</v>
      </c>
      <c r="E194" s="185" t="s">
        <v>25</v>
      </c>
      <c r="F194" s="184">
        <v>0.5</v>
      </c>
      <c r="G194" t="s">
        <v>584</v>
      </c>
      <c r="H194" t="s">
        <v>584</v>
      </c>
      <c r="I194">
        <v>8</v>
      </c>
      <c r="J194" t="s">
        <v>5</v>
      </c>
      <c r="L194"/>
      <c r="M194"/>
      <c r="N194"/>
      <c r="O194"/>
      <c r="P194"/>
      <c r="Q194"/>
      <c r="R194"/>
      <c r="S194"/>
      <c r="T194"/>
      <c r="U194"/>
      <c r="V194"/>
      <c r="W194"/>
      <c r="X194"/>
    </row>
    <row r="195" spans="1:24" ht="29" hidden="1">
      <c r="A195" s="184" t="s">
        <v>400</v>
      </c>
      <c r="B195" t="s">
        <v>401</v>
      </c>
      <c r="C195" t="s">
        <v>159</v>
      </c>
      <c r="D195" t="s">
        <v>29</v>
      </c>
      <c r="E195" s="185" t="s">
        <v>751</v>
      </c>
      <c r="F195" s="184">
        <v>0.5</v>
      </c>
      <c r="G195" t="s">
        <v>584</v>
      </c>
      <c r="H195" t="s">
        <v>584</v>
      </c>
      <c r="I195">
        <v>8</v>
      </c>
      <c r="J195" t="s">
        <v>5</v>
      </c>
      <c r="L195"/>
      <c r="M195"/>
      <c r="N195"/>
      <c r="O195"/>
      <c r="P195"/>
      <c r="Q195"/>
      <c r="R195"/>
      <c r="S195"/>
      <c r="T195"/>
      <c r="U195"/>
      <c r="V195"/>
      <c r="W195"/>
      <c r="X195"/>
    </row>
    <row r="196" spans="1:24" ht="29" hidden="1">
      <c r="A196" s="184" t="s">
        <v>328</v>
      </c>
      <c r="B196" t="s">
        <v>329</v>
      </c>
      <c r="C196" t="s">
        <v>149</v>
      </c>
      <c r="D196" t="s">
        <v>29</v>
      </c>
      <c r="E196" s="185" t="s">
        <v>752</v>
      </c>
      <c r="F196" s="184">
        <v>1</v>
      </c>
      <c r="G196" t="s">
        <v>584</v>
      </c>
      <c r="H196" t="s">
        <v>584</v>
      </c>
      <c r="I196">
        <v>8</v>
      </c>
      <c r="J196" t="s">
        <v>25</v>
      </c>
      <c r="L196"/>
      <c r="M196"/>
      <c r="N196"/>
      <c r="O196"/>
      <c r="P196"/>
      <c r="Q196"/>
      <c r="R196"/>
      <c r="S196"/>
      <c r="T196"/>
      <c r="U196"/>
      <c r="V196"/>
      <c r="W196"/>
      <c r="X196"/>
    </row>
    <row r="197" spans="1:24" ht="14.5" hidden="1">
      <c r="A197" s="184" t="s">
        <v>288</v>
      </c>
      <c r="B197" t="s">
        <v>289</v>
      </c>
      <c r="C197" t="s">
        <v>147</v>
      </c>
      <c r="D197" t="s">
        <v>29</v>
      </c>
      <c r="E197" s="185" t="s">
        <v>25</v>
      </c>
      <c r="F197" s="184">
        <v>1</v>
      </c>
      <c r="G197" t="s">
        <v>584</v>
      </c>
      <c r="H197" t="s">
        <v>584</v>
      </c>
      <c r="I197">
        <v>8</v>
      </c>
      <c r="J197" t="s">
        <v>25</v>
      </c>
      <c r="L197"/>
      <c r="M197"/>
      <c r="N197"/>
      <c r="O197"/>
      <c r="P197"/>
      <c r="Q197"/>
      <c r="R197"/>
      <c r="S197"/>
      <c r="T197"/>
      <c r="U197"/>
      <c r="V197"/>
      <c r="W197"/>
      <c r="X197"/>
    </row>
    <row r="198" spans="1:24" ht="14.5" hidden="1">
      <c r="A198" s="184" t="s">
        <v>395</v>
      </c>
      <c r="B198" t="s">
        <v>396</v>
      </c>
      <c r="C198" t="s">
        <v>248</v>
      </c>
      <c r="D198" t="s">
        <v>29</v>
      </c>
      <c r="E198" s="185" t="s">
        <v>753</v>
      </c>
      <c r="F198" s="184">
        <v>1</v>
      </c>
      <c r="G198" t="s">
        <v>584</v>
      </c>
      <c r="H198" t="s">
        <v>584</v>
      </c>
      <c r="I198">
        <v>8</v>
      </c>
      <c r="J198" t="s">
        <v>25</v>
      </c>
      <c r="L198"/>
      <c r="M198"/>
      <c r="N198"/>
      <c r="O198"/>
      <c r="P198"/>
      <c r="Q198"/>
      <c r="R198"/>
      <c r="S198"/>
      <c r="T198"/>
      <c r="U198"/>
      <c r="V198"/>
      <c r="W198"/>
      <c r="X198"/>
    </row>
    <row r="199" spans="1:24" ht="14.5" hidden="1">
      <c r="A199" s="184" t="s">
        <v>244</v>
      </c>
      <c r="B199" t="s">
        <v>246</v>
      </c>
      <c r="C199" t="s">
        <v>28</v>
      </c>
      <c r="D199" t="s">
        <v>30</v>
      </c>
      <c r="E199" s="185" t="s">
        <v>25</v>
      </c>
      <c r="F199" s="184">
        <v>1</v>
      </c>
      <c r="G199" t="s">
        <v>584</v>
      </c>
      <c r="H199" t="s">
        <v>584</v>
      </c>
      <c r="I199">
        <v>8</v>
      </c>
      <c r="J199" t="s">
        <v>25</v>
      </c>
      <c r="L199"/>
      <c r="M199"/>
      <c r="N199"/>
      <c r="O199"/>
      <c r="P199"/>
      <c r="Q199"/>
      <c r="R199"/>
      <c r="S199"/>
      <c r="T199"/>
      <c r="U199"/>
      <c r="V199"/>
      <c r="W199"/>
      <c r="X199"/>
    </row>
    <row r="200" spans="1:24" ht="14.5" hidden="1">
      <c r="A200" s="184" t="s">
        <v>341</v>
      </c>
      <c r="B200" t="s">
        <v>342</v>
      </c>
      <c r="C200" t="s">
        <v>26</v>
      </c>
      <c r="D200" t="s">
        <v>36</v>
      </c>
      <c r="E200" s="185" t="s">
        <v>25</v>
      </c>
      <c r="F200" s="184">
        <v>1</v>
      </c>
      <c r="G200" t="s">
        <v>584</v>
      </c>
      <c r="H200" t="s">
        <v>584</v>
      </c>
      <c r="I200">
        <v>8</v>
      </c>
      <c r="J200" t="s">
        <v>25</v>
      </c>
      <c r="L200"/>
      <c r="M200"/>
      <c r="N200"/>
      <c r="O200"/>
      <c r="P200"/>
      <c r="Q200"/>
      <c r="R200"/>
      <c r="S200"/>
      <c r="T200"/>
      <c r="U200"/>
      <c r="V200"/>
      <c r="W200"/>
      <c r="X200"/>
    </row>
    <row r="201" spans="1:24" ht="14.5" hidden="1">
      <c r="A201" s="184" t="s">
        <v>754</v>
      </c>
      <c r="B201" t="s">
        <v>755</v>
      </c>
      <c r="C201" t="s">
        <v>149</v>
      </c>
      <c r="D201" t="s">
        <v>27</v>
      </c>
      <c r="E201" s="185" t="s">
        <v>25</v>
      </c>
      <c r="F201" s="184">
        <v>1</v>
      </c>
      <c r="G201" t="s">
        <v>584</v>
      </c>
      <c r="H201" t="s">
        <v>584</v>
      </c>
      <c r="I201">
        <v>8</v>
      </c>
      <c r="J201" t="s">
        <v>25</v>
      </c>
      <c r="L201"/>
      <c r="M201"/>
      <c r="N201"/>
      <c r="O201"/>
      <c r="P201"/>
      <c r="Q201"/>
      <c r="R201"/>
      <c r="S201"/>
      <c r="T201"/>
      <c r="U201"/>
      <c r="V201"/>
      <c r="W201"/>
      <c r="X201"/>
    </row>
    <row r="202" spans="1:24" ht="14.5" hidden="1">
      <c r="A202" s="184" t="s">
        <v>436</v>
      </c>
      <c r="B202" t="s">
        <v>437</v>
      </c>
      <c r="C202" t="s">
        <v>28</v>
      </c>
      <c r="D202" t="s">
        <v>24</v>
      </c>
      <c r="E202" s="185" t="s">
        <v>25</v>
      </c>
      <c r="F202" s="184">
        <v>2</v>
      </c>
      <c r="G202" t="s">
        <v>584</v>
      </c>
      <c r="H202" t="s">
        <v>580</v>
      </c>
      <c r="I202">
        <v>8</v>
      </c>
      <c r="J202" t="s">
        <v>25</v>
      </c>
      <c r="L202"/>
      <c r="M202"/>
      <c r="N202"/>
      <c r="O202"/>
      <c r="P202"/>
      <c r="Q202"/>
      <c r="R202"/>
      <c r="S202"/>
      <c r="T202"/>
      <c r="U202"/>
      <c r="V202"/>
      <c r="W202"/>
      <c r="X202"/>
    </row>
    <row r="203" spans="1:24" ht="14.5" hidden="1">
      <c r="A203" s="184" t="s">
        <v>287</v>
      </c>
      <c r="B203" t="s">
        <v>242</v>
      </c>
      <c r="C203" t="s">
        <v>250</v>
      </c>
      <c r="D203" t="s">
        <v>27</v>
      </c>
      <c r="E203" s="185" t="s">
        <v>25</v>
      </c>
      <c r="F203" s="184">
        <v>1</v>
      </c>
      <c r="G203" t="s">
        <v>584</v>
      </c>
      <c r="H203" t="s">
        <v>584</v>
      </c>
      <c r="I203">
        <v>8</v>
      </c>
      <c r="J203" t="s">
        <v>25</v>
      </c>
      <c r="L203"/>
      <c r="M203"/>
      <c r="N203"/>
      <c r="O203"/>
      <c r="P203"/>
      <c r="Q203"/>
      <c r="R203"/>
      <c r="S203"/>
      <c r="T203"/>
      <c r="U203"/>
      <c r="V203"/>
      <c r="W203"/>
      <c r="X203"/>
    </row>
    <row r="204" spans="1:24" ht="14.5" hidden="1">
      <c r="A204" s="184" t="s">
        <v>436</v>
      </c>
      <c r="B204" t="s">
        <v>437</v>
      </c>
      <c r="C204" t="s">
        <v>28</v>
      </c>
      <c r="D204" t="s">
        <v>27</v>
      </c>
      <c r="E204" s="185" t="s">
        <v>25</v>
      </c>
      <c r="F204" s="184">
        <v>1</v>
      </c>
      <c r="G204" t="s">
        <v>588</v>
      </c>
      <c r="H204" t="s">
        <v>588</v>
      </c>
      <c r="I204">
        <v>8</v>
      </c>
      <c r="J204" t="s">
        <v>25</v>
      </c>
      <c r="L204"/>
      <c r="M204"/>
      <c r="N204"/>
      <c r="O204"/>
      <c r="P204"/>
      <c r="Q204"/>
      <c r="R204"/>
      <c r="S204"/>
      <c r="T204"/>
      <c r="U204"/>
      <c r="V204"/>
      <c r="W204"/>
      <c r="X204"/>
    </row>
    <row r="205" spans="1:24" ht="14.5" hidden="1">
      <c r="A205" s="184" t="s">
        <v>660</v>
      </c>
      <c r="B205" t="s">
        <v>661</v>
      </c>
      <c r="C205" t="s">
        <v>149</v>
      </c>
      <c r="D205" t="s">
        <v>30</v>
      </c>
      <c r="E205" s="185" t="s">
        <v>81</v>
      </c>
      <c r="F205" s="184">
        <v>1</v>
      </c>
      <c r="G205" t="s">
        <v>588</v>
      </c>
      <c r="H205" t="s">
        <v>588</v>
      </c>
      <c r="I205">
        <v>8</v>
      </c>
      <c r="J205" t="s">
        <v>25</v>
      </c>
      <c r="L205"/>
      <c r="M205"/>
      <c r="N205"/>
      <c r="O205"/>
      <c r="P205"/>
      <c r="Q205"/>
      <c r="R205"/>
      <c r="S205"/>
      <c r="T205"/>
      <c r="U205"/>
      <c r="V205"/>
      <c r="W205"/>
      <c r="X205"/>
    </row>
    <row r="206" spans="1:24" ht="14.5" hidden="1">
      <c r="A206" s="184" t="s">
        <v>658</v>
      </c>
      <c r="B206" t="s">
        <v>659</v>
      </c>
      <c r="C206" t="s">
        <v>34</v>
      </c>
      <c r="D206" t="s">
        <v>30</v>
      </c>
      <c r="E206" s="185" t="s">
        <v>25</v>
      </c>
      <c r="F206" s="184">
        <v>0.5</v>
      </c>
      <c r="G206" t="s">
        <v>588</v>
      </c>
      <c r="H206" t="s">
        <v>588</v>
      </c>
      <c r="I206">
        <v>8</v>
      </c>
      <c r="J206" t="s">
        <v>5</v>
      </c>
      <c r="L206"/>
      <c r="M206"/>
      <c r="N206"/>
      <c r="O206"/>
      <c r="P206"/>
      <c r="Q206"/>
      <c r="R206"/>
      <c r="S206"/>
      <c r="T206"/>
      <c r="U206"/>
      <c r="V206"/>
      <c r="W206"/>
      <c r="X206"/>
    </row>
    <row r="207" spans="1:24" ht="14.5" hidden="1">
      <c r="A207" s="184" t="s">
        <v>190</v>
      </c>
      <c r="B207" t="s">
        <v>191</v>
      </c>
      <c r="C207" t="s">
        <v>147</v>
      </c>
      <c r="D207" t="s">
        <v>30</v>
      </c>
      <c r="E207" s="185" t="s">
        <v>25</v>
      </c>
      <c r="F207" s="184">
        <v>1</v>
      </c>
      <c r="G207" t="s">
        <v>588</v>
      </c>
      <c r="H207" t="s">
        <v>588</v>
      </c>
      <c r="I207">
        <v>8</v>
      </c>
      <c r="J207" t="s">
        <v>25</v>
      </c>
      <c r="L207"/>
      <c r="M207"/>
      <c r="N207"/>
      <c r="O207"/>
      <c r="P207"/>
      <c r="Q207"/>
      <c r="R207"/>
      <c r="S207"/>
      <c r="T207"/>
      <c r="U207"/>
      <c r="V207"/>
      <c r="W207"/>
      <c r="X207"/>
    </row>
    <row r="208" spans="1:24" ht="14.5" hidden="1">
      <c r="A208" s="184" t="s">
        <v>621</v>
      </c>
      <c r="B208" t="s">
        <v>622</v>
      </c>
      <c r="C208" t="s">
        <v>149</v>
      </c>
      <c r="D208" t="s">
        <v>36</v>
      </c>
      <c r="E208" s="185" t="s">
        <v>25</v>
      </c>
      <c r="F208" s="184">
        <v>4</v>
      </c>
      <c r="G208" t="s">
        <v>589</v>
      </c>
      <c r="H208" t="s">
        <v>580</v>
      </c>
      <c r="I208">
        <v>8</v>
      </c>
      <c r="J208" t="s">
        <v>25</v>
      </c>
      <c r="L208"/>
      <c r="M208"/>
      <c r="N208"/>
      <c r="O208"/>
      <c r="P208"/>
      <c r="Q208"/>
      <c r="R208"/>
      <c r="S208"/>
      <c r="T208"/>
      <c r="U208"/>
      <c r="V208"/>
      <c r="W208"/>
      <c r="X208"/>
    </row>
    <row r="209" spans="1:24" ht="14.5" hidden="1">
      <c r="A209" s="184" t="s">
        <v>756</v>
      </c>
      <c r="B209" t="s">
        <v>757</v>
      </c>
      <c r="C209" t="s">
        <v>147</v>
      </c>
      <c r="D209" t="s">
        <v>30</v>
      </c>
      <c r="E209" s="185" t="s">
        <v>25</v>
      </c>
      <c r="F209" s="184">
        <v>5</v>
      </c>
      <c r="G209" t="s">
        <v>590</v>
      </c>
      <c r="H209" t="s">
        <v>580</v>
      </c>
      <c r="I209">
        <v>8</v>
      </c>
      <c r="J209" t="s">
        <v>25</v>
      </c>
      <c r="L209"/>
      <c r="M209"/>
      <c r="N209"/>
      <c r="O209"/>
      <c r="P209"/>
      <c r="Q209"/>
      <c r="R209"/>
      <c r="S209"/>
      <c r="T209"/>
      <c r="U209"/>
      <c r="V209"/>
      <c r="W209"/>
      <c r="X209"/>
    </row>
    <row r="210" spans="1:24" ht="14.5" hidden="1">
      <c r="A210" s="184" t="s">
        <v>724</v>
      </c>
      <c r="B210" t="s">
        <v>725</v>
      </c>
      <c r="C210" t="s">
        <v>149</v>
      </c>
      <c r="D210" t="s">
        <v>30</v>
      </c>
      <c r="E210" s="185" t="s">
        <v>758</v>
      </c>
      <c r="F210" s="184">
        <v>0.5</v>
      </c>
      <c r="G210" t="s">
        <v>590</v>
      </c>
      <c r="H210" t="s">
        <v>590</v>
      </c>
      <c r="I210">
        <v>8</v>
      </c>
      <c r="J210" t="s">
        <v>5</v>
      </c>
      <c r="L210"/>
      <c r="M210"/>
      <c r="N210"/>
      <c r="O210"/>
      <c r="P210"/>
      <c r="Q210"/>
      <c r="R210"/>
      <c r="S210"/>
      <c r="T210"/>
      <c r="U210"/>
      <c r="V210"/>
      <c r="W210"/>
      <c r="X210"/>
    </row>
    <row r="211" spans="1:24" ht="14.5" hidden="1">
      <c r="A211" s="184" t="s">
        <v>436</v>
      </c>
      <c r="B211" t="s">
        <v>437</v>
      </c>
      <c r="C211" t="s">
        <v>28</v>
      </c>
      <c r="D211" t="s">
        <v>30</v>
      </c>
      <c r="E211" s="185" t="s">
        <v>25</v>
      </c>
      <c r="F211" s="184">
        <v>2</v>
      </c>
      <c r="G211" t="s">
        <v>590</v>
      </c>
      <c r="H211" t="s">
        <v>589</v>
      </c>
      <c r="I211">
        <v>8</v>
      </c>
      <c r="J211" t="s">
        <v>25</v>
      </c>
      <c r="L211"/>
      <c r="M211"/>
      <c r="N211"/>
      <c r="O211"/>
      <c r="P211"/>
      <c r="Q211"/>
      <c r="R211"/>
      <c r="S211"/>
      <c r="T211"/>
      <c r="U211"/>
      <c r="V211"/>
      <c r="W211"/>
      <c r="X211"/>
    </row>
    <row r="212" spans="1:24" ht="14.5" hidden="1">
      <c r="A212" s="184" t="s">
        <v>452</v>
      </c>
      <c r="B212" t="s">
        <v>636</v>
      </c>
      <c r="C212" t="s">
        <v>250</v>
      </c>
      <c r="D212" t="s">
        <v>36</v>
      </c>
      <c r="E212" s="185" t="s">
        <v>25</v>
      </c>
      <c r="F212" s="184">
        <v>10</v>
      </c>
      <c r="G212" t="s">
        <v>590</v>
      </c>
      <c r="H212" t="s">
        <v>572</v>
      </c>
      <c r="I212">
        <v>8</v>
      </c>
      <c r="J212" t="s">
        <v>25</v>
      </c>
      <c r="L212"/>
      <c r="M212"/>
      <c r="N212"/>
      <c r="O212"/>
      <c r="P212"/>
      <c r="Q212"/>
      <c r="R212"/>
      <c r="S212"/>
      <c r="T212"/>
      <c r="U212"/>
      <c r="V212"/>
      <c r="W212"/>
      <c r="X212"/>
    </row>
    <row r="213" spans="1:24" ht="14.5" hidden="1">
      <c r="A213" s="184" t="s">
        <v>759</v>
      </c>
      <c r="B213" t="s">
        <v>760</v>
      </c>
      <c r="C213" t="s">
        <v>147</v>
      </c>
      <c r="D213" t="s">
        <v>30</v>
      </c>
      <c r="E213" s="185" t="s">
        <v>25</v>
      </c>
      <c r="F213" s="184">
        <v>0.5</v>
      </c>
      <c r="G213" t="s">
        <v>761</v>
      </c>
      <c r="H213" t="s">
        <v>761</v>
      </c>
      <c r="I213">
        <v>8</v>
      </c>
      <c r="J213" t="s">
        <v>5</v>
      </c>
      <c r="L213"/>
      <c r="M213"/>
      <c r="N213"/>
      <c r="O213"/>
      <c r="P213"/>
      <c r="Q213"/>
      <c r="R213"/>
      <c r="S213"/>
      <c r="T213"/>
      <c r="U213"/>
      <c r="V213"/>
      <c r="W213"/>
      <c r="X213"/>
    </row>
    <row r="214" spans="1:24" ht="14.5" hidden="1">
      <c r="A214" s="184" t="s">
        <v>151</v>
      </c>
      <c r="B214" t="s">
        <v>152</v>
      </c>
      <c r="C214" t="s">
        <v>147</v>
      </c>
      <c r="D214" t="s">
        <v>29</v>
      </c>
      <c r="E214" s="185" t="s">
        <v>25</v>
      </c>
      <c r="F214" s="184">
        <v>1</v>
      </c>
      <c r="G214" t="s">
        <v>761</v>
      </c>
      <c r="H214" t="s">
        <v>761</v>
      </c>
      <c r="I214">
        <v>8</v>
      </c>
      <c r="J214" t="s">
        <v>25</v>
      </c>
      <c r="L214"/>
      <c r="M214"/>
      <c r="N214"/>
      <c r="O214"/>
      <c r="P214"/>
      <c r="Q214"/>
      <c r="R214"/>
      <c r="S214"/>
      <c r="T214"/>
      <c r="U214"/>
      <c r="V214"/>
      <c r="W214"/>
      <c r="X214"/>
    </row>
    <row r="215" spans="1:24" ht="14.5" hidden="1">
      <c r="A215" s="184" t="s">
        <v>762</v>
      </c>
      <c r="B215" t="s">
        <v>763</v>
      </c>
      <c r="C215" t="s">
        <v>147</v>
      </c>
      <c r="D215" t="s">
        <v>30</v>
      </c>
      <c r="E215" s="185" t="s">
        <v>25</v>
      </c>
      <c r="F215" s="184">
        <v>0.5</v>
      </c>
      <c r="G215" t="s">
        <v>761</v>
      </c>
      <c r="H215" t="s">
        <v>761</v>
      </c>
      <c r="I215">
        <v>8</v>
      </c>
      <c r="J215" t="s">
        <v>5</v>
      </c>
      <c r="L215"/>
      <c r="M215"/>
      <c r="N215"/>
      <c r="O215"/>
      <c r="P215"/>
      <c r="Q215"/>
      <c r="R215"/>
      <c r="S215"/>
      <c r="T215"/>
      <c r="U215"/>
      <c r="V215"/>
      <c r="W215"/>
      <c r="X215"/>
    </row>
    <row r="216" spans="1:24" ht="14.5" hidden="1">
      <c r="A216" s="184" t="s">
        <v>337</v>
      </c>
      <c r="B216" t="s">
        <v>338</v>
      </c>
      <c r="C216" t="s">
        <v>148</v>
      </c>
      <c r="D216" t="s">
        <v>29</v>
      </c>
      <c r="E216" s="185" t="s">
        <v>764</v>
      </c>
      <c r="F216" s="184">
        <v>3</v>
      </c>
      <c r="G216" t="s">
        <v>761</v>
      </c>
      <c r="H216" t="s">
        <v>590</v>
      </c>
      <c r="I216">
        <v>8</v>
      </c>
      <c r="J216" t="s">
        <v>25</v>
      </c>
      <c r="L216"/>
      <c r="M216"/>
      <c r="N216"/>
    </row>
    <row r="217" spans="1:24" ht="14.5" hidden="1">
      <c r="A217" s="184" t="s">
        <v>288</v>
      </c>
      <c r="B217" t="s">
        <v>289</v>
      </c>
      <c r="C217" t="s">
        <v>147</v>
      </c>
      <c r="D217" t="s">
        <v>29</v>
      </c>
      <c r="E217" s="185" t="s">
        <v>25</v>
      </c>
      <c r="F217" s="184">
        <v>1</v>
      </c>
      <c r="G217" t="s">
        <v>761</v>
      </c>
      <c r="H217" t="s">
        <v>761</v>
      </c>
      <c r="I217">
        <v>8</v>
      </c>
      <c r="J217" t="s">
        <v>25</v>
      </c>
      <c r="L217"/>
      <c r="M217"/>
      <c r="N217"/>
    </row>
    <row r="218" spans="1:24" ht="14.5" hidden="1">
      <c r="A218" s="184" t="s">
        <v>470</v>
      </c>
      <c r="B218" t="s">
        <v>471</v>
      </c>
      <c r="C218"/>
      <c r="D218" t="s">
        <v>30</v>
      </c>
      <c r="E218" s="185" t="s">
        <v>25</v>
      </c>
      <c r="F218" s="184">
        <v>0.5</v>
      </c>
      <c r="G218" t="s">
        <v>761</v>
      </c>
      <c r="H218" t="s">
        <v>761</v>
      </c>
      <c r="I218">
        <v>8</v>
      </c>
      <c r="J218" t="s">
        <v>5</v>
      </c>
      <c r="L218"/>
      <c r="M218"/>
      <c r="N218"/>
    </row>
    <row r="219" spans="1:24" ht="14.5" hidden="1">
      <c r="A219" s="184" t="s">
        <v>765</v>
      </c>
      <c r="B219" t="s">
        <v>766</v>
      </c>
      <c r="C219" t="s">
        <v>147</v>
      </c>
      <c r="D219" t="s">
        <v>30</v>
      </c>
      <c r="E219" s="185" t="s">
        <v>25</v>
      </c>
      <c r="F219" s="184">
        <v>0.5</v>
      </c>
      <c r="G219" t="s">
        <v>761</v>
      </c>
      <c r="H219" t="s">
        <v>761</v>
      </c>
      <c r="I219">
        <v>8</v>
      </c>
      <c r="J219" t="s">
        <v>5</v>
      </c>
      <c r="L219"/>
      <c r="M219"/>
      <c r="N219"/>
    </row>
    <row r="220" spans="1:24" ht="14.5" hidden="1">
      <c r="A220" s="184" t="s">
        <v>736</v>
      </c>
      <c r="B220" t="s">
        <v>569</v>
      </c>
      <c r="C220" t="s">
        <v>148</v>
      </c>
      <c r="D220" t="s">
        <v>36</v>
      </c>
      <c r="E220" s="185" t="s">
        <v>767</v>
      </c>
      <c r="F220" s="184">
        <v>1</v>
      </c>
      <c r="G220" t="s">
        <v>761</v>
      </c>
      <c r="H220" t="s">
        <v>761</v>
      </c>
      <c r="I220">
        <v>8</v>
      </c>
      <c r="J220" t="s">
        <v>25</v>
      </c>
      <c r="L220"/>
      <c r="M220"/>
      <c r="N220"/>
    </row>
    <row r="221" spans="1:24" ht="14.5" hidden="1">
      <c r="A221" s="184" t="s">
        <v>440</v>
      </c>
      <c r="B221" t="s">
        <v>441</v>
      </c>
      <c r="C221" t="s">
        <v>149</v>
      </c>
      <c r="D221" t="s">
        <v>27</v>
      </c>
      <c r="E221" s="185" t="s">
        <v>768</v>
      </c>
      <c r="F221" s="184" t="s">
        <v>336</v>
      </c>
      <c r="G221" t="s">
        <v>761</v>
      </c>
      <c r="H221" t="s">
        <v>761</v>
      </c>
      <c r="I221">
        <v>8</v>
      </c>
      <c r="J221" t="s">
        <v>5</v>
      </c>
      <c r="L221"/>
      <c r="M221"/>
      <c r="N221"/>
    </row>
    <row r="222" spans="1:24" ht="14.5" hidden="1">
      <c r="A222" s="184" t="s">
        <v>729</v>
      </c>
      <c r="B222" t="s">
        <v>730</v>
      </c>
      <c r="C222" t="s">
        <v>28</v>
      </c>
      <c r="D222" t="s">
        <v>29</v>
      </c>
      <c r="E222" s="185" t="s">
        <v>25</v>
      </c>
      <c r="F222" s="184" t="s">
        <v>336</v>
      </c>
      <c r="G222" t="s">
        <v>761</v>
      </c>
      <c r="H222" t="s">
        <v>761</v>
      </c>
      <c r="I222">
        <v>8</v>
      </c>
      <c r="J222" t="s">
        <v>25</v>
      </c>
      <c r="L222"/>
      <c r="M222"/>
      <c r="N222"/>
    </row>
    <row r="223" spans="1:24" ht="14.5" hidden="1">
      <c r="A223" s="2" t="s">
        <v>449</v>
      </c>
      <c r="B223" s="2" t="s">
        <v>450</v>
      </c>
      <c r="C223" s="2" t="s">
        <v>431</v>
      </c>
      <c r="D223" s="2" t="s">
        <v>30</v>
      </c>
      <c r="E223" s="2" t="s">
        <v>1024</v>
      </c>
      <c r="F223" s="2">
        <v>1</v>
      </c>
      <c r="G223" s="2" t="s">
        <v>892</v>
      </c>
      <c r="H223" s="2" t="s">
        <v>892</v>
      </c>
      <c r="I223" s="16">
        <v>9</v>
      </c>
      <c r="J223" s="2" t="s">
        <v>25</v>
      </c>
      <c r="L223"/>
      <c r="M223"/>
      <c r="N223"/>
    </row>
    <row r="224" spans="1:24" ht="14.5" hidden="1">
      <c r="A224" s="2" t="s">
        <v>1025</v>
      </c>
      <c r="B224" s="2" t="s">
        <v>416</v>
      </c>
      <c r="C224" s="2" t="s">
        <v>148</v>
      </c>
      <c r="D224" s="2" t="s">
        <v>29</v>
      </c>
      <c r="E224" s="2" t="s">
        <v>1026</v>
      </c>
      <c r="F224" s="2">
        <v>1</v>
      </c>
      <c r="G224" s="2" t="s">
        <v>892</v>
      </c>
      <c r="H224" s="2" t="s">
        <v>892</v>
      </c>
      <c r="I224" s="16">
        <v>9</v>
      </c>
      <c r="J224" s="2" t="s">
        <v>5</v>
      </c>
      <c r="L224"/>
      <c r="M224"/>
      <c r="N224"/>
    </row>
    <row r="225" spans="1:14" ht="14.5" hidden="1">
      <c r="A225" s="2" t="s">
        <v>301</v>
      </c>
      <c r="B225" s="2" t="s">
        <v>302</v>
      </c>
      <c r="C225" s="2" t="s">
        <v>149</v>
      </c>
      <c r="D225" s="2" t="s">
        <v>30</v>
      </c>
      <c r="E225" s="2" t="s">
        <v>25</v>
      </c>
      <c r="F225" s="2">
        <v>1</v>
      </c>
      <c r="G225" s="2" t="s">
        <v>892</v>
      </c>
      <c r="H225" s="2" t="s">
        <v>892</v>
      </c>
      <c r="I225" s="16">
        <v>9</v>
      </c>
      <c r="J225" s="2" t="s">
        <v>25</v>
      </c>
      <c r="L225"/>
      <c r="M225"/>
      <c r="N225"/>
    </row>
    <row r="226" spans="1:14" ht="14.5" hidden="1">
      <c r="A226" s="2" t="s">
        <v>325</v>
      </c>
      <c r="B226" s="2" t="s">
        <v>326</v>
      </c>
      <c r="C226" s="2" t="s">
        <v>135</v>
      </c>
      <c r="D226" s="2" t="s">
        <v>30</v>
      </c>
      <c r="E226" s="2" t="s">
        <v>25</v>
      </c>
      <c r="F226" s="2">
        <v>0.5</v>
      </c>
      <c r="G226" s="2" t="s">
        <v>892</v>
      </c>
      <c r="H226" s="2" t="s">
        <v>892</v>
      </c>
      <c r="I226" s="16">
        <v>9</v>
      </c>
      <c r="J226" s="2" t="s">
        <v>5</v>
      </c>
      <c r="L226"/>
      <c r="M226"/>
      <c r="N226"/>
    </row>
    <row r="227" spans="1:14" ht="14.5" hidden="1">
      <c r="A227" s="2" t="s">
        <v>285</v>
      </c>
      <c r="B227" s="2" t="s">
        <v>286</v>
      </c>
      <c r="C227" s="2" t="s">
        <v>149</v>
      </c>
      <c r="D227" s="2" t="s">
        <v>30</v>
      </c>
      <c r="E227" s="2" t="s">
        <v>1027</v>
      </c>
      <c r="F227" s="2">
        <v>1</v>
      </c>
      <c r="G227" s="2" t="s">
        <v>892</v>
      </c>
      <c r="H227" s="2" t="s">
        <v>892</v>
      </c>
      <c r="I227" s="16">
        <v>9</v>
      </c>
      <c r="J227" s="2" t="s">
        <v>25</v>
      </c>
      <c r="L227"/>
      <c r="M227"/>
      <c r="N227"/>
    </row>
    <row r="228" spans="1:14" ht="14.5" hidden="1">
      <c r="A228" s="2" t="s">
        <v>1028</v>
      </c>
      <c r="B228" s="2" t="s">
        <v>896</v>
      </c>
      <c r="C228" s="2" t="s">
        <v>148</v>
      </c>
      <c r="D228" s="2" t="s">
        <v>29</v>
      </c>
      <c r="E228" s="2" t="s">
        <v>1029</v>
      </c>
      <c r="F228" s="2">
        <v>1</v>
      </c>
      <c r="G228" s="2" t="s">
        <v>892</v>
      </c>
      <c r="H228" s="2" t="s">
        <v>892</v>
      </c>
      <c r="I228" s="16">
        <v>9</v>
      </c>
      <c r="J228" s="2" t="s">
        <v>5</v>
      </c>
      <c r="L228"/>
      <c r="M228"/>
      <c r="N228"/>
    </row>
    <row r="229" spans="1:14" ht="14.5" hidden="1">
      <c r="A229" s="2" t="s">
        <v>392</v>
      </c>
      <c r="B229" s="2" t="s">
        <v>393</v>
      </c>
      <c r="C229" s="2" t="s">
        <v>147</v>
      </c>
      <c r="D229" s="2" t="s">
        <v>30</v>
      </c>
      <c r="E229" s="2" t="s">
        <v>25</v>
      </c>
      <c r="F229" s="2">
        <v>1</v>
      </c>
      <c r="G229" s="2" t="s">
        <v>892</v>
      </c>
      <c r="H229" s="2" t="s">
        <v>892</v>
      </c>
      <c r="I229" s="16">
        <v>9</v>
      </c>
      <c r="J229" s="2" t="s">
        <v>25</v>
      </c>
      <c r="L229"/>
      <c r="M229"/>
      <c r="N229"/>
    </row>
    <row r="230" spans="1:14" ht="14.5" hidden="1">
      <c r="A230" s="2" t="s">
        <v>429</v>
      </c>
      <c r="B230" s="2" t="s">
        <v>430</v>
      </c>
      <c r="C230" s="2" t="s">
        <v>431</v>
      </c>
      <c r="D230" s="2" t="s">
        <v>29</v>
      </c>
      <c r="E230" s="2" t="s">
        <v>617</v>
      </c>
      <c r="F230" s="2">
        <v>1</v>
      </c>
      <c r="G230" s="2" t="s">
        <v>892</v>
      </c>
      <c r="H230" s="2" t="s">
        <v>892</v>
      </c>
      <c r="I230" s="16">
        <v>9</v>
      </c>
      <c r="J230" s="2" t="s">
        <v>25</v>
      </c>
      <c r="L230"/>
      <c r="M230"/>
      <c r="N230"/>
    </row>
    <row r="231" spans="1:14" ht="14.5" hidden="1">
      <c r="A231" s="2" t="s">
        <v>299</v>
      </c>
      <c r="B231" s="2" t="s">
        <v>300</v>
      </c>
      <c r="C231" s="2" t="s">
        <v>34</v>
      </c>
      <c r="D231" s="2" t="s">
        <v>30</v>
      </c>
      <c r="E231" s="2" t="s">
        <v>25</v>
      </c>
      <c r="F231" s="2">
        <v>0.5</v>
      </c>
      <c r="G231" s="2" t="s">
        <v>892</v>
      </c>
      <c r="H231" s="2" t="s">
        <v>892</v>
      </c>
      <c r="I231" s="16">
        <v>9</v>
      </c>
      <c r="J231" s="2" t="s">
        <v>5</v>
      </c>
      <c r="L231"/>
      <c r="M231"/>
      <c r="N231"/>
    </row>
    <row r="232" spans="1:14" ht="14.5" hidden="1">
      <c r="A232" s="2" t="s">
        <v>1028</v>
      </c>
      <c r="B232" s="2" t="s">
        <v>896</v>
      </c>
      <c r="C232" s="2" t="s">
        <v>148</v>
      </c>
      <c r="D232" s="2" t="s">
        <v>29</v>
      </c>
      <c r="E232" s="2" t="s">
        <v>1029</v>
      </c>
      <c r="F232" s="2">
        <v>1</v>
      </c>
      <c r="G232" s="2" t="s">
        <v>892</v>
      </c>
      <c r="H232" s="2" t="s">
        <v>892</v>
      </c>
      <c r="I232" s="16">
        <v>9</v>
      </c>
      <c r="J232" s="2" t="s">
        <v>1</v>
      </c>
      <c r="L232"/>
      <c r="M232"/>
      <c r="N232"/>
    </row>
    <row r="233" spans="1:14" ht="14.5" hidden="1">
      <c r="A233" s="2" t="s">
        <v>1025</v>
      </c>
      <c r="B233" s="2" t="s">
        <v>416</v>
      </c>
      <c r="C233" s="2" t="s">
        <v>148</v>
      </c>
      <c r="D233" s="2" t="s">
        <v>29</v>
      </c>
      <c r="E233" s="2" t="s">
        <v>1029</v>
      </c>
      <c r="F233" s="2">
        <v>1</v>
      </c>
      <c r="G233" s="2" t="s">
        <v>892</v>
      </c>
      <c r="H233" s="2" t="s">
        <v>892</v>
      </c>
      <c r="I233" s="16">
        <v>9</v>
      </c>
      <c r="J233" s="2" t="s">
        <v>1</v>
      </c>
      <c r="L233"/>
      <c r="M233"/>
      <c r="N233"/>
    </row>
    <row r="234" spans="1:14" ht="14.5">
      <c r="A234" s="2" t="s">
        <v>620</v>
      </c>
      <c r="B234" s="2" t="s">
        <v>545</v>
      </c>
      <c r="C234" s="2" t="s">
        <v>247</v>
      </c>
      <c r="D234" s="2" t="s">
        <v>153</v>
      </c>
      <c r="E234" s="2" t="s">
        <v>1030</v>
      </c>
      <c r="F234" s="2">
        <v>0.5</v>
      </c>
      <c r="G234" s="2" t="s">
        <v>892</v>
      </c>
      <c r="H234" s="2" t="s">
        <v>892</v>
      </c>
      <c r="I234" s="16">
        <v>9</v>
      </c>
      <c r="J234" s="2" t="s">
        <v>1</v>
      </c>
      <c r="L234"/>
      <c r="M234"/>
      <c r="N234"/>
    </row>
    <row r="235" spans="1:14" ht="14.5" hidden="1">
      <c r="A235" s="2" t="s">
        <v>379</v>
      </c>
      <c r="B235" s="2" t="s">
        <v>380</v>
      </c>
      <c r="C235" s="2" t="s">
        <v>149</v>
      </c>
      <c r="D235" s="2" t="s">
        <v>30</v>
      </c>
      <c r="E235" s="2" t="s">
        <v>1031</v>
      </c>
      <c r="F235" s="2">
        <v>0.5</v>
      </c>
      <c r="G235" s="2" t="s">
        <v>892</v>
      </c>
      <c r="H235" s="2" t="s">
        <v>892</v>
      </c>
      <c r="I235" s="16">
        <v>9</v>
      </c>
      <c r="J235" s="2" t="s">
        <v>5</v>
      </c>
      <c r="L235"/>
      <c r="M235"/>
      <c r="N235"/>
    </row>
    <row r="236" spans="1:14" ht="14.5" hidden="1">
      <c r="A236" s="2" t="s">
        <v>1032</v>
      </c>
      <c r="B236" s="2" t="s">
        <v>1033</v>
      </c>
      <c r="C236" s="2" t="s">
        <v>147</v>
      </c>
      <c r="D236" s="2" t="s">
        <v>30</v>
      </c>
      <c r="E236" s="2" t="s">
        <v>25</v>
      </c>
      <c r="F236" s="2">
        <v>1</v>
      </c>
      <c r="G236" s="2" t="s">
        <v>902</v>
      </c>
      <c r="H236" s="2" t="s">
        <v>902</v>
      </c>
      <c r="I236" s="16">
        <v>9</v>
      </c>
      <c r="J236" s="2" t="s">
        <v>25</v>
      </c>
      <c r="L236"/>
      <c r="M236"/>
      <c r="N236"/>
    </row>
    <row r="237" spans="1:14" ht="14.5" hidden="1">
      <c r="A237" s="2" t="s">
        <v>1034</v>
      </c>
      <c r="B237" s="2" t="s">
        <v>909</v>
      </c>
      <c r="C237" s="2" t="s">
        <v>148</v>
      </c>
      <c r="D237" s="2" t="s">
        <v>27</v>
      </c>
      <c r="E237" s="2" t="s">
        <v>150</v>
      </c>
      <c r="F237" s="2">
        <v>0.5</v>
      </c>
      <c r="G237" s="2" t="s">
        <v>902</v>
      </c>
      <c r="H237" s="2" t="s">
        <v>902</v>
      </c>
      <c r="I237" s="16">
        <v>9</v>
      </c>
      <c r="J237" s="2" t="s">
        <v>5</v>
      </c>
      <c r="L237"/>
      <c r="M237"/>
      <c r="N237"/>
    </row>
    <row r="238" spans="1:14" ht="14.5" hidden="1">
      <c r="A238" s="2" t="s">
        <v>381</v>
      </c>
      <c r="B238" s="2" t="s">
        <v>382</v>
      </c>
      <c r="C238" s="2" t="s">
        <v>28</v>
      </c>
      <c r="D238" s="2" t="s">
        <v>36</v>
      </c>
      <c r="E238" s="2" t="s">
        <v>25</v>
      </c>
      <c r="F238" s="2">
        <v>1</v>
      </c>
      <c r="G238" s="2" t="s">
        <v>902</v>
      </c>
      <c r="H238" s="2" t="s">
        <v>902</v>
      </c>
      <c r="I238" s="16">
        <v>9</v>
      </c>
      <c r="J238" s="2" t="s">
        <v>25</v>
      </c>
      <c r="L238"/>
      <c r="M238"/>
      <c r="N238"/>
    </row>
    <row r="239" spans="1:14" ht="14.5" hidden="1">
      <c r="A239" s="2" t="s">
        <v>190</v>
      </c>
      <c r="B239" s="2" t="s">
        <v>191</v>
      </c>
      <c r="C239" s="2" t="s">
        <v>147</v>
      </c>
      <c r="D239" s="2" t="s">
        <v>30</v>
      </c>
      <c r="E239" s="2" t="s">
        <v>25</v>
      </c>
      <c r="F239" s="2">
        <v>1</v>
      </c>
      <c r="G239" s="2" t="s">
        <v>902</v>
      </c>
      <c r="H239" s="2" t="s">
        <v>902</v>
      </c>
      <c r="I239" s="16">
        <v>9</v>
      </c>
      <c r="J239" s="2" t="s">
        <v>25</v>
      </c>
      <c r="L239"/>
      <c r="M239"/>
      <c r="N239"/>
    </row>
    <row r="240" spans="1:14" ht="14.5" hidden="1">
      <c r="A240" s="2" t="s">
        <v>1035</v>
      </c>
      <c r="B240" s="2" t="s">
        <v>898</v>
      </c>
      <c r="C240" s="2" t="s">
        <v>148</v>
      </c>
      <c r="D240" s="2" t="s">
        <v>24</v>
      </c>
      <c r="E240" s="2" t="s">
        <v>394</v>
      </c>
      <c r="F240" s="2">
        <v>1</v>
      </c>
      <c r="G240" s="2" t="s">
        <v>902</v>
      </c>
      <c r="H240" s="2" t="s">
        <v>902</v>
      </c>
      <c r="I240" s="16">
        <v>9</v>
      </c>
      <c r="J240" s="2" t="s">
        <v>25</v>
      </c>
      <c r="L240"/>
      <c r="M240"/>
      <c r="N240"/>
    </row>
    <row r="241" spans="1:14" ht="14.5" hidden="1">
      <c r="A241" s="2" t="s">
        <v>660</v>
      </c>
      <c r="B241" s="2" t="s">
        <v>661</v>
      </c>
      <c r="C241" s="2" t="s">
        <v>149</v>
      </c>
      <c r="D241" s="2" t="s">
        <v>30</v>
      </c>
      <c r="E241" s="2" t="s">
        <v>1036</v>
      </c>
      <c r="F241" s="2">
        <v>0.5</v>
      </c>
      <c r="G241" s="2" t="s">
        <v>902</v>
      </c>
      <c r="H241" s="2" t="s">
        <v>902</v>
      </c>
      <c r="I241" s="16">
        <v>9</v>
      </c>
      <c r="J241" s="2" t="s">
        <v>5</v>
      </c>
      <c r="L241"/>
      <c r="M241"/>
      <c r="N241"/>
    </row>
    <row r="242" spans="1:14" ht="14.5" hidden="1">
      <c r="A242" s="2" t="s">
        <v>1037</v>
      </c>
      <c r="B242" s="2" t="s">
        <v>1038</v>
      </c>
      <c r="C242" s="2" t="s">
        <v>28</v>
      </c>
      <c r="D242" s="2" t="s">
        <v>30</v>
      </c>
      <c r="E242" s="2" t="s">
        <v>25</v>
      </c>
      <c r="F242" s="2">
        <v>1</v>
      </c>
      <c r="G242" s="2" t="s">
        <v>902</v>
      </c>
      <c r="H242" s="2" t="s">
        <v>902</v>
      </c>
      <c r="I242" s="16">
        <v>9</v>
      </c>
      <c r="J242" s="2" t="s">
        <v>25</v>
      </c>
      <c r="L242"/>
      <c r="M242"/>
      <c r="N242"/>
    </row>
    <row r="243" spans="1:14" ht="14.5" hidden="1">
      <c r="A243" s="2" t="s">
        <v>631</v>
      </c>
      <c r="B243" s="2" t="s">
        <v>632</v>
      </c>
      <c r="C243" s="2" t="s">
        <v>39</v>
      </c>
      <c r="D243" s="2" t="s">
        <v>30</v>
      </c>
      <c r="E243" s="2" t="s">
        <v>25</v>
      </c>
      <c r="F243" s="2">
        <v>1</v>
      </c>
      <c r="G243" s="2" t="s">
        <v>902</v>
      </c>
      <c r="H243" s="2" t="s">
        <v>902</v>
      </c>
      <c r="I243" s="16">
        <v>9</v>
      </c>
      <c r="J243" s="2" t="s">
        <v>25</v>
      </c>
      <c r="L243"/>
      <c r="M243"/>
      <c r="N243"/>
    </row>
    <row r="244" spans="1:14" ht="14.5" hidden="1">
      <c r="A244" s="2" t="s">
        <v>1039</v>
      </c>
      <c r="B244" s="2" t="s">
        <v>1040</v>
      </c>
      <c r="C244" s="2" t="s">
        <v>147</v>
      </c>
      <c r="D244" s="2" t="s">
        <v>30</v>
      </c>
      <c r="E244" s="2" t="s">
        <v>25</v>
      </c>
      <c r="F244" s="2">
        <v>1</v>
      </c>
      <c r="G244" s="2" t="s">
        <v>902</v>
      </c>
      <c r="H244" s="2" t="s">
        <v>902</v>
      </c>
      <c r="I244" s="16">
        <v>9</v>
      </c>
      <c r="J244" s="2" t="s">
        <v>25</v>
      </c>
      <c r="L244"/>
      <c r="M244"/>
      <c r="N244"/>
    </row>
    <row r="245" spans="1:14" ht="14.5" hidden="1">
      <c r="A245" s="2" t="s">
        <v>663</v>
      </c>
      <c r="B245" s="2" t="s">
        <v>664</v>
      </c>
      <c r="C245" s="2" t="s">
        <v>33</v>
      </c>
      <c r="D245" s="2" t="s">
        <v>30</v>
      </c>
      <c r="E245" s="2" t="s">
        <v>25</v>
      </c>
      <c r="F245" s="2">
        <v>0.5</v>
      </c>
      <c r="G245" s="2" t="s">
        <v>902</v>
      </c>
      <c r="H245" s="2" t="s">
        <v>902</v>
      </c>
      <c r="I245" s="16">
        <v>9</v>
      </c>
      <c r="J245" s="2" t="s">
        <v>5</v>
      </c>
      <c r="L245"/>
      <c r="M245"/>
      <c r="N245"/>
    </row>
    <row r="246" spans="1:14" ht="14.5" hidden="1">
      <c r="A246" s="2" t="s">
        <v>1041</v>
      </c>
      <c r="B246" s="2" t="s">
        <v>977</v>
      </c>
      <c r="C246" s="2" t="s">
        <v>148</v>
      </c>
      <c r="D246" s="2" t="s">
        <v>713</v>
      </c>
      <c r="E246" s="2" t="s">
        <v>1042</v>
      </c>
      <c r="F246" s="2">
        <v>1</v>
      </c>
      <c r="G246" s="2" t="s">
        <v>902</v>
      </c>
      <c r="H246" s="2" t="s">
        <v>902</v>
      </c>
      <c r="I246" s="16">
        <v>9</v>
      </c>
      <c r="J246" s="2" t="s">
        <v>25</v>
      </c>
      <c r="L246"/>
      <c r="M246"/>
      <c r="N246"/>
    </row>
    <row r="247" spans="1:14" ht="14.5" hidden="1">
      <c r="A247" s="2" t="s">
        <v>262</v>
      </c>
      <c r="B247" s="2" t="s">
        <v>263</v>
      </c>
      <c r="C247" s="2" t="s">
        <v>147</v>
      </c>
      <c r="D247" s="2" t="s">
        <v>30</v>
      </c>
      <c r="E247" s="2" t="s">
        <v>25</v>
      </c>
      <c r="F247" s="2">
        <v>2</v>
      </c>
      <c r="G247" s="2" t="s">
        <v>902</v>
      </c>
      <c r="H247" s="2" t="s">
        <v>892</v>
      </c>
      <c r="I247" s="16">
        <v>9</v>
      </c>
      <c r="J247" s="2" t="s">
        <v>25</v>
      </c>
      <c r="L247"/>
      <c r="M247"/>
      <c r="N247"/>
    </row>
    <row r="248" spans="1:14" ht="14.5" hidden="1">
      <c r="A248" s="2" t="s">
        <v>31</v>
      </c>
      <c r="B248" s="2" t="s">
        <v>32</v>
      </c>
      <c r="C248" s="2" t="s">
        <v>33</v>
      </c>
      <c r="D248" s="2" t="s">
        <v>27</v>
      </c>
      <c r="E248" s="2" t="s">
        <v>25</v>
      </c>
      <c r="F248" s="2">
        <v>1</v>
      </c>
      <c r="G248" s="2" t="s">
        <v>902</v>
      </c>
      <c r="H248" s="2" t="s">
        <v>902</v>
      </c>
      <c r="I248" s="16">
        <v>9</v>
      </c>
      <c r="J248" s="2" t="s">
        <v>25</v>
      </c>
      <c r="L248"/>
      <c r="M248"/>
      <c r="N248"/>
    </row>
    <row r="249" spans="1:14" ht="14.5" hidden="1">
      <c r="A249" s="2" t="s">
        <v>1043</v>
      </c>
      <c r="B249" s="2" t="s">
        <v>1044</v>
      </c>
      <c r="C249" s="2" t="s">
        <v>149</v>
      </c>
      <c r="D249" s="2" t="s">
        <v>27</v>
      </c>
      <c r="E249" s="2" t="s">
        <v>25</v>
      </c>
      <c r="F249" s="2">
        <v>1</v>
      </c>
      <c r="G249" s="2" t="s">
        <v>902</v>
      </c>
      <c r="H249" s="2" t="s">
        <v>902</v>
      </c>
      <c r="I249" s="16">
        <v>9</v>
      </c>
      <c r="J249" s="2" t="s">
        <v>25</v>
      </c>
      <c r="L249"/>
      <c r="M249"/>
      <c r="N249"/>
    </row>
    <row r="250" spans="1:14" ht="14.5" hidden="1">
      <c r="A250" s="2" t="s">
        <v>1045</v>
      </c>
      <c r="B250" s="2" t="s">
        <v>1046</v>
      </c>
      <c r="C250" s="2" t="s">
        <v>149</v>
      </c>
      <c r="D250" s="2" t="s">
        <v>27</v>
      </c>
      <c r="E250" s="2" t="s">
        <v>25</v>
      </c>
      <c r="F250" s="2">
        <v>1</v>
      </c>
      <c r="G250" s="2" t="s">
        <v>857</v>
      </c>
      <c r="H250" s="2" t="s">
        <v>857</v>
      </c>
      <c r="I250" s="16">
        <v>9</v>
      </c>
      <c r="J250" s="2" t="s">
        <v>25</v>
      </c>
      <c r="L250"/>
      <c r="M250"/>
      <c r="N250"/>
    </row>
    <row r="251" spans="1:14" ht="14.5" hidden="1">
      <c r="A251" s="2" t="s">
        <v>621</v>
      </c>
      <c r="B251" s="2" t="s">
        <v>622</v>
      </c>
      <c r="C251" s="2" t="s">
        <v>149</v>
      </c>
      <c r="D251" s="2" t="s">
        <v>27</v>
      </c>
      <c r="E251" s="2" t="s">
        <v>25</v>
      </c>
      <c r="F251" s="2">
        <v>0.5</v>
      </c>
      <c r="G251" s="2" t="s">
        <v>857</v>
      </c>
      <c r="H251" s="2" t="s">
        <v>857</v>
      </c>
      <c r="I251" s="16">
        <v>9</v>
      </c>
      <c r="J251" s="2" t="s">
        <v>1</v>
      </c>
      <c r="L251"/>
      <c r="M251"/>
      <c r="N251"/>
    </row>
    <row r="252" spans="1:14" ht="14.5">
      <c r="A252" s="2" t="s">
        <v>1047</v>
      </c>
      <c r="B252" s="2" t="s">
        <v>900</v>
      </c>
      <c r="C252" s="2" t="s">
        <v>247</v>
      </c>
      <c r="D252" s="2" t="s">
        <v>36</v>
      </c>
      <c r="E252" s="2" t="s">
        <v>1048</v>
      </c>
      <c r="F252" s="2">
        <v>3</v>
      </c>
      <c r="G252" s="2" t="s">
        <v>857</v>
      </c>
      <c r="H252" s="2" t="s">
        <v>892</v>
      </c>
      <c r="I252" s="16">
        <v>9</v>
      </c>
      <c r="J252" s="2" t="s">
        <v>25</v>
      </c>
      <c r="L252"/>
      <c r="M252"/>
      <c r="N252"/>
    </row>
    <row r="253" spans="1:14" ht="14.5" hidden="1">
      <c r="A253" s="2" t="s">
        <v>1037</v>
      </c>
      <c r="B253" s="2" t="s">
        <v>1038</v>
      </c>
      <c r="C253" s="2" t="s">
        <v>28</v>
      </c>
      <c r="D253" s="2" t="s">
        <v>30</v>
      </c>
      <c r="E253" s="2" t="s">
        <v>25</v>
      </c>
      <c r="F253" s="2">
        <v>1</v>
      </c>
      <c r="G253" s="2" t="s">
        <v>857</v>
      </c>
      <c r="H253" s="2" t="s">
        <v>857</v>
      </c>
      <c r="I253" s="16">
        <v>9</v>
      </c>
      <c r="J253" s="2" t="s">
        <v>25</v>
      </c>
      <c r="L253"/>
      <c r="M253"/>
      <c r="N253"/>
    </row>
    <row r="254" spans="1:14" ht="14.5" hidden="1">
      <c r="A254" s="2" t="s">
        <v>303</v>
      </c>
      <c r="B254" s="2" t="s">
        <v>304</v>
      </c>
      <c r="C254" s="2" t="s">
        <v>147</v>
      </c>
      <c r="D254" s="2" t="s">
        <v>27</v>
      </c>
      <c r="E254" s="2" t="s">
        <v>25</v>
      </c>
      <c r="F254" s="2">
        <v>1</v>
      </c>
      <c r="G254" s="2" t="s">
        <v>857</v>
      </c>
      <c r="H254" s="2" t="s">
        <v>857</v>
      </c>
      <c r="I254" s="16">
        <v>9</v>
      </c>
      <c r="J254" s="2" t="s">
        <v>25</v>
      </c>
      <c r="L254"/>
      <c r="M254"/>
      <c r="N254"/>
    </row>
    <row r="255" spans="1:14" ht="14.5" hidden="1">
      <c r="A255" s="2" t="s">
        <v>1049</v>
      </c>
      <c r="B255" s="2" t="s">
        <v>1050</v>
      </c>
      <c r="C255" s="2" t="s">
        <v>34</v>
      </c>
      <c r="D255" s="2" t="s">
        <v>29</v>
      </c>
      <c r="E255" s="2" t="s">
        <v>1051</v>
      </c>
      <c r="F255" s="2">
        <v>3</v>
      </c>
      <c r="G255" s="2" t="s">
        <v>857</v>
      </c>
      <c r="H255" s="2" t="s">
        <v>892</v>
      </c>
      <c r="I255" s="16">
        <v>9</v>
      </c>
      <c r="J255" s="2" t="s">
        <v>25</v>
      </c>
      <c r="L255"/>
      <c r="M255"/>
      <c r="N255"/>
    </row>
    <row r="256" spans="1:14" ht="14.5">
      <c r="A256" s="2" t="s">
        <v>1052</v>
      </c>
      <c r="B256" s="2" t="s">
        <v>914</v>
      </c>
      <c r="C256" s="2" t="s">
        <v>247</v>
      </c>
      <c r="D256" s="2" t="s">
        <v>153</v>
      </c>
      <c r="E256" s="2" t="s">
        <v>25</v>
      </c>
      <c r="F256" s="2">
        <v>1</v>
      </c>
      <c r="G256" s="2" t="s">
        <v>857</v>
      </c>
      <c r="H256" s="2" t="s">
        <v>857</v>
      </c>
      <c r="I256" s="16">
        <v>9</v>
      </c>
      <c r="J256" s="2" t="s">
        <v>25</v>
      </c>
      <c r="L256"/>
      <c r="M256"/>
      <c r="N256"/>
    </row>
    <row r="257" spans="1:14" ht="14.5" hidden="1">
      <c r="A257" s="2" t="s">
        <v>449</v>
      </c>
      <c r="B257" s="2" t="s">
        <v>450</v>
      </c>
      <c r="C257" s="2" t="s">
        <v>431</v>
      </c>
      <c r="D257" s="2" t="s">
        <v>30</v>
      </c>
      <c r="E257" s="2" t="s">
        <v>1024</v>
      </c>
      <c r="F257" s="2">
        <v>2</v>
      </c>
      <c r="G257" s="2" t="s">
        <v>857</v>
      </c>
      <c r="H257" s="2" t="s">
        <v>902</v>
      </c>
      <c r="I257" s="16">
        <v>9</v>
      </c>
      <c r="J257" s="2" t="s">
        <v>25</v>
      </c>
      <c r="L257"/>
      <c r="M257"/>
      <c r="N257"/>
    </row>
    <row r="258" spans="1:14" ht="14.5" hidden="1">
      <c r="A258" s="2" t="s">
        <v>701</v>
      </c>
      <c r="B258" s="2" t="s">
        <v>581</v>
      </c>
      <c r="C258" s="2" t="s">
        <v>149</v>
      </c>
      <c r="D258" s="2" t="s">
        <v>36</v>
      </c>
      <c r="E258" s="2" t="s">
        <v>1053</v>
      </c>
      <c r="F258" s="2">
        <v>5</v>
      </c>
      <c r="G258" s="2" t="s">
        <v>857</v>
      </c>
      <c r="H258" s="2" t="s">
        <v>1054</v>
      </c>
      <c r="I258" s="16">
        <v>9</v>
      </c>
      <c r="J258" s="2" t="s">
        <v>25</v>
      </c>
      <c r="L258"/>
      <c r="M258"/>
      <c r="N258"/>
    </row>
    <row r="259" spans="1:14" ht="14.5" hidden="1">
      <c r="A259" s="2" t="s">
        <v>756</v>
      </c>
      <c r="B259" s="2" t="s">
        <v>757</v>
      </c>
      <c r="C259" s="2" t="s">
        <v>147</v>
      </c>
      <c r="D259" s="2" t="s">
        <v>428</v>
      </c>
      <c r="E259" s="2" t="s">
        <v>25</v>
      </c>
      <c r="F259" s="2">
        <v>4</v>
      </c>
      <c r="G259" s="2" t="s">
        <v>857</v>
      </c>
      <c r="H259" s="2" t="s">
        <v>1055</v>
      </c>
      <c r="I259" s="16">
        <v>9</v>
      </c>
      <c r="J259" s="2" t="s">
        <v>25</v>
      </c>
      <c r="L259"/>
      <c r="M259"/>
      <c r="N259"/>
    </row>
    <row r="260" spans="1:14" ht="14.5" hidden="1">
      <c r="A260" s="2" t="s">
        <v>1041</v>
      </c>
      <c r="B260" s="2" t="s">
        <v>977</v>
      </c>
      <c r="C260" s="2" t="s">
        <v>148</v>
      </c>
      <c r="D260" s="2" t="s">
        <v>713</v>
      </c>
      <c r="E260" s="2" t="s">
        <v>1042</v>
      </c>
      <c r="F260" s="2">
        <v>1</v>
      </c>
      <c r="G260" s="2" t="s">
        <v>857</v>
      </c>
      <c r="H260" s="2" t="s">
        <v>857</v>
      </c>
      <c r="I260" s="16">
        <v>9</v>
      </c>
      <c r="J260" s="2" t="s">
        <v>25</v>
      </c>
      <c r="L260"/>
      <c r="M260"/>
      <c r="N260"/>
    </row>
    <row r="261" spans="1:14" ht="14.5" hidden="1">
      <c r="A261" s="2" t="s">
        <v>262</v>
      </c>
      <c r="B261" s="2" t="s">
        <v>263</v>
      </c>
      <c r="C261" s="2" t="s">
        <v>147</v>
      </c>
      <c r="D261" s="2" t="s">
        <v>36</v>
      </c>
      <c r="E261" s="2" t="s">
        <v>25</v>
      </c>
      <c r="F261" s="2">
        <v>1</v>
      </c>
      <c r="G261" s="2" t="s">
        <v>857</v>
      </c>
      <c r="H261" s="2" t="s">
        <v>857</v>
      </c>
      <c r="I261" s="16">
        <v>9</v>
      </c>
      <c r="J261" s="2" t="s">
        <v>25</v>
      </c>
      <c r="L261"/>
      <c r="M261"/>
      <c r="N261"/>
    </row>
    <row r="262" spans="1:14" ht="14.5" hidden="1">
      <c r="A262" s="2" t="s">
        <v>1056</v>
      </c>
      <c r="B262" s="2" t="s">
        <v>1057</v>
      </c>
      <c r="C262" s="2" t="s">
        <v>28</v>
      </c>
      <c r="D262" s="2" t="s">
        <v>30</v>
      </c>
      <c r="E262" s="2" t="s">
        <v>25</v>
      </c>
      <c r="F262" s="2">
        <v>2</v>
      </c>
      <c r="G262" s="2" t="s">
        <v>857</v>
      </c>
      <c r="H262" s="2" t="s">
        <v>902</v>
      </c>
      <c r="I262" s="16">
        <v>9</v>
      </c>
      <c r="J262" s="2" t="s">
        <v>25</v>
      </c>
      <c r="L262"/>
      <c r="M262"/>
      <c r="N262"/>
    </row>
    <row r="263" spans="1:14" ht="14.5" hidden="1">
      <c r="A263" s="2" t="s">
        <v>685</v>
      </c>
      <c r="B263" s="2" t="s">
        <v>686</v>
      </c>
      <c r="C263" s="2"/>
      <c r="D263" s="2" t="s">
        <v>30</v>
      </c>
      <c r="E263" s="2" t="s">
        <v>25</v>
      </c>
      <c r="F263" s="2">
        <v>3</v>
      </c>
      <c r="G263" s="2" t="s">
        <v>857</v>
      </c>
      <c r="H263" s="2" t="s">
        <v>892</v>
      </c>
      <c r="I263" s="16">
        <v>9</v>
      </c>
      <c r="J263" s="2" t="s">
        <v>25</v>
      </c>
      <c r="L263"/>
      <c r="M263"/>
      <c r="N263"/>
    </row>
    <row r="264" spans="1:14" ht="14.5" hidden="1">
      <c r="A264" s="2" t="s">
        <v>445</v>
      </c>
      <c r="B264" s="2" t="s">
        <v>446</v>
      </c>
      <c r="C264" s="2" t="s">
        <v>147</v>
      </c>
      <c r="D264" s="2" t="s">
        <v>30</v>
      </c>
      <c r="E264" s="2" t="s">
        <v>25</v>
      </c>
      <c r="F264" s="2">
        <v>0.5</v>
      </c>
      <c r="G264" s="2" t="s">
        <v>1058</v>
      </c>
      <c r="H264" s="2" t="s">
        <v>1058</v>
      </c>
      <c r="I264" s="16">
        <v>9</v>
      </c>
      <c r="J264" s="2" t="s">
        <v>5</v>
      </c>
      <c r="L264"/>
      <c r="M264"/>
      <c r="N264"/>
    </row>
    <row r="265" spans="1:14" ht="14.5" hidden="1">
      <c r="A265" s="2" t="s">
        <v>1049</v>
      </c>
      <c r="B265" s="2" t="s">
        <v>1050</v>
      </c>
      <c r="C265" s="2" t="s">
        <v>34</v>
      </c>
      <c r="D265" s="2" t="s">
        <v>29</v>
      </c>
      <c r="E265" s="2" t="s">
        <v>1059</v>
      </c>
      <c r="F265" s="2">
        <v>0.5</v>
      </c>
      <c r="G265" s="2" t="s">
        <v>1058</v>
      </c>
      <c r="H265" s="2" t="s">
        <v>1058</v>
      </c>
      <c r="I265" s="16">
        <v>9</v>
      </c>
      <c r="J265" s="2" t="s">
        <v>5</v>
      </c>
      <c r="L265"/>
      <c r="M265"/>
      <c r="N265"/>
    </row>
    <row r="266" spans="1:14" ht="14.5" hidden="1">
      <c r="A266" s="2" t="s">
        <v>1060</v>
      </c>
      <c r="B266" s="2" t="s">
        <v>1061</v>
      </c>
      <c r="C266" s="2" t="s">
        <v>42</v>
      </c>
      <c r="D266" s="2" t="s">
        <v>30</v>
      </c>
      <c r="E266" s="2" t="s">
        <v>1062</v>
      </c>
      <c r="F266" s="2">
        <v>0.5</v>
      </c>
      <c r="G266" s="2" t="s">
        <v>1058</v>
      </c>
      <c r="H266" s="2" t="s">
        <v>1058</v>
      </c>
      <c r="I266" s="16">
        <v>9</v>
      </c>
      <c r="J266" s="2" t="s">
        <v>5</v>
      </c>
      <c r="L266"/>
      <c r="M266"/>
      <c r="N266"/>
    </row>
    <row r="267" spans="1:14" ht="14.5" hidden="1">
      <c r="A267" s="2" t="s">
        <v>837</v>
      </c>
      <c r="B267" s="2" t="s">
        <v>1063</v>
      </c>
      <c r="C267" s="2" t="s">
        <v>386</v>
      </c>
      <c r="D267" s="2" t="s">
        <v>36</v>
      </c>
      <c r="E267" s="2" t="s">
        <v>1064</v>
      </c>
      <c r="F267" s="2">
        <v>0.5</v>
      </c>
      <c r="G267" s="2" t="s">
        <v>866</v>
      </c>
      <c r="H267" s="2" t="s">
        <v>866</v>
      </c>
      <c r="I267" s="16">
        <v>9</v>
      </c>
      <c r="J267" s="2" t="s">
        <v>1</v>
      </c>
      <c r="L267"/>
      <c r="M267"/>
      <c r="N267"/>
    </row>
    <row r="268" spans="1:14" ht="14.5">
      <c r="A268" s="2" t="s">
        <v>1065</v>
      </c>
      <c r="B268" s="2" t="s">
        <v>868</v>
      </c>
      <c r="C268" s="2" t="s">
        <v>1066</v>
      </c>
      <c r="D268" s="2" t="s">
        <v>24</v>
      </c>
      <c r="E268" s="2" t="s">
        <v>25</v>
      </c>
      <c r="F268" s="2">
        <v>0.5</v>
      </c>
      <c r="G268" s="2" t="s">
        <v>866</v>
      </c>
      <c r="H268" s="2" t="s">
        <v>866</v>
      </c>
      <c r="I268" s="16">
        <v>9</v>
      </c>
      <c r="J268" s="2" t="s">
        <v>1</v>
      </c>
      <c r="L268"/>
      <c r="M268"/>
      <c r="N268"/>
    </row>
    <row r="269" spans="1:14" ht="14.5" hidden="1">
      <c r="A269" s="2" t="s">
        <v>188</v>
      </c>
      <c r="B269" s="2" t="s">
        <v>189</v>
      </c>
      <c r="C269" s="2" t="s">
        <v>147</v>
      </c>
      <c r="D269" s="2" t="s">
        <v>36</v>
      </c>
      <c r="E269" s="2" t="s">
        <v>25</v>
      </c>
      <c r="F269" s="2">
        <v>1</v>
      </c>
      <c r="G269" s="2" t="s">
        <v>866</v>
      </c>
      <c r="H269" s="2" t="s">
        <v>866</v>
      </c>
      <c r="I269" s="16">
        <v>9</v>
      </c>
      <c r="J269" s="2" t="s">
        <v>25</v>
      </c>
      <c r="L269"/>
      <c r="M269"/>
      <c r="N269"/>
    </row>
    <row r="270" spans="1:14" ht="14.5" hidden="1">
      <c r="A270" s="2" t="s">
        <v>40</v>
      </c>
      <c r="B270" s="2" t="s">
        <v>41</v>
      </c>
      <c r="C270" s="2" t="s">
        <v>42</v>
      </c>
      <c r="D270" s="2" t="s">
        <v>29</v>
      </c>
      <c r="E270" s="2" t="s">
        <v>1067</v>
      </c>
      <c r="F270" s="2">
        <v>2</v>
      </c>
      <c r="G270" s="2" t="s">
        <v>866</v>
      </c>
      <c r="H270" s="2" t="s">
        <v>1058</v>
      </c>
      <c r="I270" s="16">
        <v>9</v>
      </c>
      <c r="J270" s="2" t="s">
        <v>25</v>
      </c>
      <c r="L270"/>
      <c r="M270"/>
      <c r="N270"/>
    </row>
    <row r="271" spans="1:14" ht="14.5" hidden="1">
      <c r="A271" s="2" t="s">
        <v>1068</v>
      </c>
      <c r="B271" s="2" t="s">
        <v>1069</v>
      </c>
      <c r="C271" s="2" t="s">
        <v>147</v>
      </c>
      <c r="D271" s="2" t="s">
        <v>30</v>
      </c>
      <c r="E271" s="2" t="s">
        <v>25</v>
      </c>
      <c r="F271" s="2">
        <v>1</v>
      </c>
      <c r="G271" s="2" t="s">
        <v>866</v>
      </c>
      <c r="H271" s="2" t="s">
        <v>866</v>
      </c>
      <c r="I271" s="16">
        <v>9</v>
      </c>
      <c r="J271" s="2" t="s">
        <v>25</v>
      </c>
      <c r="L271"/>
      <c r="M271"/>
      <c r="N271"/>
    </row>
    <row r="272" spans="1:14" ht="14.5" hidden="1">
      <c r="A272" s="2" t="s">
        <v>756</v>
      </c>
      <c r="B272" s="2" t="s">
        <v>757</v>
      </c>
      <c r="C272" s="2" t="s">
        <v>147</v>
      </c>
      <c r="D272" s="2" t="s">
        <v>428</v>
      </c>
      <c r="E272" s="2" t="s">
        <v>25</v>
      </c>
      <c r="F272" s="2">
        <v>1</v>
      </c>
      <c r="G272" s="2" t="s">
        <v>866</v>
      </c>
      <c r="H272" s="2" t="s">
        <v>866</v>
      </c>
      <c r="I272" s="16">
        <v>9</v>
      </c>
      <c r="J272" s="2" t="s">
        <v>25</v>
      </c>
      <c r="L272"/>
      <c r="M272"/>
      <c r="N272"/>
    </row>
    <row r="273" spans="1:14" ht="14.5" hidden="1">
      <c r="A273" s="2" t="s">
        <v>445</v>
      </c>
      <c r="B273" s="2" t="s">
        <v>446</v>
      </c>
      <c r="C273" s="2" t="s">
        <v>147</v>
      </c>
      <c r="D273" s="2" t="s">
        <v>27</v>
      </c>
      <c r="E273" s="2" t="s">
        <v>25</v>
      </c>
      <c r="F273" s="2">
        <v>1</v>
      </c>
      <c r="G273" s="2" t="s">
        <v>866</v>
      </c>
      <c r="H273" s="2" t="s">
        <v>866</v>
      </c>
      <c r="I273" s="16">
        <v>9</v>
      </c>
      <c r="J273" s="2" t="s">
        <v>25</v>
      </c>
      <c r="L273"/>
      <c r="M273"/>
      <c r="N273"/>
    </row>
    <row r="274" spans="1:14" ht="14.5" hidden="1">
      <c r="A274" s="2" t="s">
        <v>449</v>
      </c>
      <c r="B274" s="2" t="s">
        <v>450</v>
      </c>
      <c r="C274" s="2" t="s">
        <v>431</v>
      </c>
      <c r="D274" s="2" t="s">
        <v>30</v>
      </c>
      <c r="E274" s="2" t="s">
        <v>1024</v>
      </c>
      <c r="F274" s="2">
        <v>2</v>
      </c>
      <c r="G274" s="2" t="s">
        <v>869</v>
      </c>
      <c r="H274" s="2" t="s">
        <v>866</v>
      </c>
      <c r="I274" s="16">
        <v>9</v>
      </c>
      <c r="J274" s="2" t="s">
        <v>25</v>
      </c>
      <c r="L274"/>
      <c r="M274"/>
      <c r="N274"/>
    </row>
    <row r="275" spans="1:14" ht="14.5" hidden="1">
      <c r="A275" s="2" t="s">
        <v>37</v>
      </c>
      <c r="B275" s="2" t="s">
        <v>38</v>
      </c>
      <c r="C275" s="2" t="s">
        <v>28</v>
      </c>
      <c r="D275" s="2" t="s">
        <v>29</v>
      </c>
      <c r="E275" s="2" t="s">
        <v>1070</v>
      </c>
      <c r="F275" s="2">
        <v>1</v>
      </c>
      <c r="G275" s="2" t="s">
        <v>869</v>
      </c>
      <c r="H275" s="2" t="s">
        <v>869</v>
      </c>
      <c r="I275" s="16">
        <v>9</v>
      </c>
      <c r="J275" s="2" t="s">
        <v>25</v>
      </c>
      <c r="L275"/>
      <c r="M275"/>
      <c r="N275"/>
    </row>
    <row r="276" spans="1:14" ht="14.5">
      <c r="A276" s="2" t="s">
        <v>1065</v>
      </c>
      <c r="B276" s="2" t="s">
        <v>868</v>
      </c>
      <c r="C276" s="2" t="s">
        <v>1066</v>
      </c>
      <c r="D276" s="2" t="s">
        <v>24</v>
      </c>
      <c r="E276" s="2" t="s">
        <v>25</v>
      </c>
      <c r="F276" s="2">
        <v>1</v>
      </c>
      <c r="G276" s="2" t="s">
        <v>869</v>
      </c>
      <c r="H276" s="2" t="s">
        <v>869</v>
      </c>
      <c r="I276" s="16">
        <v>9</v>
      </c>
      <c r="J276" s="2" t="s">
        <v>25</v>
      </c>
      <c r="L276"/>
      <c r="M276"/>
      <c r="N276"/>
    </row>
    <row r="277" spans="1:14" ht="14.5" hidden="1">
      <c r="A277" s="2" t="s">
        <v>650</v>
      </c>
      <c r="B277" s="2" t="s">
        <v>576</v>
      </c>
      <c r="C277" s="2" t="s">
        <v>431</v>
      </c>
      <c r="D277" s="2" t="s">
        <v>27</v>
      </c>
      <c r="E277" s="2" t="s">
        <v>1071</v>
      </c>
      <c r="F277" s="2">
        <v>0.5</v>
      </c>
      <c r="G277" s="2" t="s">
        <v>869</v>
      </c>
      <c r="H277" s="2" t="s">
        <v>869</v>
      </c>
      <c r="I277" s="16">
        <v>9</v>
      </c>
      <c r="J277" s="2" t="s">
        <v>5</v>
      </c>
      <c r="L277"/>
      <c r="M277"/>
      <c r="N277"/>
    </row>
    <row r="278" spans="1:14" ht="14.5" hidden="1">
      <c r="A278" s="2" t="s">
        <v>299</v>
      </c>
      <c r="B278" s="2" t="s">
        <v>300</v>
      </c>
      <c r="C278" s="2" t="s">
        <v>34</v>
      </c>
      <c r="D278" s="2" t="s">
        <v>30</v>
      </c>
      <c r="E278" s="2" t="s">
        <v>25</v>
      </c>
      <c r="F278" s="2">
        <v>0.5</v>
      </c>
      <c r="G278" s="2" t="s">
        <v>869</v>
      </c>
      <c r="H278" s="2" t="s">
        <v>869</v>
      </c>
      <c r="I278" s="16">
        <v>9</v>
      </c>
      <c r="J278" s="2" t="s">
        <v>5</v>
      </c>
      <c r="L278"/>
      <c r="M278"/>
      <c r="N278"/>
    </row>
    <row r="279" spans="1:14" ht="14.5" hidden="1">
      <c r="A279" s="2" t="s">
        <v>264</v>
      </c>
      <c r="B279" s="2" t="s">
        <v>265</v>
      </c>
      <c r="C279" s="2" t="s">
        <v>34</v>
      </c>
      <c r="D279" s="2" t="s">
        <v>27</v>
      </c>
      <c r="E279" s="2" t="s">
        <v>25</v>
      </c>
      <c r="F279" s="2">
        <v>0.5</v>
      </c>
      <c r="G279" s="2" t="s">
        <v>869</v>
      </c>
      <c r="H279" s="2" t="s">
        <v>869</v>
      </c>
      <c r="I279" s="16">
        <v>9</v>
      </c>
      <c r="J279" s="2" t="s">
        <v>5</v>
      </c>
      <c r="L279"/>
      <c r="M279"/>
      <c r="N279"/>
    </row>
    <row r="280" spans="1:14" ht="14.5" hidden="1">
      <c r="A280" s="2" t="s">
        <v>1072</v>
      </c>
      <c r="B280" s="2" t="s">
        <v>1073</v>
      </c>
      <c r="C280" s="2" t="s">
        <v>149</v>
      </c>
      <c r="D280" s="2" t="s">
        <v>27</v>
      </c>
      <c r="E280" s="2" t="s">
        <v>25</v>
      </c>
      <c r="F280" s="2">
        <v>1</v>
      </c>
      <c r="G280" s="2" t="s">
        <v>869</v>
      </c>
      <c r="H280" s="2" t="s">
        <v>869</v>
      </c>
      <c r="I280" s="16">
        <v>9</v>
      </c>
      <c r="J280" s="2" t="s">
        <v>25</v>
      </c>
      <c r="L280"/>
      <c r="M280"/>
      <c r="N280"/>
    </row>
    <row r="281" spans="1:14" ht="14.5" hidden="1">
      <c r="A281" s="2" t="s">
        <v>1074</v>
      </c>
      <c r="B281" s="2" t="s">
        <v>1075</v>
      </c>
      <c r="C281" s="2" t="s">
        <v>431</v>
      </c>
      <c r="D281" s="2" t="s">
        <v>30</v>
      </c>
      <c r="E281" s="2" t="s">
        <v>1076</v>
      </c>
      <c r="F281" s="2">
        <v>0.5</v>
      </c>
      <c r="G281" s="2" t="s">
        <v>869</v>
      </c>
      <c r="H281" s="2" t="s">
        <v>869</v>
      </c>
      <c r="I281" s="16">
        <v>9</v>
      </c>
      <c r="J281" s="2" t="s">
        <v>1</v>
      </c>
      <c r="L281"/>
      <c r="M281"/>
      <c r="N281"/>
    </row>
    <row r="282" spans="1:14" ht="14.5" hidden="1">
      <c r="A282" s="2" t="s">
        <v>685</v>
      </c>
      <c r="B282" s="2" t="s">
        <v>686</v>
      </c>
      <c r="C282" s="2"/>
      <c r="D282" s="2" t="s">
        <v>30</v>
      </c>
      <c r="E282" s="2" t="s">
        <v>25</v>
      </c>
      <c r="F282" s="2">
        <v>1</v>
      </c>
      <c r="G282" s="2" t="s">
        <v>869</v>
      </c>
      <c r="H282" s="2" t="s">
        <v>869</v>
      </c>
      <c r="I282" s="16">
        <v>9</v>
      </c>
      <c r="J282" s="2" t="s">
        <v>25</v>
      </c>
      <c r="L282"/>
      <c r="M282"/>
      <c r="N282"/>
    </row>
    <row r="283" spans="1:14" ht="14.5" hidden="1">
      <c r="A283" s="2" t="s">
        <v>1077</v>
      </c>
      <c r="B283" s="2" t="s">
        <v>1078</v>
      </c>
      <c r="C283" s="2"/>
      <c r="D283" s="2" t="s">
        <v>36</v>
      </c>
      <c r="E283" s="2" t="s">
        <v>25</v>
      </c>
      <c r="F283" s="2">
        <v>7</v>
      </c>
      <c r="G283" s="2" t="s">
        <v>869</v>
      </c>
      <c r="H283" s="2" t="s">
        <v>892</v>
      </c>
      <c r="I283" s="16">
        <v>9</v>
      </c>
      <c r="J283" s="2" t="s">
        <v>25</v>
      </c>
      <c r="L283"/>
      <c r="M283"/>
      <c r="N283"/>
    </row>
    <row r="284" spans="1:14" ht="14.5" hidden="1">
      <c r="A284" s="2" t="s">
        <v>429</v>
      </c>
      <c r="B284" s="2" t="s">
        <v>430</v>
      </c>
      <c r="C284" s="2" t="s">
        <v>431</v>
      </c>
      <c r="D284" s="2" t="s">
        <v>29</v>
      </c>
      <c r="E284" s="2" t="s">
        <v>1079</v>
      </c>
      <c r="F284" s="2">
        <v>1</v>
      </c>
      <c r="G284" s="2" t="s">
        <v>870</v>
      </c>
      <c r="H284" s="2" t="s">
        <v>870</v>
      </c>
      <c r="I284" s="16">
        <v>9</v>
      </c>
      <c r="J284" s="2" t="s">
        <v>5</v>
      </c>
      <c r="L284"/>
      <c r="M284"/>
      <c r="N284"/>
    </row>
    <row r="285" spans="1:14" ht="14.5" hidden="1">
      <c r="A285" s="2" t="s">
        <v>429</v>
      </c>
      <c r="B285" s="2" t="s">
        <v>430</v>
      </c>
      <c r="C285" s="2" t="s">
        <v>431</v>
      </c>
      <c r="D285" s="2" t="s">
        <v>29</v>
      </c>
      <c r="E285" s="2" t="s">
        <v>1080</v>
      </c>
      <c r="F285" s="2">
        <v>1</v>
      </c>
      <c r="G285" s="2" t="s">
        <v>870</v>
      </c>
      <c r="H285" s="2" t="s">
        <v>870</v>
      </c>
      <c r="I285" s="16">
        <v>9</v>
      </c>
      <c r="J285" s="2" t="s">
        <v>1</v>
      </c>
      <c r="L285"/>
      <c r="M285"/>
      <c r="N285"/>
    </row>
    <row r="286" spans="1:14" ht="14.5">
      <c r="A286" s="2" t="s">
        <v>327</v>
      </c>
      <c r="B286" s="2" t="s">
        <v>317</v>
      </c>
      <c r="C286" s="2" t="s">
        <v>247</v>
      </c>
      <c r="D286" s="2" t="s">
        <v>29</v>
      </c>
      <c r="E286" s="2" t="s">
        <v>1081</v>
      </c>
      <c r="F286" s="2">
        <v>0.5</v>
      </c>
      <c r="G286" s="2" t="s">
        <v>870</v>
      </c>
      <c r="H286" s="2" t="s">
        <v>870</v>
      </c>
      <c r="I286" s="16">
        <v>9</v>
      </c>
      <c r="J286" s="2" t="s">
        <v>1</v>
      </c>
      <c r="L286"/>
      <c r="M286"/>
      <c r="N286"/>
    </row>
    <row r="287" spans="1:14" ht="14.5" hidden="1">
      <c r="A287" s="2" t="s">
        <v>650</v>
      </c>
      <c r="B287" s="2" t="s">
        <v>576</v>
      </c>
      <c r="C287" s="2" t="s">
        <v>431</v>
      </c>
      <c r="D287" s="2" t="s">
        <v>29</v>
      </c>
      <c r="E287" s="2" t="s">
        <v>1082</v>
      </c>
      <c r="F287" s="2">
        <v>1</v>
      </c>
      <c r="G287" s="2" t="s">
        <v>870</v>
      </c>
      <c r="H287" s="2" t="s">
        <v>870</v>
      </c>
      <c r="I287" s="16">
        <v>9</v>
      </c>
      <c r="J287" s="2" t="s">
        <v>25</v>
      </c>
      <c r="L287"/>
      <c r="M287"/>
      <c r="N287"/>
    </row>
    <row r="288" spans="1:14" ht="14.5" hidden="1">
      <c r="A288" s="2" t="s">
        <v>1074</v>
      </c>
      <c r="B288" s="2" t="s">
        <v>1075</v>
      </c>
      <c r="C288" s="2" t="s">
        <v>431</v>
      </c>
      <c r="D288" s="2" t="s">
        <v>29</v>
      </c>
      <c r="E288" s="2" t="s">
        <v>1083</v>
      </c>
      <c r="F288" s="2">
        <v>1</v>
      </c>
      <c r="G288" s="2" t="s">
        <v>870</v>
      </c>
      <c r="H288" s="2" t="s">
        <v>870</v>
      </c>
      <c r="I288" s="16">
        <v>9</v>
      </c>
      <c r="J288" s="2" t="s">
        <v>25</v>
      </c>
      <c r="L288"/>
      <c r="M288"/>
      <c r="N288"/>
    </row>
    <row r="289" spans="1:14" ht="14.5" hidden="1">
      <c r="A289" s="2" t="s">
        <v>328</v>
      </c>
      <c r="B289" s="2" t="s">
        <v>329</v>
      </c>
      <c r="C289" s="2" t="s">
        <v>149</v>
      </c>
      <c r="D289" s="2" t="s">
        <v>29</v>
      </c>
      <c r="E289" s="2" t="s">
        <v>1084</v>
      </c>
      <c r="F289" s="2">
        <v>1</v>
      </c>
      <c r="G289" s="2" t="s">
        <v>870</v>
      </c>
      <c r="H289" s="2" t="s">
        <v>870</v>
      </c>
      <c r="I289" s="16">
        <v>9</v>
      </c>
      <c r="J289" s="2" t="s">
        <v>25</v>
      </c>
      <c r="L289"/>
      <c r="M289"/>
      <c r="N289"/>
    </row>
    <row r="290" spans="1:14" ht="14.5">
      <c r="A290" s="2" t="s">
        <v>1085</v>
      </c>
      <c r="B290" s="2" t="s">
        <v>925</v>
      </c>
      <c r="C290" s="2" t="s">
        <v>1066</v>
      </c>
      <c r="D290" s="2" t="s">
        <v>27</v>
      </c>
      <c r="E290" s="2" t="s">
        <v>25</v>
      </c>
      <c r="F290" s="2">
        <v>0.5</v>
      </c>
      <c r="G290" s="2" t="s">
        <v>870</v>
      </c>
      <c r="H290" s="2" t="s">
        <v>870</v>
      </c>
      <c r="I290" s="16">
        <v>9</v>
      </c>
      <c r="J290" s="2" t="s">
        <v>5</v>
      </c>
      <c r="L290"/>
      <c r="M290"/>
      <c r="N290"/>
    </row>
    <row r="291" spans="1:14" ht="14.5">
      <c r="A291" s="2" t="s">
        <v>1086</v>
      </c>
      <c r="B291" s="2" t="s">
        <v>923</v>
      </c>
      <c r="C291" s="2" t="s">
        <v>1066</v>
      </c>
      <c r="D291" s="2" t="s">
        <v>36</v>
      </c>
      <c r="E291" s="2" t="s">
        <v>25</v>
      </c>
      <c r="F291" s="2">
        <v>0.5</v>
      </c>
      <c r="G291" s="2" t="s">
        <v>870</v>
      </c>
      <c r="H291" s="2" t="s">
        <v>870</v>
      </c>
      <c r="I291" s="16">
        <v>9</v>
      </c>
      <c r="J291" s="2" t="s">
        <v>5</v>
      </c>
      <c r="L291"/>
      <c r="M291"/>
      <c r="N291"/>
    </row>
    <row r="292" spans="1:14" ht="14.5" hidden="1">
      <c r="A292" s="2" t="s">
        <v>423</v>
      </c>
      <c r="B292" s="2" t="s">
        <v>424</v>
      </c>
      <c r="C292" s="2" t="s">
        <v>149</v>
      </c>
      <c r="D292" s="2" t="s">
        <v>29</v>
      </c>
      <c r="E292" s="2" t="s">
        <v>1087</v>
      </c>
      <c r="F292" s="2">
        <v>1</v>
      </c>
      <c r="G292" s="2" t="s">
        <v>870</v>
      </c>
      <c r="H292" s="2" t="s">
        <v>870</v>
      </c>
      <c r="I292" s="16">
        <v>9</v>
      </c>
      <c r="J292" s="2" t="s">
        <v>25</v>
      </c>
      <c r="L292"/>
      <c r="M292"/>
      <c r="N292"/>
    </row>
    <row r="293" spans="1:14" ht="14.5" hidden="1">
      <c r="A293" s="2" t="s">
        <v>303</v>
      </c>
      <c r="B293" s="2" t="s">
        <v>304</v>
      </c>
      <c r="C293" s="2" t="s">
        <v>147</v>
      </c>
      <c r="D293" s="2" t="s">
        <v>30</v>
      </c>
      <c r="E293" s="2" t="s">
        <v>25</v>
      </c>
      <c r="F293" s="2">
        <v>0.5</v>
      </c>
      <c r="G293" s="2" t="s">
        <v>870</v>
      </c>
      <c r="H293" s="2" t="s">
        <v>870</v>
      </c>
      <c r="I293" s="16">
        <v>9</v>
      </c>
      <c r="J293" s="2" t="s">
        <v>5</v>
      </c>
      <c r="L293"/>
      <c r="M293"/>
      <c r="N293"/>
    </row>
    <row r="294" spans="1:14" ht="14.5" hidden="1">
      <c r="A294" s="2" t="s">
        <v>643</v>
      </c>
      <c r="B294" s="2" t="s">
        <v>644</v>
      </c>
      <c r="C294" s="2" t="s">
        <v>147</v>
      </c>
      <c r="D294" s="2" t="s">
        <v>29</v>
      </c>
      <c r="E294" s="2" t="s">
        <v>1088</v>
      </c>
      <c r="F294" s="2">
        <v>1</v>
      </c>
      <c r="G294" s="2" t="s">
        <v>870</v>
      </c>
      <c r="H294" s="2" t="s">
        <v>870</v>
      </c>
      <c r="I294" s="16">
        <v>9</v>
      </c>
      <c r="J294" s="2" t="s">
        <v>25</v>
      </c>
      <c r="L294"/>
      <c r="M294"/>
      <c r="N294"/>
    </row>
    <row r="295" spans="1:14" ht="14.5" hidden="1">
      <c r="A295" s="2" t="s">
        <v>1089</v>
      </c>
      <c r="B295" s="2" t="s">
        <v>1090</v>
      </c>
      <c r="C295" s="2" t="s">
        <v>250</v>
      </c>
      <c r="D295" s="2" t="s">
        <v>153</v>
      </c>
      <c r="E295" s="2" t="s">
        <v>1091</v>
      </c>
      <c r="F295" s="2">
        <v>1</v>
      </c>
      <c r="G295" s="2" t="s">
        <v>870</v>
      </c>
      <c r="H295" s="2" t="s">
        <v>870</v>
      </c>
      <c r="I295" s="16">
        <v>9</v>
      </c>
      <c r="J295" s="2" t="s">
        <v>25</v>
      </c>
      <c r="L295"/>
      <c r="M295"/>
      <c r="N295"/>
    </row>
    <row r="296" spans="1:14" ht="14.5" hidden="1">
      <c r="A296" s="2" t="s">
        <v>637</v>
      </c>
      <c r="B296" s="2" t="s">
        <v>638</v>
      </c>
      <c r="C296" s="2" t="s">
        <v>248</v>
      </c>
      <c r="D296" s="2" t="s">
        <v>30</v>
      </c>
      <c r="E296" s="2" t="s">
        <v>25</v>
      </c>
      <c r="F296" s="2">
        <v>1</v>
      </c>
      <c r="G296" s="2" t="s">
        <v>870</v>
      </c>
      <c r="H296" s="2" t="s">
        <v>870</v>
      </c>
      <c r="I296" s="16">
        <v>9</v>
      </c>
      <c r="J296" s="2" t="s">
        <v>25</v>
      </c>
      <c r="L296"/>
      <c r="M296"/>
      <c r="N296"/>
    </row>
    <row r="297" spans="1:14" ht="14.5">
      <c r="A297" s="2" t="s">
        <v>1092</v>
      </c>
      <c r="B297" s="2" t="s">
        <v>929</v>
      </c>
      <c r="C297" s="2" t="s">
        <v>705</v>
      </c>
      <c r="D297" s="2" t="s">
        <v>30</v>
      </c>
      <c r="E297" s="2" t="s">
        <v>1093</v>
      </c>
      <c r="F297" s="2">
        <v>0.5</v>
      </c>
      <c r="G297" s="2" t="s">
        <v>870</v>
      </c>
      <c r="H297" s="2" t="s">
        <v>870</v>
      </c>
      <c r="I297" s="16">
        <v>9</v>
      </c>
      <c r="J297" s="2" t="s">
        <v>1</v>
      </c>
      <c r="L297"/>
      <c r="M297"/>
      <c r="N297"/>
    </row>
    <row r="298" spans="1:14" ht="14.5" hidden="1">
      <c r="A298" s="2" t="s">
        <v>330</v>
      </c>
      <c r="B298" s="2" t="s">
        <v>331</v>
      </c>
      <c r="C298" s="2" t="s">
        <v>248</v>
      </c>
      <c r="D298" s="2" t="s">
        <v>30</v>
      </c>
      <c r="E298" s="2" t="s">
        <v>25</v>
      </c>
      <c r="F298" s="2">
        <v>1</v>
      </c>
      <c r="G298" s="2" t="s">
        <v>874</v>
      </c>
      <c r="H298" s="2" t="s">
        <v>874</v>
      </c>
      <c r="I298" s="16">
        <v>9</v>
      </c>
      <c r="J298" s="2" t="s">
        <v>25</v>
      </c>
      <c r="L298"/>
      <c r="M298"/>
      <c r="N298"/>
    </row>
    <row r="299" spans="1:14" ht="14.5" hidden="1">
      <c r="A299" s="2" t="s">
        <v>1094</v>
      </c>
      <c r="B299" s="2" t="s">
        <v>1095</v>
      </c>
      <c r="C299" s="2" t="s">
        <v>28</v>
      </c>
      <c r="D299" s="2" t="s">
        <v>30</v>
      </c>
      <c r="E299" s="2" t="s">
        <v>25</v>
      </c>
      <c r="F299" s="2">
        <v>1</v>
      </c>
      <c r="G299" s="2" t="s">
        <v>874</v>
      </c>
      <c r="H299" s="2" t="s">
        <v>874</v>
      </c>
      <c r="I299" s="16">
        <v>9</v>
      </c>
      <c r="J299" s="2" t="s">
        <v>25</v>
      </c>
      <c r="L299"/>
      <c r="M299"/>
      <c r="N299"/>
    </row>
    <row r="300" spans="1:14" ht="14.5">
      <c r="A300" s="2" t="s">
        <v>327</v>
      </c>
      <c r="B300" s="2" t="s">
        <v>317</v>
      </c>
      <c r="C300" s="2" t="s">
        <v>247</v>
      </c>
      <c r="D300" s="2" t="s">
        <v>29</v>
      </c>
      <c r="E300" s="2" t="s">
        <v>1096</v>
      </c>
      <c r="F300" s="2">
        <v>1</v>
      </c>
      <c r="G300" s="2" t="s">
        <v>874</v>
      </c>
      <c r="H300" s="2" t="s">
        <v>874</v>
      </c>
      <c r="I300" s="16">
        <v>9</v>
      </c>
      <c r="J300" s="2" t="s">
        <v>25</v>
      </c>
      <c r="L300"/>
      <c r="M300"/>
      <c r="N300"/>
    </row>
    <row r="301" spans="1:14" ht="14.5" hidden="1">
      <c r="A301" s="2" t="s">
        <v>1097</v>
      </c>
      <c r="B301" s="2" t="s">
        <v>1098</v>
      </c>
      <c r="C301" s="2" t="s">
        <v>148</v>
      </c>
      <c r="D301" s="2" t="s">
        <v>27</v>
      </c>
      <c r="E301" s="2" t="s">
        <v>25</v>
      </c>
      <c r="F301" s="2">
        <v>1</v>
      </c>
      <c r="G301" s="2" t="s">
        <v>874</v>
      </c>
      <c r="H301" s="2" t="s">
        <v>874</v>
      </c>
      <c r="I301" s="16">
        <v>9</v>
      </c>
      <c r="J301" s="2" t="s">
        <v>25</v>
      </c>
      <c r="L301"/>
      <c r="M301"/>
      <c r="N301"/>
    </row>
    <row r="302" spans="1:14" ht="14.5" hidden="1">
      <c r="A302" s="2" t="s">
        <v>260</v>
      </c>
      <c r="B302" s="2" t="s">
        <v>261</v>
      </c>
      <c r="C302" s="2" t="s">
        <v>33</v>
      </c>
      <c r="D302" s="2" t="s">
        <v>30</v>
      </c>
      <c r="E302" s="2" t="s">
        <v>1099</v>
      </c>
      <c r="F302" s="2">
        <v>1</v>
      </c>
      <c r="G302" s="2" t="s">
        <v>874</v>
      </c>
      <c r="H302" s="2" t="s">
        <v>874</v>
      </c>
      <c r="I302" s="16">
        <v>9</v>
      </c>
      <c r="J302" s="2" t="s">
        <v>25</v>
      </c>
      <c r="L302"/>
      <c r="M302"/>
      <c r="N302"/>
    </row>
    <row r="303" spans="1:14" ht="14.5" hidden="1">
      <c r="A303" s="2" t="s">
        <v>40</v>
      </c>
      <c r="B303" s="2" t="s">
        <v>41</v>
      </c>
      <c r="C303" s="2" t="s">
        <v>42</v>
      </c>
      <c r="D303" s="2" t="s">
        <v>30</v>
      </c>
      <c r="E303" s="2" t="s">
        <v>427</v>
      </c>
      <c r="F303" s="2">
        <v>0.5</v>
      </c>
      <c r="G303" s="2" t="s">
        <v>874</v>
      </c>
      <c r="H303" s="2" t="s">
        <v>874</v>
      </c>
      <c r="I303" s="16">
        <v>9</v>
      </c>
      <c r="J303" s="2" t="s">
        <v>5</v>
      </c>
      <c r="L303"/>
      <c r="M303"/>
      <c r="N303"/>
    </row>
    <row r="304" spans="1:14" ht="14.5">
      <c r="A304" s="2" t="s">
        <v>696</v>
      </c>
      <c r="B304" s="2" t="s">
        <v>567</v>
      </c>
      <c r="C304" s="2" t="s">
        <v>247</v>
      </c>
      <c r="D304" s="2" t="s">
        <v>24</v>
      </c>
      <c r="E304" s="2" t="s">
        <v>1100</v>
      </c>
      <c r="F304" s="2">
        <v>0.5</v>
      </c>
      <c r="G304" s="2" t="s">
        <v>874</v>
      </c>
      <c r="H304" s="2" t="s">
        <v>874</v>
      </c>
      <c r="I304" s="16">
        <v>9</v>
      </c>
      <c r="J304" s="2" t="s">
        <v>5</v>
      </c>
      <c r="L304"/>
      <c r="M304"/>
      <c r="N304"/>
    </row>
    <row r="305" spans="1:14" ht="14.5" hidden="1">
      <c r="A305" s="2" t="s">
        <v>1074</v>
      </c>
      <c r="B305" s="2" t="s">
        <v>1075</v>
      </c>
      <c r="C305" s="2" t="s">
        <v>431</v>
      </c>
      <c r="D305" s="2" t="s">
        <v>30</v>
      </c>
      <c r="E305" s="2" t="s">
        <v>1101</v>
      </c>
      <c r="F305" s="2">
        <v>0.5</v>
      </c>
      <c r="G305" s="2" t="s">
        <v>874</v>
      </c>
      <c r="H305" s="2" t="s">
        <v>874</v>
      </c>
      <c r="I305" s="16">
        <v>9</v>
      </c>
      <c r="J305" s="2" t="s">
        <v>1</v>
      </c>
      <c r="L305"/>
      <c r="M305"/>
      <c r="N305"/>
    </row>
    <row r="306" spans="1:14" ht="14.5" hidden="1">
      <c r="A306" s="2" t="s">
        <v>1102</v>
      </c>
      <c r="B306" s="2" t="s">
        <v>934</v>
      </c>
      <c r="C306" s="2" t="s">
        <v>250</v>
      </c>
      <c r="D306" s="2" t="s">
        <v>24</v>
      </c>
      <c r="E306" s="2" t="s">
        <v>1103</v>
      </c>
      <c r="F306" s="2">
        <v>0.5</v>
      </c>
      <c r="G306" s="2" t="s">
        <v>874</v>
      </c>
      <c r="H306" s="2" t="s">
        <v>874</v>
      </c>
      <c r="I306" s="16">
        <v>9</v>
      </c>
      <c r="J306" s="2" t="s">
        <v>1</v>
      </c>
      <c r="L306"/>
      <c r="M306"/>
      <c r="N306"/>
    </row>
    <row r="307" spans="1:14" ht="14.5" hidden="1">
      <c r="A307" s="2" t="s">
        <v>724</v>
      </c>
      <c r="B307" s="2" t="s">
        <v>725</v>
      </c>
      <c r="C307" s="2" t="s">
        <v>149</v>
      </c>
      <c r="D307" s="2" t="s">
        <v>30</v>
      </c>
      <c r="E307" s="2" t="s">
        <v>731</v>
      </c>
      <c r="F307" s="2">
        <v>1</v>
      </c>
      <c r="G307" s="2" t="s">
        <v>874</v>
      </c>
      <c r="H307" s="2" t="s">
        <v>874</v>
      </c>
      <c r="I307" s="16">
        <v>9</v>
      </c>
      <c r="J307" s="2" t="s">
        <v>25</v>
      </c>
      <c r="L307"/>
      <c r="M307"/>
      <c r="N307"/>
    </row>
    <row r="308" spans="1:14" ht="14.5" hidden="1">
      <c r="A308" s="2" t="s">
        <v>383</v>
      </c>
      <c r="B308" s="2" t="s">
        <v>384</v>
      </c>
      <c r="C308" s="2" t="s">
        <v>28</v>
      </c>
      <c r="D308" s="2" t="s">
        <v>30</v>
      </c>
      <c r="E308" s="2" t="s">
        <v>25</v>
      </c>
      <c r="F308" s="2">
        <v>1</v>
      </c>
      <c r="G308" s="2" t="s">
        <v>874</v>
      </c>
      <c r="H308" s="2" t="s">
        <v>874</v>
      </c>
      <c r="I308" s="16">
        <v>9</v>
      </c>
      <c r="J308" s="2" t="s">
        <v>25</v>
      </c>
      <c r="L308"/>
      <c r="M308"/>
      <c r="N308"/>
    </row>
    <row r="309" spans="1:14" ht="14.5" hidden="1">
      <c r="A309" s="2" t="s">
        <v>631</v>
      </c>
      <c r="B309" s="2" t="s">
        <v>632</v>
      </c>
      <c r="C309" s="2" t="s">
        <v>39</v>
      </c>
      <c r="D309" s="2" t="s">
        <v>30</v>
      </c>
      <c r="E309" s="2" t="s">
        <v>25</v>
      </c>
      <c r="F309" s="2">
        <v>1</v>
      </c>
      <c r="G309" s="2" t="s">
        <v>874</v>
      </c>
      <c r="H309" s="2" t="s">
        <v>874</v>
      </c>
      <c r="I309" s="16">
        <v>9</v>
      </c>
      <c r="J309" s="2" t="s">
        <v>25</v>
      </c>
      <c r="L309"/>
      <c r="M309"/>
      <c r="N309"/>
    </row>
    <row r="310" spans="1:14" ht="14.5" hidden="1">
      <c r="A310" s="2" t="s">
        <v>429</v>
      </c>
      <c r="B310" s="2" t="s">
        <v>430</v>
      </c>
      <c r="C310" s="2" t="s">
        <v>431</v>
      </c>
      <c r="D310" s="2" t="s">
        <v>29</v>
      </c>
      <c r="E310" s="2" t="s">
        <v>1079</v>
      </c>
      <c r="F310" s="2">
        <v>1</v>
      </c>
      <c r="G310" s="2" t="s">
        <v>874</v>
      </c>
      <c r="H310" s="2" t="s">
        <v>874</v>
      </c>
      <c r="I310" s="16">
        <v>9</v>
      </c>
      <c r="J310" s="2" t="s">
        <v>5</v>
      </c>
      <c r="L310"/>
      <c r="M310"/>
      <c r="N310"/>
    </row>
    <row r="311" spans="1:14" ht="14.5" hidden="1">
      <c r="A311" s="2" t="s">
        <v>429</v>
      </c>
      <c r="B311" s="2" t="s">
        <v>430</v>
      </c>
      <c r="C311" s="2" t="s">
        <v>431</v>
      </c>
      <c r="D311" s="2" t="s">
        <v>29</v>
      </c>
      <c r="E311" s="2" t="s">
        <v>1104</v>
      </c>
      <c r="F311" s="2">
        <v>1</v>
      </c>
      <c r="G311" s="2" t="s">
        <v>874</v>
      </c>
      <c r="H311" s="2" t="s">
        <v>874</v>
      </c>
      <c r="I311" s="16">
        <v>9</v>
      </c>
      <c r="J311" s="2" t="s">
        <v>1</v>
      </c>
      <c r="L311"/>
      <c r="M311"/>
      <c r="N311"/>
    </row>
    <row r="312" spans="1:14" ht="14.5" hidden="1">
      <c r="A312" s="2" t="s">
        <v>1105</v>
      </c>
      <c r="B312" s="2" t="s">
        <v>1106</v>
      </c>
      <c r="C312" s="2" t="s">
        <v>149</v>
      </c>
      <c r="D312" s="2" t="s">
        <v>24</v>
      </c>
      <c r="E312" s="2" t="s">
        <v>1107</v>
      </c>
      <c r="F312" s="2">
        <v>1</v>
      </c>
      <c r="G312" s="2" t="s">
        <v>874</v>
      </c>
      <c r="H312" s="2" t="s">
        <v>874</v>
      </c>
      <c r="I312" s="16">
        <v>9</v>
      </c>
      <c r="J312" s="2" t="s">
        <v>25</v>
      </c>
      <c r="L312"/>
      <c r="M312"/>
      <c r="N312"/>
    </row>
    <row r="313" spans="1:14" ht="14.5" hidden="1">
      <c r="A313" s="2" t="s">
        <v>449</v>
      </c>
      <c r="B313" s="2" t="s">
        <v>450</v>
      </c>
      <c r="C313" s="2" t="s">
        <v>431</v>
      </c>
      <c r="D313" s="2" t="s">
        <v>30</v>
      </c>
      <c r="E313" s="2" t="s">
        <v>1024</v>
      </c>
      <c r="F313" s="2">
        <v>3</v>
      </c>
      <c r="G313" s="2" t="s">
        <v>937</v>
      </c>
      <c r="H313" s="2" t="s">
        <v>870</v>
      </c>
      <c r="I313" s="16">
        <v>9</v>
      </c>
      <c r="J313" s="2" t="s">
        <v>25</v>
      </c>
      <c r="L313"/>
      <c r="M313"/>
      <c r="N313"/>
    </row>
    <row r="314" spans="1:14" ht="14.5" hidden="1">
      <c r="A314" s="2" t="s">
        <v>595</v>
      </c>
      <c r="B314" s="2" t="s">
        <v>596</v>
      </c>
      <c r="C314" s="2" t="s">
        <v>135</v>
      </c>
      <c r="D314" s="2" t="s">
        <v>30</v>
      </c>
      <c r="E314" s="2" t="s">
        <v>25</v>
      </c>
      <c r="F314" s="2">
        <v>0.5</v>
      </c>
      <c r="G314" s="2" t="s">
        <v>937</v>
      </c>
      <c r="H314" s="2" t="s">
        <v>937</v>
      </c>
      <c r="I314" s="16">
        <v>9</v>
      </c>
      <c r="J314" s="2" t="s">
        <v>1</v>
      </c>
      <c r="L314"/>
      <c r="M314"/>
      <c r="N314"/>
    </row>
    <row r="315" spans="1:14" ht="14.5" hidden="1">
      <c r="A315" s="2" t="s">
        <v>1108</v>
      </c>
      <c r="B315" s="2" t="s">
        <v>1109</v>
      </c>
      <c r="C315" s="2" t="s">
        <v>149</v>
      </c>
      <c r="D315" s="2" t="s">
        <v>36</v>
      </c>
      <c r="E315" s="2" t="s">
        <v>25</v>
      </c>
      <c r="F315" s="2">
        <v>1</v>
      </c>
      <c r="G315" s="2" t="s">
        <v>937</v>
      </c>
      <c r="H315" s="2" t="s">
        <v>937</v>
      </c>
      <c r="I315" s="16">
        <v>9</v>
      </c>
      <c r="J315" s="2" t="s">
        <v>25</v>
      </c>
      <c r="L315"/>
      <c r="M315"/>
      <c r="N315"/>
    </row>
    <row r="316" spans="1:14" ht="14.5" hidden="1">
      <c r="A316" s="2" t="s">
        <v>1110</v>
      </c>
      <c r="B316" s="2" t="s">
        <v>374</v>
      </c>
      <c r="C316" s="2" t="s">
        <v>148</v>
      </c>
      <c r="D316" s="2" t="s">
        <v>1111</v>
      </c>
      <c r="E316" s="2" t="s">
        <v>25</v>
      </c>
      <c r="F316" s="2">
        <v>1</v>
      </c>
      <c r="G316" s="2" t="s">
        <v>937</v>
      </c>
      <c r="H316" s="2" t="s">
        <v>937</v>
      </c>
      <c r="I316" s="16">
        <v>9</v>
      </c>
      <c r="J316" s="2" t="s">
        <v>25</v>
      </c>
      <c r="L316"/>
      <c r="M316"/>
      <c r="N316"/>
    </row>
    <row r="317" spans="1:14" ht="14.5" hidden="1">
      <c r="A317" s="2" t="s">
        <v>328</v>
      </c>
      <c r="B317" s="2" t="s">
        <v>329</v>
      </c>
      <c r="C317" s="2" t="s">
        <v>149</v>
      </c>
      <c r="D317" s="2" t="s">
        <v>30</v>
      </c>
      <c r="E317" s="2" t="s">
        <v>1112</v>
      </c>
      <c r="F317" s="2">
        <v>1</v>
      </c>
      <c r="G317" s="2" t="s">
        <v>937</v>
      </c>
      <c r="H317" s="2" t="s">
        <v>937</v>
      </c>
      <c r="I317" s="16">
        <v>9</v>
      </c>
      <c r="J317" s="2" t="s">
        <v>25</v>
      </c>
      <c r="L317"/>
      <c r="M317"/>
      <c r="N317"/>
    </row>
    <row r="318" spans="1:14" ht="14.5" hidden="1">
      <c r="A318" s="2" t="s">
        <v>1113</v>
      </c>
      <c r="B318" s="2" t="s">
        <v>1114</v>
      </c>
      <c r="C318" s="2" t="s">
        <v>34</v>
      </c>
      <c r="D318" s="2" t="s">
        <v>24</v>
      </c>
      <c r="E318" s="2" t="s">
        <v>25</v>
      </c>
      <c r="F318" s="2">
        <v>0.5</v>
      </c>
      <c r="G318" s="2" t="s">
        <v>937</v>
      </c>
      <c r="H318" s="2" t="s">
        <v>937</v>
      </c>
      <c r="I318" s="16">
        <v>9</v>
      </c>
      <c r="J318" s="2" t="s">
        <v>5</v>
      </c>
      <c r="L318"/>
      <c r="M318"/>
      <c r="N318"/>
    </row>
    <row r="319" spans="1:14" ht="14.5">
      <c r="A319" s="2" t="s">
        <v>256</v>
      </c>
      <c r="B319" s="2" t="s">
        <v>158</v>
      </c>
      <c r="C319" s="2" t="s">
        <v>247</v>
      </c>
      <c r="D319" s="2" t="s">
        <v>24</v>
      </c>
      <c r="E319" s="2" t="s">
        <v>1115</v>
      </c>
      <c r="F319" s="2">
        <v>0.5</v>
      </c>
      <c r="G319" s="2" t="s">
        <v>937</v>
      </c>
      <c r="H319" s="2" t="s">
        <v>937</v>
      </c>
      <c r="I319" s="16">
        <v>9</v>
      </c>
      <c r="J319" s="2" t="s">
        <v>5</v>
      </c>
      <c r="L319"/>
      <c r="M319"/>
      <c r="N319"/>
    </row>
    <row r="320" spans="1:14" ht="14.5" hidden="1">
      <c r="A320" s="2" t="s">
        <v>452</v>
      </c>
      <c r="B320" s="2" t="s">
        <v>636</v>
      </c>
      <c r="C320" s="2"/>
      <c r="D320" s="2" t="s">
        <v>30</v>
      </c>
      <c r="E320" s="2" t="s">
        <v>150</v>
      </c>
      <c r="F320" s="2">
        <v>3</v>
      </c>
      <c r="G320" s="2" t="s">
        <v>937</v>
      </c>
      <c r="H320" s="2" t="s">
        <v>870</v>
      </c>
      <c r="I320" s="16">
        <v>9</v>
      </c>
      <c r="J320" s="2" t="s">
        <v>25</v>
      </c>
      <c r="L320"/>
      <c r="M320"/>
      <c r="N320"/>
    </row>
    <row r="321" spans="1:14" ht="14.5" hidden="1">
      <c r="A321" s="2" t="s">
        <v>476</v>
      </c>
      <c r="B321" s="2" t="s">
        <v>477</v>
      </c>
      <c r="C321" s="2" t="s">
        <v>149</v>
      </c>
      <c r="D321" s="2" t="s">
        <v>36</v>
      </c>
      <c r="E321" s="2" t="s">
        <v>1116</v>
      </c>
      <c r="F321" s="2">
        <v>1</v>
      </c>
      <c r="G321" s="2" t="s">
        <v>937</v>
      </c>
      <c r="H321" s="2" t="s">
        <v>937</v>
      </c>
      <c r="I321" s="16">
        <v>9</v>
      </c>
      <c r="J321" s="2" t="s">
        <v>25</v>
      </c>
      <c r="L321"/>
      <c r="M321"/>
      <c r="N321"/>
    </row>
    <row r="322" spans="1:14" ht="14.5" hidden="1">
      <c r="A322" s="2" t="s">
        <v>1097</v>
      </c>
      <c r="B322" s="2" t="s">
        <v>1098</v>
      </c>
      <c r="C322" s="2" t="s">
        <v>148</v>
      </c>
      <c r="D322" s="2" t="s">
        <v>24</v>
      </c>
      <c r="E322" s="2" t="s">
        <v>25</v>
      </c>
      <c r="F322" s="2">
        <v>1</v>
      </c>
      <c r="G322" s="2" t="s">
        <v>937</v>
      </c>
      <c r="H322" s="2" t="s">
        <v>937</v>
      </c>
      <c r="I322" s="16">
        <v>9</v>
      </c>
      <c r="J322" s="2" t="s">
        <v>25</v>
      </c>
      <c r="L322"/>
      <c r="M322"/>
      <c r="N322"/>
    </row>
    <row r="323" spans="1:14" ht="14.5" hidden="1">
      <c r="A323" s="2" t="s">
        <v>1049</v>
      </c>
      <c r="B323" s="2" t="s">
        <v>1050</v>
      </c>
      <c r="C323" s="2" t="s">
        <v>34</v>
      </c>
      <c r="D323" s="2" t="s">
        <v>29</v>
      </c>
      <c r="E323" s="2" t="s">
        <v>1059</v>
      </c>
      <c r="F323" s="2">
        <v>5</v>
      </c>
      <c r="G323" s="2" t="s">
        <v>937</v>
      </c>
      <c r="H323" s="2" t="s">
        <v>866</v>
      </c>
      <c r="I323" s="16">
        <v>9</v>
      </c>
      <c r="J323" s="2" t="s">
        <v>25</v>
      </c>
      <c r="L323"/>
      <c r="M323"/>
      <c r="N323"/>
    </row>
    <row r="324" spans="1:14" ht="14.5" hidden="1">
      <c r="A324" s="2" t="s">
        <v>1117</v>
      </c>
      <c r="B324" s="2" t="s">
        <v>1118</v>
      </c>
      <c r="C324" s="2" t="s">
        <v>250</v>
      </c>
      <c r="D324" s="2" t="s">
        <v>153</v>
      </c>
      <c r="E324" s="2" t="s">
        <v>25</v>
      </c>
      <c r="F324" s="2">
        <v>1</v>
      </c>
      <c r="G324" s="2" t="s">
        <v>937</v>
      </c>
      <c r="H324" s="2" t="s">
        <v>937</v>
      </c>
      <c r="I324" s="16">
        <v>9</v>
      </c>
      <c r="J324" s="2" t="s">
        <v>25</v>
      </c>
      <c r="L324"/>
      <c r="M324"/>
      <c r="N324"/>
    </row>
    <row r="325" spans="1:14" ht="14.5" hidden="1">
      <c r="A325" s="2" t="s">
        <v>1077</v>
      </c>
      <c r="B325" s="2" t="s">
        <v>1078</v>
      </c>
      <c r="C325" s="2"/>
      <c r="D325" s="2" t="s">
        <v>30</v>
      </c>
      <c r="E325" s="2" t="s">
        <v>25</v>
      </c>
      <c r="F325" s="2">
        <v>3</v>
      </c>
      <c r="G325" s="2" t="s">
        <v>937</v>
      </c>
      <c r="H325" s="2" t="s">
        <v>870</v>
      </c>
      <c r="I325" s="16">
        <v>9</v>
      </c>
      <c r="J325" s="2" t="s">
        <v>25</v>
      </c>
      <c r="L325"/>
      <c r="M325"/>
      <c r="N325"/>
    </row>
    <row r="326" spans="1:14" ht="14.5" hidden="1">
      <c r="A326" s="2" t="s">
        <v>614</v>
      </c>
      <c r="B326" s="2" t="s">
        <v>583</v>
      </c>
      <c r="C326" s="2" t="s">
        <v>149</v>
      </c>
      <c r="D326" s="2" t="s">
        <v>36</v>
      </c>
      <c r="E326" s="2" t="s">
        <v>25</v>
      </c>
      <c r="F326" s="2">
        <v>1</v>
      </c>
      <c r="G326" s="2" t="s">
        <v>937</v>
      </c>
      <c r="H326" s="2" t="s">
        <v>937</v>
      </c>
      <c r="I326" s="16">
        <v>9</v>
      </c>
      <c r="J326" s="2" t="s">
        <v>25</v>
      </c>
      <c r="L326"/>
      <c r="M326"/>
      <c r="N326"/>
    </row>
    <row r="327" spans="1:14" ht="14.5">
      <c r="A327" s="2" t="s">
        <v>696</v>
      </c>
      <c r="B327" s="2" t="s">
        <v>567</v>
      </c>
      <c r="C327" s="2" t="s">
        <v>247</v>
      </c>
      <c r="D327" s="2" t="s">
        <v>24</v>
      </c>
      <c r="E327" s="2" t="s">
        <v>1100</v>
      </c>
      <c r="F327" s="2">
        <v>1</v>
      </c>
      <c r="G327" s="2" t="s">
        <v>937</v>
      </c>
      <c r="H327" s="2" t="s">
        <v>937</v>
      </c>
      <c r="I327" s="16">
        <v>9</v>
      </c>
      <c r="J327" s="2" t="s">
        <v>25</v>
      </c>
      <c r="L327"/>
      <c r="M327"/>
      <c r="N327"/>
    </row>
    <row r="328" spans="1:14" ht="14.5" hidden="1">
      <c r="A328" s="2" t="s">
        <v>1119</v>
      </c>
      <c r="B328" s="2" t="s">
        <v>1120</v>
      </c>
      <c r="C328" s="2" t="s">
        <v>28</v>
      </c>
      <c r="D328" s="2" t="s">
        <v>27</v>
      </c>
      <c r="E328" s="2" t="s">
        <v>25</v>
      </c>
      <c r="F328" s="2">
        <v>1</v>
      </c>
      <c r="G328" s="2" t="s">
        <v>937</v>
      </c>
      <c r="H328" s="2" t="s">
        <v>937</v>
      </c>
      <c r="I328" s="16">
        <v>9</v>
      </c>
      <c r="J328" s="2" t="s">
        <v>25</v>
      </c>
      <c r="L328"/>
      <c r="M328"/>
      <c r="N328"/>
    </row>
    <row r="329" spans="1:14" ht="14.5">
      <c r="A329" s="2" t="s">
        <v>1121</v>
      </c>
      <c r="B329" s="2" t="s">
        <v>942</v>
      </c>
      <c r="C329" s="2" t="s">
        <v>1122</v>
      </c>
      <c r="D329" s="2" t="s">
        <v>24</v>
      </c>
      <c r="E329" s="2" t="s">
        <v>1123</v>
      </c>
      <c r="F329" s="2">
        <v>0.5</v>
      </c>
      <c r="G329" s="2" t="s">
        <v>937</v>
      </c>
      <c r="H329" s="2" t="s">
        <v>937</v>
      </c>
      <c r="I329" s="16">
        <v>9</v>
      </c>
      <c r="J329" s="2" t="s">
        <v>5</v>
      </c>
      <c r="L329"/>
      <c r="M329"/>
      <c r="N329"/>
    </row>
    <row r="330" spans="1:14" ht="14.5">
      <c r="A330" s="2" t="s">
        <v>1124</v>
      </c>
      <c r="B330" s="2" t="s">
        <v>1125</v>
      </c>
      <c r="C330" s="2" t="s">
        <v>1122</v>
      </c>
      <c r="D330" s="2" t="s">
        <v>29</v>
      </c>
      <c r="E330" s="2" t="s">
        <v>1126</v>
      </c>
      <c r="F330" s="2">
        <v>0.5</v>
      </c>
      <c r="G330" s="2" t="s">
        <v>1127</v>
      </c>
      <c r="H330" s="2" t="s">
        <v>1127</v>
      </c>
      <c r="I330" s="16">
        <v>9</v>
      </c>
      <c r="J330" s="2" t="s">
        <v>5</v>
      </c>
      <c r="L330"/>
      <c r="M330"/>
      <c r="N330"/>
    </row>
    <row r="331" spans="1:14" ht="14.5">
      <c r="A331" s="2" t="s">
        <v>1128</v>
      </c>
      <c r="B331" s="2" t="s">
        <v>971</v>
      </c>
      <c r="C331" s="2" t="s">
        <v>1129</v>
      </c>
      <c r="D331" s="2" t="s">
        <v>29</v>
      </c>
      <c r="E331" s="2" t="s">
        <v>1130</v>
      </c>
      <c r="F331" s="2">
        <v>0.5</v>
      </c>
      <c r="G331" s="2" t="s">
        <v>1127</v>
      </c>
      <c r="H331" s="2" t="s">
        <v>1127</v>
      </c>
      <c r="I331" s="16">
        <v>9</v>
      </c>
      <c r="J331" s="2" t="s">
        <v>5</v>
      </c>
      <c r="L331"/>
      <c r="M331"/>
      <c r="N331"/>
    </row>
    <row r="332" spans="1:14" ht="14.5" hidden="1">
      <c r="A332" s="2" t="s">
        <v>600</v>
      </c>
      <c r="B332" s="2" t="s">
        <v>601</v>
      </c>
      <c r="C332" s="2" t="s">
        <v>135</v>
      </c>
      <c r="D332" s="2" t="s">
        <v>30</v>
      </c>
      <c r="E332" s="2" t="s">
        <v>25</v>
      </c>
      <c r="F332" s="2">
        <v>0.5</v>
      </c>
      <c r="G332" s="2" t="s">
        <v>1127</v>
      </c>
      <c r="H332" s="2" t="s">
        <v>1127</v>
      </c>
      <c r="I332" s="16">
        <v>9</v>
      </c>
      <c r="J332" s="2" t="s">
        <v>5</v>
      </c>
      <c r="L332"/>
      <c r="M332"/>
      <c r="N332"/>
    </row>
    <row r="333" spans="1:14" ht="14.5" hidden="1">
      <c r="A333" s="2" t="s">
        <v>301</v>
      </c>
      <c r="B333" s="2" t="s">
        <v>302</v>
      </c>
      <c r="C333" s="2" t="s">
        <v>149</v>
      </c>
      <c r="D333" s="2" t="s">
        <v>30</v>
      </c>
      <c r="E333" s="2" t="s">
        <v>1131</v>
      </c>
      <c r="F333" s="2">
        <v>0.5</v>
      </c>
      <c r="G333" s="2" t="s">
        <v>1132</v>
      </c>
      <c r="H333" s="2" t="s">
        <v>1132</v>
      </c>
      <c r="I333" s="16">
        <v>9</v>
      </c>
      <c r="J333" s="2" t="s">
        <v>1</v>
      </c>
      <c r="L333"/>
      <c r="M333"/>
      <c r="N333"/>
    </row>
    <row r="334" spans="1:14" ht="14.5" hidden="1">
      <c r="A334" s="2" t="s">
        <v>650</v>
      </c>
      <c r="B334" s="2" t="s">
        <v>576</v>
      </c>
      <c r="C334" s="2" t="s">
        <v>431</v>
      </c>
      <c r="D334" s="2" t="s">
        <v>29</v>
      </c>
      <c r="E334" s="2" t="s">
        <v>1133</v>
      </c>
      <c r="F334" s="2">
        <v>0.5</v>
      </c>
      <c r="G334" s="2" t="s">
        <v>1132</v>
      </c>
      <c r="H334" s="2" t="s">
        <v>1132</v>
      </c>
      <c r="I334" s="16">
        <v>9</v>
      </c>
      <c r="J334" s="2" t="s">
        <v>1</v>
      </c>
      <c r="L334"/>
      <c r="M334"/>
      <c r="N334"/>
    </row>
    <row r="335" spans="1:14" ht="14.5" hidden="1">
      <c r="A335" s="2" t="s">
        <v>423</v>
      </c>
      <c r="B335" s="2" t="s">
        <v>424</v>
      </c>
      <c r="C335" s="2" t="s">
        <v>149</v>
      </c>
      <c r="D335" s="2" t="s">
        <v>27</v>
      </c>
      <c r="E335" s="2" t="s">
        <v>25</v>
      </c>
      <c r="F335" s="2">
        <v>1</v>
      </c>
      <c r="G335" s="2" t="s">
        <v>1132</v>
      </c>
      <c r="H335" s="2" t="s">
        <v>1132</v>
      </c>
      <c r="I335" s="16">
        <v>9</v>
      </c>
      <c r="J335" s="2" t="s">
        <v>25</v>
      </c>
      <c r="L335"/>
      <c r="M335"/>
      <c r="N335"/>
    </row>
    <row r="336" spans="1:14" ht="14.5" hidden="1">
      <c r="A336" s="2" t="s">
        <v>425</v>
      </c>
      <c r="B336" s="2" t="s">
        <v>426</v>
      </c>
      <c r="C336" s="2" t="s">
        <v>135</v>
      </c>
      <c r="D336" s="2" t="s">
        <v>30</v>
      </c>
      <c r="E336" s="2" t="s">
        <v>1134</v>
      </c>
      <c r="F336" s="2">
        <v>1</v>
      </c>
      <c r="G336" s="2" t="s">
        <v>1132</v>
      </c>
      <c r="H336" s="2" t="s">
        <v>1132</v>
      </c>
      <c r="I336" s="16">
        <v>9</v>
      </c>
      <c r="J336" s="2" t="s">
        <v>25</v>
      </c>
      <c r="L336"/>
      <c r="M336"/>
      <c r="N336"/>
    </row>
    <row r="337" spans="1:14" ht="14.5" hidden="1">
      <c r="A337" s="2" t="s">
        <v>400</v>
      </c>
      <c r="B337" s="2" t="s">
        <v>401</v>
      </c>
      <c r="C337" s="2" t="s">
        <v>159</v>
      </c>
      <c r="D337" s="2" t="s">
        <v>29</v>
      </c>
      <c r="E337" s="2" t="s">
        <v>1135</v>
      </c>
      <c r="F337" s="2">
        <v>0.5</v>
      </c>
      <c r="G337" s="2" t="s">
        <v>1132</v>
      </c>
      <c r="H337" s="2" t="s">
        <v>1132</v>
      </c>
      <c r="I337" s="16">
        <v>9</v>
      </c>
      <c r="J337" s="2" t="s">
        <v>5</v>
      </c>
      <c r="L337"/>
      <c r="M337"/>
      <c r="N337"/>
    </row>
    <row r="338" spans="1:14" ht="14.5" hidden="1">
      <c r="A338" s="2" t="s">
        <v>429</v>
      </c>
      <c r="B338" s="2" t="s">
        <v>430</v>
      </c>
      <c r="C338" s="2" t="s">
        <v>431</v>
      </c>
      <c r="D338" s="2" t="s">
        <v>29</v>
      </c>
      <c r="E338" s="2" t="s">
        <v>1136</v>
      </c>
      <c r="F338" s="2">
        <v>1</v>
      </c>
      <c r="G338" s="2" t="s">
        <v>1132</v>
      </c>
      <c r="H338" s="2" t="s">
        <v>1132</v>
      </c>
      <c r="I338" s="16">
        <v>9</v>
      </c>
      <c r="J338" s="2" t="s">
        <v>25</v>
      </c>
      <c r="L338"/>
      <c r="M338"/>
      <c r="N338"/>
    </row>
    <row r="339" spans="1:14" ht="14.5" hidden="1">
      <c r="A339" s="2" t="s">
        <v>1137</v>
      </c>
      <c r="B339" s="2" t="s">
        <v>1138</v>
      </c>
      <c r="C339" s="2" t="s">
        <v>34</v>
      </c>
      <c r="D339" s="2" t="s">
        <v>30</v>
      </c>
      <c r="E339" s="2" t="s">
        <v>25</v>
      </c>
      <c r="F339" s="2">
        <v>0.5</v>
      </c>
      <c r="G339" s="2" t="s">
        <v>1132</v>
      </c>
      <c r="H339" s="2" t="s">
        <v>1132</v>
      </c>
      <c r="I339" s="16">
        <v>9</v>
      </c>
      <c r="J339" s="2" t="s">
        <v>1</v>
      </c>
      <c r="L339"/>
      <c r="M339"/>
      <c r="N339"/>
    </row>
    <row r="340" spans="1:14" ht="14.5" hidden="1">
      <c r="A340" s="2" t="s">
        <v>260</v>
      </c>
      <c r="B340" s="2" t="s">
        <v>261</v>
      </c>
      <c r="C340" s="2" t="s">
        <v>33</v>
      </c>
      <c r="D340" s="2" t="s">
        <v>27</v>
      </c>
      <c r="E340" s="2" t="s">
        <v>1139</v>
      </c>
      <c r="F340" s="2">
        <v>1</v>
      </c>
      <c r="G340" s="2" t="s">
        <v>1132</v>
      </c>
      <c r="H340" s="2" t="s">
        <v>1132</v>
      </c>
      <c r="I340" s="16">
        <v>9</v>
      </c>
      <c r="J340" s="2" t="s">
        <v>25</v>
      </c>
      <c r="L340"/>
      <c r="M340"/>
      <c r="N340"/>
    </row>
    <row r="341" spans="1:14" ht="14.5" hidden="1">
      <c r="A341" s="2" t="s">
        <v>1105</v>
      </c>
      <c r="B341" s="2" t="s">
        <v>1106</v>
      </c>
      <c r="C341" s="2" t="s">
        <v>149</v>
      </c>
      <c r="D341" s="2" t="s">
        <v>30</v>
      </c>
      <c r="E341" s="2" t="s">
        <v>25</v>
      </c>
      <c r="F341" s="2">
        <v>0.5</v>
      </c>
      <c r="G341" s="2" t="s">
        <v>1132</v>
      </c>
      <c r="H341" s="2" t="s">
        <v>1132</v>
      </c>
      <c r="I341" s="16">
        <v>9</v>
      </c>
      <c r="J341" s="2" t="s">
        <v>1</v>
      </c>
      <c r="L341"/>
      <c r="M341"/>
      <c r="N341"/>
    </row>
    <row r="342" spans="1:14" ht="14.5" hidden="1">
      <c r="A342" s="2" t="s">
        <v>1140</v>
      </c>
      <c r="B342" s="2" t="s">
        <v>1141</v>
      </c>
      <c r="C342" s="2" t="s">
        <v>147</v>
      </c>
      <c r="D342" s="2" t="s">
        <v>30</v>
      </c>
      <c r="E342" s="2" t="s">
        <v>25</v>
      </c>
      <c r="F342" s="2">
        <v>1</v>
      </c>
      <c r="G342" s="2" t="s">
        <v>1132</v>
      </c>
      <c r="H342" s="2" t="s">
        <v>1132</v>
      </c>
      <c r="I342" s="16">
        <v>9</v>
      </c>
      <c r="J342" s="2" t="s">
        <v>25</v>
      </c>
      <c r="L342"/>
      <c r="M342"/>
      <c r="N342"/>
    </row>
    <row r="343" spans="1:14" ht="14.5" hidden="1">
      <c r="A343" s="2" t="s">
        <v>1097</v>
      </c>
      <c r="B343" s="2" t="s">
        <v>1098</v>
      </c>
      <c r="C343" s="2" t="s">
        <v>148</v>
      </c>
      <c r="D343" s="2" t="s">
        <v>36</v>
      </c>
      <c r="E343" s="2" t="s">
        <v>150</v>
      </c>
      <c r="F343" s="2">
        <v>1</v>
      </c>
      <c r="G343" s="2" t="s">
        <v>1132</v>
      </c>
      <c r="H343" s="2" t="s">
        <v>1132</v>
      </c>
      <c r="I343" s="16">
        <v>9</v>
      </c>
      <c r="J343" s="2" t="s">
        <v>25</v>
      </c>
      <c r="L343"/>
      <c r="M343"/>
      <c r="N343"/>
    </row>
    <row r="344" spans="1:14" ht="14.5" hidden="1">
      <c r="A344" s="2" t="s">
        <v>31</v>
      </c>
      <c r="B344" s="2" t="s">
        <v>32</v>
      </c>
      <c r="C344" s="2" t="s">
        <v>33</v>
      </c>
      <c r="D344" s="2" t="s">
        <v>30</v>
      </c>
      <c r="E344" s="2" t="s">
        <v>25</v>
      </c>
      <c r="F344" s="2">
        <v>0.5</v>
      </c>
      <c r="G344" s="2" t="s">
        <v>946</v>
      </c>
      <c r="H344" s="2" t="s">
        <v>946</v>
      </c>
      <c r="I344" s="16">
        <v>9</v>
      </c>
      <c r="J344" s="2" t="s">
        <v>1</v>
      </c>
      <c r="L344"/>
      <c r="M344"/>
      <c r="N344"/>
    </row>
    <row r="345" spans="1:14" ht="14.5" hidden="1">
      <c r="A345" s="2" t="s">
        <v>328</v>
      </c>
      <c r="B345" s="2" t="s">
        <v>329</v>
      </c>
      <c r="C345" s="2" t="s">
        <v>149</v>
      </c>
      <c r="D345" s="2" t="s">
        <v>29</v>
      </c>
      <c r="E345" s="2" t="s">
        <v>1142</v>
      </c>
      <c r="F345" s="2">
        <v>1</v>
      </c>
      <c r="G345" s="2" t="s">
        <v>946</v>
      </c>
      <c r="H345" s="2" t="s">
        <v>946</v>
      </c>
      <c r="I345" s="16">
        <v>9</v>
      </c>
      <c r="J345" s="2" t="s">
        <v>25</v>
      </c>
      <c r="L345"/>
      <c r="M345"/>
      <c r="N345"/>
    </row>
    <row r="346" spans="1:14" ht="14.5" hidden="1">
      <c r="A346" s="2" t="s">
        <v>652</v>
      </c>
      <c r="B346" s="2" t="s">
        <v>653</v>
      </c>
      <c r="C346" s="2" t="s">
        <v>39</v>
      </c>
      <c r="D346" s="2" t="s">
        <v>30</v>
      </c>
      <c r="E346" s="2" t="s">
        <v>25</v>
      </c>
      <c r="F346" s="2">
        <v>1</v>
      </c>
      <c r="G346" s="2" t="s">
        <v>946</v>
      </c>
      <c r="H346" s="2" t="s">
        <v>946</v>
      </c>
      <c r="I346" s="16">
        <v>9</v>
      </c>
      <c r="J346" s="2" t="s">
        <v>25</v>
      </c>
      <c r="L346"/>
      <c r="M346"/>
      <c r="N346"/>
    </row>
    <row r="347" spans="1:14" ht="14.5" hidden="1">
      <c r="A347" s="2" t="s">
        <v>40</v>
      </c>
      <c r="B347" s="2" t="s">
        <v>41</v>
      </c>
      <c r="C347" s="2" t="s">
        <v>42</v>
      </c>
      <c r="D347" s="2" t="s">
        <v>27</v>
      </c>
      <c r="E347" s="2" t="s">
        <v>140</v>
      </c>
      <c r="F347" s="2">
        <v>0.5</v>
      </c>
      <c r="G347" s="2" t="s">
        <v>946</v>
      </c>
      <c r="H347" s="2" t="s">
        <v>946</v>
      </c>
      <c r="I347" s="16">
        <v>9</v>
      </c>
      <c r="J347" s="2" t="s">
        <v>5</v>
      </c>
      <c r="L347"/>
      <c r="M347"/>
      <c r="N347"/>
    </row>
    <row r="348" spans="1:14" ht="14.5" hidden="1">
      <c r="A348" s="2" t="s">
        <v>1143</v>
      </c>
      <c r="B348" s="2" t="s">
        <v>1144</v>
      </c>
      <c r="C348" s="2" t="s">
        <v>148</v>
      </c>
      <c r="D348" s="2" t="s">
        <v>27</v>
      </c>
      <c r="E348" s="2" t="s">
        <v>25</v>
      </c>
      <c r="F348" s="2">
        <v>1</v>
      </c>
      <c r="G348" s="2" t="s">
        <v>946</v>
      </c>
      <c r="H348" s="2" t="s">
        <v>946</v>
      </c>
      <c r="I348" s="16">
        <v>9</v>
      </c>
      <c r="J348" s="2" t="s">
        <v>5</v>
      </c>
      <c r="L348"/>
      <c r="M348"/>
      <c r="N348"/>
    </row>
    <row r="349" spans="1:14" ht="14.5">
      <c r="A349" s="2" t="s">
        <v>1145</v>
      </c>
      <c r="B349" s="2" t="s">
        <v>915</v>
      </c>
      <c r="C349" s="2" t="s">
        <v>247</v>
      </c>
      <c r="D349" s="2" t="s">
        <v>153</v>
      </c>
      <c r="E349" s="2" t="s">
        <v>1146</v>
      </c>
      <c r="F349" s="2">
        <v>0.5</v>
      </c>
      <c r="G349" s="2" t="s">
        <v>946</v>
      </c>
      <c r="H349" s="2" t="s">
        <v>946</v>
      </c>
      <c r="I349" s="16">
        <v>9</v>
      </c>
      <c r="J349" s="2" t="s">
        <v>5</v>
      </c>
      <c r="L349"/>
      <c r="M349"/>
      <c r="N349"/>
    </row>
    <row r="350" spans="1:14" ht="14.5" hidden="1">
      <c r="A350" s="2" t="s">
        <v>1143</v>
      </c>
      <c r="B350" s="2" t="s">
        <v>1144</v>
      </c>
      <c r="C350" s="2" t="s">
        <v>148</v>
      </c>
      <c r="D350" s="2" t="s">
        <v>27</v>
      </c>
      <c r="E350" s="2" t="s">
        <v>25</v>
      </c>
      <c r="F350" s="2">
        <v>1</v>
      </c>
      <c r="G350" s="2" t="s">
        <v>946</v>
      </c>
      <c r="H350" s="2" t="s">
        <v>946</v>
      </c>
      <c r="I350" s="16">
        <v>9</v>
      </c>
      <c r="J350" s="2" t="s">
        <v>1</v>
      </c>
      <c r="L350"/>
      <c r="M350"/>
      <c r="N350"/>
    </row>
    <row r="351" spans="1:14" ht="14.5">
      <c r="A351" s="2" t="s">
        <v>1147</v>
      </c>
      <c r="B351" s="2" t="s">
        <v>918</v>
      </c>
      <c r="C351" s="2" t="s">
        <v>247</v>
      </c>
      <c r="D351" s="2" t="s">
        <v>27</v>
      </c>
      <c r="E351" s="2" t="s">
        <v>1148</v>
      </c>
      <c r="F351" s="2">
        <v>0.5</v>
      </c>
      <c r="G351" s="2" t="s">
        <v>946</v>
      </c>
      <c r="H351" s="2" t="s">
        <v>946</v>
      </c>
      <c r="I351" s="16">
        <v>9</v>
      </c>
      <c r="J351" s="2" t="s">
        <v>1</v>
      </c>
      <c r="L351"/>
      <c r="M351"/>
      <c r="N351"/>
    </row>
    <row r="352" spans="1:14" ht="14.5" hidden="1">
      <c r="A352" s="2" t="s">
        <v>423</v>
      </c>
      <c r="B352" s="2" t="s">
        <v>424</v>
      </c>
      <c r="C352" s="2" t="s">
        <v>149</v>
      </c>
      <c r="D352" s="2" t="s">
        <v>29</v>
      </c>
      <c r="E352" s="2" t="s">
        <v>1149</v>
      </c>
      <c r="F352" s="2">
        <v>0.5</v>
      </c>
      <c r="G352" s="2" t="s">
        <v>946</v>
      </c>
      <c r="H352" s="2" t="s">
        <v>946</v>
      </c>
      <c r="I352" s="16">
        <v>9</v>
      </c>
      <c r="J352" s="2" t="s">
        <v>1</v>
      </c>
      <c r="L352"/>
      <c r="M352"/>
      <c r="N352"/>
    </row>
    <row r="353" spans="1:14" ht="14.5" hidden="1">
      <c r="A353" s="2" t="s">
        <v>643</v>
      </c>
      <c r="B353" s="2" t="s">
        <v>644</v>
      </c>
      <c r="C353" s="2" t="s">
        <v>147</v>
      </c>
      <c r="D353" s="2" t="s">
        <v>29</v>
      </c>
      <c r="E353" s="2" t="s">
        <v>1150</v>
      </c>
      <c r="F353" s="2">
        <v>1</v>
      </c>
      <c r="G353" s="2" t="s">
        <v>946</v>
      </c>
      <c r="H353" s="2" t="s">
        <v>946</v>
      </c>
      <c r="I353" s="16">
        <v>9</v>
      </c>
      <c r="J353" s="2" t="s">
        <v>25</v>
      </c>
      <c r="L353"/>
      <c r="M353"/>
      <c r="N353"/>
    </row>
    <row r="354" spans="1:14" ht="14.5" hidden="1">
      <c r="A354" s="2" t="s">
        <v>663</v>
      </c>
      <c r="B354" s="2" t="s">
        <v>664</v>
      </c>
      <c r="C354" s="2" t="s">
        <v>33</v>
      </c>
      <c r="D354" s="2" t="s">
        <v>30</v>
      </c>
      <c r="E354" s="2" t="s">
        <v>30</v>
      </c>
      <c r="F354" s="2">
        <v>1</v>
      </c>
      <c r="G354" s="2" t="s">
        <v>946</v>
      </c>
      <c r="H354" s="2" t="s">
        <v>946</v>
      </c>
      <c r="I354" s="16">
        <v>9</v>
      </c>
      <c r="J354" s="2" t="s">
        <v>25</v>
      </c>
      <c r="L354"/>
      <c r="M354"/>
      <c r="N354"/>
    </row>
    <row r="355" spans="1:14" ht="14.5" hidden="1">
      <c r="A355" s="2" t="s">
        <v>341</v>
      </c>
      <c r="B355" s="2" t="s">
        <v>342</v>
      </c>
      <c r="C355" s="2" t="s">
        <v>26</v>
      </c>
      <c r="D355" s="2" t="s">
        <v>36</v>
      </c>
      <c r="E355" s="2" t="s">
        <v>150</v>
      </c>
      <c r="F355" s="2">
        <v>1</v>
      </c>
      <c r="G355" s="2" t="s">
        <v>946</v>
      </c>
      <c r="H355" s="2" t="s">
        <v>946</v>
      </c>
      <c r="I355" s="16">
        <v>9</v>
      </c>
      <c r="J355" s="2" t="s">
        <v>25</v>
      </c>
      <c r="L355"/>
      <c r="M355"/>
      <c r="N355"/>
    </row>
    <row r="356" spans="1:14" ht="14.5" hidden="1">
      <c r="A356" s="2" t="s">
        <v>37</v>
      </c>
      <c r="B356" s="2" t="s">
        <v>38</v>
      </c>
      <c r="C356" s="2" t="s">
        <v>28</v>
      </c>
      <c r="D356" s="2" t="s">
        <v>29</v>
      </c>
      <c r="E356" s="2" t="s">
        <v>1151</v>
      </c>
      <c r="F356" s="2">
        <v>0.5</v>
      </c>
      <c r="G356" s="2" t="s">
        <v>949</v>
      </c>
      <c r="H356" s="2" t="s">
        <v>949</v>
      </c>
      <c r="I356" s="16">
        <v>9</v>
      </c>
      <c r="J356" s="2" t="s">
        <v>5</v>
      </c>
      <c r="L356"/>
      <c r="M356"/>
      <c r="N356"/>
    </row>
    <row r="357" spans="1:14" ht="14.5" hidden="1">
      <c r="A357" s="2" t="s">
        <v>31</v>
      </c>
      <c r="B357" s="2" t="s">
        <v>32</v>
      </c>
      <c r="C357" s="2" t="s">
        <v>33</v>
      </c>
      <c r="D357" s="2" t="s">
        <v>30</v>
      </c>
      <c r="E357" s="2" t="s">
        <v>25</v>
      </c>
      <c r="F357" s="2">
        <v>0.5</v>
      </c>
      <c r="G357" s="2" t="s">
        <v>949</v>
      </c>
      <c r="H357" s="2" t="s">
        <v>949</v>
      </c>
      <c r="I357" s="16">
        <v>9</v>
      </c>
      <c r="J357" s="2" t="s">
        <v>5</v>
      </c>
      <c r="L357"/>
      <c r="M357"/>
      <c r="N357"/>
    </row>
    <row r="358" spans="1:14" ht="14.5" hidden="1">
      <c r="A358" s="2" t="s">
        <v>392</v>
      </c>
      <c r="B358" s="2" t="s">
        <v>393</v>
      </c>
      <c r="C358" s="2" t="s">
        <v>147</v>
      </c>
      <c r="D358" s="2" t="s">
        <v>29</v>
      </c>
      <c r="E358" s="2" t="s">
        <v>25</v>
      </c>
      <c r="F358" s="2">
        <v>1</v>
      </c>
      <c r="G358" s="2" t="s">
        <v>949</v>
      </c>
      <c r="H358" s="2" t="s">
        <v>949</v>
      </c>
      <c r="I358" s="16">
        <v>9</v>
      </c>
      <c r="J358" s="2" t="s">
        <v>25</v>
      </c>
      <c r="L358"/>
      <c r="M358"/>
      <c r="N358"/>
    </row>
    <row r="359" spans="1:14" ht="14.5" hidden="1">
      <c r="A359" s="2" t="s">
        <v>790</v>
      </c>
      <c r="B359" s="2" t="s">
        <v>1152</v>
      </c>
      <c r="C359" s="2" t="s">
        <v>149</v>
      </c>
      <c r="D359" s="2" t="s">
        <v>29</v>
      </c>
      <c r="E359" s="2" t="s">
        <v>1153</v>
      </c>
      <c r="F359" s="2">
        <v>1</v>
      </c>
      <c r="G359" s="2" t="s">
        <v>949</v>
      </c>
      <c r="H359" s="2" t="s">
        <v>949</v>
      </c>
      <c r="I359" s="16">
        <v>9</v>
      </c>
      <c r="J359" s="2" t="s">
        <v>25</v>
      </c>
      <c r="L359"/>
      <c r="M359"/>
      <c r="N359"/>
    </row>
    <row r="360" spans="1:14" ht="14.5" hidden="1">
      <c r="A360" s="2" t="s">
        <v>1154</v>
      </c>
      <c r="B360" s="2" t="s">
        <v>1155</v>
      </c>
      <c r="C360" s="2" t="s">
        <v>149</v>
      </c>
      <c r="D360" s="2" t="s">
        <v>29</v>
      </c>
      <c r="E360" s="2" t="s">
        <v>25</v>
      </c>
      <c r="F360" s="2">
        <v>1</v>
      </c>
      <c r="G360" s="2" t="s">
        <v>949</v>
      </c>
      <c r="H360" s="2" t="s">
        <v>949</v>
      </c>
      <c r="I360" s="16">
        <v>9</v>
      </c>
      <c r="J360" s="2" t="s">
        <v>25</v>
      </c>
      <c r="L360"/>
      <c r="M360"/>
      <c r="N360"/>
    </row>
    <row r="361" spans="1:14" ht="14.5" hidden="1">
      <c r="A361" s="2" t="s">
        <v>299</v>
      </c>
      <c r="B361" s="2" t="s">
        <v>300</v>
      </c>
      <c r="C361" s="2" t="s">
        <v>34</v>
      </c>
      <c r="D361" s="2" t="s">
        <v>30</v>
      </c>
      <c r="E361" s="2" t="s">
        <v>25</v>
      </c>
      <c r="F361" s="2">
        <v>0.5</v>
      </c>
      <c r="G361" s="2" t="s">
        <v>949</v>
      </c>
      <c r="H361" s="2" t="s">
        <v>949</v>
      </c>
      <c r="I361" s="16">
        <v>9</v>
      </c>
      <c r="J361" s="2" t="s">
        <v>5</v>
      </c>
      <c r="L361"/>
      <c r="M361"/>
      <c r="N361"/>
    </row>
    <row r="362" spans="1:14" ht="14.5" hidden="1">
      <c r="A362" s="2" t="s">
        <v>136</v>
      </c>
      <c r="B362" s="2" t="s">
        <v>137</v>
      </c>
      <c r="C362" s="2" t="s">
        <v>298</v>
      </c>
      <c r="D362" s="2" t="s">
        <v>30</v>
      </c>
      <c r="E362" s="2" t="s">
        <v>1156</v>
      </c>
      <c r="F362" s="2">
        <v>1</v>
      </c>
      <c r="G362" s="2" t="s">
        <v>949</v>
      </c>
      <c r="H362" s="2" t="s">
        <v>949</v>
      </c>
      <c r="I362" s="16">
        <v>9</v>
      </c>
      <c r="J362" s="2" t="s">
        <v>25</v>
      </c>
      <c r="L362"/>
      <c r="M362"/>
      <c r="N362"/>
    </row>
    <row r="363" spans="1:14" ht="14.5" hidden="1">
      <c r="A363" s="2" t="s">
        <v>808</v>
      </c>
      <c r="B363" s="2" t="s">
        <v>1157</v>
      </c>
      <c r="C363" s="2"/>
      <c r="D363" s="2" t="s">
        <v>27</v>
      </c>
      <c r="E363" s="2" t="s">
        <v>1158</v>
      </c>
      <c r="F363" s="2">
        <v>1</v>
      </c>
      <c r="G363" s="2" t="s">
        <v>949</v>
      </c>
      <c r="H363" s="2" t="s">
        <v>949</v>
      </c>
      <c r="I363" s="16">
        <v>9</v>
      </c>
      <c r="J363" s="2" t="s">
        <v>25</v>
      </c>
      <c r="L363"/>
      <c r="M363"/>
      <c r="N363"/>
    </row>
    <row r="364" spans="1:14" ht="14.5" hidden="1">
      <c r="A364" s="2" t="s">
        <v>1159</v>
      </c>
      <c r="B364" s="2" t="s">
        <v>1160</v>
      </c>
      <c r="C364" s="2" t="s">
        <v>28</v>
      </c>
      <c r="D364" s="2" t="s">
        <v>27</v>
      </c>
      <c r="E364" s="2" t="s">
        <v>25</v>
      </c>
      <c r="F364" s="2">
        <v>1</v>
      </c>
      <c r="G364" s="2" t="s">
        <v>949</v>
      </c>
      <c r="H364" s="2" t="s">
        <v>949</v>
      </c>
      <c r="I364" s="16">
        <v>9</v>
      </c>
      <c r="J364" s="2" t="s">
        <v>25</v>
      </c>
      <c r="L364"/>
      <c r="M364"/>
      <c r="N364"/>
    </row>
    <row r="365" spans="1:14" ht="14.5" hidden="1">
      <c r="A365" s="2" t="s">
        <v>330</v>
      </c>
      <c r="B365" s="2" t="s">
        <v>331</v>
      </c>
      <c r="C365" s="2" t="s">
        <v>248</v>
      </c>
      <c r="D365" s="2" t="s">
        <v>36</v>
      </c>
      <c r="E365" s="2" t="s">
        <v>25</v>
      </c>
      <c r="F365" s="2">
        <v>0.5</v>
      </c>
      <c r="G365" s="2" t="s">
        <v>949</v>
      </c>
      <c r="H365" s="2" t="s">
        <v>949</v>
      </c>
      <c r="I365" s="16">
        <v>9</v>
      </c>
      <c r="J365" s="2" t="s">
        <v>5</v>
      </c>
      <c r="L365"/>
      <c r="M365"/>
      <c r="N365"/>
    </row>
    <row r="366" spans="1:14" ht="14.5" hidden="1">
      <c r="A366" s="2" t="s">
        <v>1161</v>
      </c>
      <c r="B366" s="2" t="s">
        <v>1162</v>
      </c>
      <c r="C366" s="2" t="s">
        <v>28</v>
      </c>
      <c r="D366" s="2" t="s">
        <v>30</v>
      </c>
      <c r="E366" s="2" t="s">
        <v>150</v>
      </c>
      <c r="F366" s="2">
        <v>3</v>
      </c>
      <c r="G366" s="2" t="s">
        <v>949</v>
      </c>
      <c r="H366" s="2" t="s">
        <v>1132</v>
      </c>
      <c r="I366" s="16">
        <v>9</v>
      </c>
      <c r="J366" s="2" t="s">
        <v>25</v>
      </c>
      <c r="L366"/>
      <c r="M366"/>
      <c r="N366"/>
    </row>
    <row r="367" spans="1:14" ht="14.5" hidden="1">
      <c r="A367" s="2" t="s">
        <v>1163</v>
      </c>
      <c r="B367" s="2" t="s">
        <v>1164</v>
      </c>
      <c r="C367" s="2" t="s">
        <v>28</v>
      </c>
      <c r="D367" s="2" t="s">
        <v>24</v>
      </c>
      <c r="E367" s="2" t="s">
        <v>1165</v>
      </c>
      <c r="F367" s="2">
        <v>1</v>
      </c>
      <c r="G367" s="2" t="s">
        <v>953</v>
      </c>
      <c r="H367" s="2" t="s">
        <v>953</v>
      </c>
      <c r="I367" s="16">
        <v>9</v>
      </c>
      <c r="J367" s="2" t="s">
        <v>25</v>
      </c>
      <c r="L367"/>
      <c r="M367"/>
      <c r="N367"/>
    </row>
    <row r="368" spans="1:14" ht="14.5" hidden="1">
      <c r="A368" s="2" t="s">
        <v>701</v>
      </c>
      <c r="B368" s="2" t="s">
        <v>581</v>
      </c>
      <c r="C368" s="2" t="s">
        <v>149</v>
      </c>
      <c r="D368" s="2" t="s">
        <v>30</v>
      </c>
      <c r="E368" s="2" t="s">
        <v>1166</v>
      </c>
      <c r="F368" s="2">
        <v>0.5</v>
      </c>
      <c r="G368" s="2" t="s">
        <v>953</v>
      </c>
      <c r="H368" s="2" t="s">
        <v>953</v>
      </c>
      <c r="I368" s="16">
        <v>9</v>
      </c>
      <c r="J368" s="2" t="s">
        <v>1</v>
      </c>
      <c r="L368"/>
      <c r="M368"/>
      <c r="N368"/>
    </row>
    <row r="369" spans="1:14" ht="14.5" hidden="1">
      <c r="A369" s="2" t="s">
        <v>631</v>
      </c>
      <c r="B369" s="2" t="s">
        <v>632</v>
      </c>
      <c r="C369" s="2" t="s">
        <v>39</v>
      </c>
      <c r="D369" s="2" t="s">
        <v>428</v>
      </c>
      <c r="E369" s="2" t="s">
        <v>25</v>
      </c>
      <c r="F369" s="2">
        <v>1</v>
      </c>
      <c r="G369" s="2" t="s">
        <v>953</v>
      </c>
      <c r="H369" s="2" t="s">
        <v>953</v>
      </c>
      <c r="I369" s="16">
        <v>9</v>
      </c>
      <c r="J369" s="2" t="s">
        <v>25</v>
      </c>
      <c r="L369"/>
      <c r="M369"/>
      <c r="N369"/>
    </row>
    <row r="370" spans="1:14" ht="14.5" hidden="1">
      <c r="A370" s="2" t="s">
        <v>1167</v>
      </c>
      <c r="B370" s="2" t="s">
        <v>1168</v>
      </c>
      <c r="C370" s="2" t="s">
        <v>147</v>
      </c>
      <c r="D370" s="2" t="s">
        <v>30</v>
      </c>
      <c r="E370" s="2" t="s">
        <v>25</v>
      </c>
      <c r="F370" s="2">
        <v>0.5</v>
      </c>
      <c r="G370" s="2" t="s">
        <v>953</v>
      </c>
      <c r="H370" s="2" t="s">
        <v>953</v>
      </c>
      <c r="I370" s="16">
        <v>9</v>
      </c>
      <c r="J370" s="2" t="s">
        <v>1</v>
      </c>
      <c r="L370"/>
      <c r="M370"/>
      <c r="N370"/>
    </row>
    <row r="371" spans="1:14" ht="14.5" hidden="1">
      <c r="A371" s="2" t="s">
        <v>1041</v>
      </c>
      <c r="B371" s="2" t="s">
        <v>977</v>
      </c>
      <c r="C371" s="2" t="s">
        <v>148</v>
      </c>
      <c r="D371" s="2" t="s">
        <v>713</v>
      </c>
      <c r="E371" s="2" t="s">
        <v>1042</v>
      </c>
      <c r="F371" s="2">
        <v>1</v>
      </c>
      <c r="G371" s="2" t="s">
        <v>953</v>
      </c>
      <c r="H371" s="2" t="s">
        <v>953</v>
      </c>
      <c r="I371" s="16">
        <v>9</v>
      </c>
      <c r="J371" s="2" t="s">
        <v>25</v>
      </c>
      <c r="L371"/>
      <c r="M371"/>
      <c r="N371"/>
    </row>
    <row r="372" spans="1:14" ht="14.5" hidden="1">
      <c r="A372" s="2" t="s">
        <v>455</v>
      </c>
      <c r="B372" s="2" t="s">
        <v>456</v>
      </c>
      <c r="C372" s="2" t="s">
        <v>149</v>
      </c>
      <c r="D372" s="2" t="s">
        <v>36</v>
      </c>
      <c r="E372" s="2" t="s">
        <v>25</v>
      </c>
      <c r="F372" s="2">
        <v>2</v>
      </c>
      <c r="G372" s="2" t="s">
        <v>953</v>
      </c>
      <c r="H372" s="2" t="s">
        <v>949</v>
      </c>
      <c r="I372" s="16">
        <v>9</v>
      </c>
      <c r="J372" s="2" t="s">
        <v>25</v>
      </c>
      <c r="L372"/>
      <c r="M372"/>
      <c r="N372"/>
    </row>
    <row r="373" spans="1:14" ht="14.5" hidden="1">
      <c r="A373" s="2" t="s">
        <v>453</v>
      </c>
      <c r="B373" s="2" t="s">
        <v>454</v>
      </c>
      <c r="C373" s="2" t="s">
        <v>149</v>
      </c>
      <c r="D373" s="2" t="s">
        <v>27</v>
      </c>
      <c r="E373" s="2" t="s">
        <v>25</v>
      </c>
      <c r="F373" s="2">
        <v>0.5</v>
      </c>
      <c r="G373" s="2" t="s">
        <v>953</v>
      </c>
      <c r="H373" s="2" t="s">
        <v>953</v>
      </c>
      <c r="I373" s="16">
        <v>9</v>
      </c>
      <c r="J373" s="2" t="s">
        <v>5</v>
      </c>
      <c r="L373"/>
      <c r="M373"/>
      <c r="N373"/>
    </row>
    <row r="374" spans="1:14" ht="14.5" hidden="1">
      <c r="A374" s="2" t="s">
        <v>31</v>
      </c>
      <c r="B374" s="2" t="s">
        <v>32</v>
      </c>
      <c r="C374" s="2" t="s">
        <v>33</v>
      </c>
      <c r="D374" s="2" t="s">
        <v>30</v>
      </c>
      <c r="E374" s="2" t="s">
        <v>25</v>
      </c>
      <c r="F374" s="2">
        <v>1</v>
      </c>
      <c r="G374" s="2" t="s">
        <v>953</v>
      </c>
      <c r="H374" s="2" t="s">
        <v>953</v>
      </c>
      <c r="I374" s="16">
        <v>9</v>
      </c>
      <c r="J374" s="2" t="s">
        <v>25</v>
      </c>
      <c r="L374"/>
      <c r="M374"/>
      <c r="N374"/>
    </row>
    <row r="375" spans="1:14" ht="14.5" hidden="1">
      <c r="A375" s="2" t="s">
        <v>429</v>
      </c>
      <c r="B375" s="2" t="s">
        <v>430</v>
      </c>
      <c r="C375" s="2" t="s">
        <v>431</v>
      </c>
      <c r="D375" s="2" t="s">
        <v>29</v>
      </c>
      <c r="E375" s="2" t="s">
        <v>1079</v>
      </c>
      <c r="F375" s="2">
        <v>1</v>
      </c>
      <c r="G375" s="2" t="s">
        <v>953</v>
      </c>
      <c r="H375" s="2" t="s">
        <v>953</v>
      </c>
      <c r="I375" s="16">
        <v>9</v>
      </c>
      <c r="J375" s="2" t="s">
        <v>25</v>
      </c>
      <c r="L375"/>
      <c r="M375"/>
      <c r="N375"/>
    </row>
    <row r="376" spans="1:14" ht="14.5" hidden="1">
      <c r="A376" s="2" t="s">
        <v>614</v>
      </c>
      <c r="B376" s="2" t="s">
        <v>583</v>
      </c>
      <c r="C376" s="2" t="s">
        <v>149</v>
      </c>
      <c r="D376" s="2" t="s">
        <v>36</v>
      </c>
      <c r="E376" s="2" t="s">
        <v>25</v>
      </c>
      <c r="F376" s="2">
        <v>1</v>
      </c>
      <c r="G376" s="2" t="s">
        <v>953</v>
      </c>
      <c r="H376" s="2" t="s">
        <v>953</v>
      </c>
      <c r="I376" s="16">
        <v>9</v>
      </c>
      <c r="J376" s="2" t="s">
        <v>25</v>
      </c>
      <c r="L376"/>
      <c r="M376"/>
      <c r="N376"/>
    </row>
    <row r="377" spans="1:14" ht="14.5">
      <c r="A377" s="2" t="s">
        <v>1169</v>
      </c>
      <c r="B377" s="2" t="s">
        <v>1170</v>
      </c>
      <c r="C377" s="2" t="s">
        <v>389</v>
      </c>
      <c r="D377" s="2" t="s">
        <v>36</v>
      </c>
      <c r="E377" s="2" t="s">
        <v>25</v>
      </c>
      <c r="F377" s="2">
        <v>1</v>
      </c>
      <c r="G377" s="2" t="s">
        <v>953</v>
      </c>
      <c r="H377" s="2" t="s">
        <v>953</v>
      </c>
      <c r="I377" s="16">
        <v>9</v>
      </c>
      <c r="J377" s="2" t="s">
        <v>25</v>
      </c>
      <c r="L377"/>
      <c r="M377"/>
      <c r="N377"/>
    </row>
    <row r="378" spans="1:14" ht="14.5">
      <c r="A378" s="2" t="s">
        <v>1169</v>
      </c>
      <c r="B378" s="2" t="s">
        <v>1170</v>
      </c>
      <c r="C378" s="2" t="s">
        <v>389</v>
      </c>
      <c r="D378" s="2" t="s">
        <v>27</v>
      </c>
      <c r="E378" s="2" t="s">
        <v>1171</v>
      </c>
      <c r="F378" s="2">
        <v>1</v>
      </c>
      <c r="G378" s="2" t="s">
        <v>881</v>
      </c>
      <c r="H378" s="2" t="s">
        <v>881</v>
      </c>
      <c r="I378" s="16">
        <v>9</v>
      </c>
      <c r="J378" s="2" t="s">
        <v>25</v>
      </c>
      <c r="L378"/>
      <c r="M378"/>
      <c r="N378"/>
    </row>
    <row r="379" spans="1:14" ht="14.5" hidden="1">
      <c r="A379" s="2" t="s">
        <v>330</v>
      </c>
      <c r="B379" s="2" t="s">
        <v>331</v>
      </c>
      <c r="C379" s="2" t="s">
        <v>248</v>
      </c>
      <c r="D379" s="2" t="s">
        <v>30</v>
      </c>
      <c r="E379" s="2" t="s">
        <v>1172</v>
      </c>
      <c r="F379" s="2">
        <v>1</v>
      </c>
      <c r="G379" s="2" t="s">
        <v>881</v>
      </c>
      <c r="H379" s="2" t="s">
        <v>881</v>
      </c>
      <c r="I379" s="16">
        <v>9</v>
      </c>
      <c r="J379" s="2" t="s">
        <v>25</v>
      </c>
      <c r="L379"/>
      <c r="M379"/>
      <c r="N379"/>
    </row>
    <row r="380" spans="1:14" ht="14.5" hidden="1">
      <c r="A380" s="2" t="s">
        <v>1077</v>
      </c>
      <c r="B380" s="2" t="s">
        <v>1078</v>
      </c>
      <c r="C380" s="2"/>
      <c r="D380" s="2" t="s">
        <v>30</v>
      </c>
      <c r="E380" s="2" t="s">
        <v>25</v>
      </c>
      <c r="F380" s="2">
        <v>6</v>
      </c>
      <c r="G380" s="2" t="s">
        <v>881</v>
      </c>
      <c r="H380" s="2" t="s">
        <v>1127</v>
      </c>
      <c r="I380" s="16">
        <v>9</v>
      </c>
      <c r="J380" s="2" t="s">
        <v>25</v>
      </c>
      <c r="L380"/>
      <c r="M380"/>
      <c r="N380"/>
    </row>
    <row r="381" spans="1:14" ht="14.5" hidden="1">
      <c r="A381" s="2" t="s">
        <v>452</v>
      </c>
      <c r="B381" s="2" t="s">
        <v>636</v>
      </c>
      <c r="C381" s="2"/>
      <c r="D381" s="2" t="s">
        <v>36</v>
      </c>
      <c r="E381" s="2" t="s">
        <v>25</v>
      </c>
      <c r="F381" s="2">
        <v>5</v>
      </c>
      <c r="G381" s="2" t="s">
        <v>881</v>
      </c>
      <c r="H381" s="2" t="s">
        <v>1132</v>
      </c>
      <c r="I381" s="16">
        <v>9</v>
      </c>
      <c r="J381" s="2" t="s">
        <v>25</v>
      </c>
      <c r="L381"/>
      <c r="M381"/>
      <c r="N381"/>
    </row>
    <row r="382" spans="1:14" ht="14.5" hidden="1">
      <c r="A382" s="2" t="s">
        <v>729</v>
      </c>
      <c r="B382" s="2" t="s">
        <v>730</v>
      </c>
      <c r="C382" s="2" t="s">
        <v>26</v>
      </c>
      <c r="D382" s="2" t="s">
        <v>428</v>
      </c>
      <c r="E382" s="2" t="s">
        <v>25</v>
      </c>
      <c r="F382" s="2">
        <v>3</v>
      </c>
      <c r="G382" s="2" t="s">
        <v>881</v>
      </c>
      <c r="H382" s="2" t="s">
        <v>949</v>
      </c>
      <c r="I382" s="16">
        <v>9</v>
      </c>
      <c r="J382" s="2" t="s">
        <v>25</v>
      </c>
      <c r="L382"/>
      <c r="M382"/>
      <c r="N382"/>
    </row>
    <row r="383" spans="1:14" ht="14.5" hidden="1">
      <c r="A383" s="2" t="s">
        <v>631</v>
      </c>
      <c r="B383" s="2" t="s">
        <v>632</v>
      </c>
      <c r="C383" s="2" t="s">
        <v>39</v>
      </c>
      <c r="D383" s="2" t="s">
        <v>30</v>
      </c>
      <c r="E383" s="2" t="s">
        <v>25</v>
      </c>
      <c r="F383" s="2">
        <v>0.5</v>
      </c>
      <c r="G383" s="2" t="s">
        <v>881</v>
      </c>
      <c r="H383" s="2" t="s">
        <v>881</v>
      </c>
      <c r="I383" s="16">
        <v>9</v>
      </c>
      <c r="J383" s="2" t="s">
        <v>1</v>
      </c>
      <c r="L383"/>
      <c r="M383"/>
      <c r="N383"/>
    </row>
    <row r="384" spans="1:14" ht="14.5" hidden="1">
      <c r="A384" s="2" t="s">
        <v>455</v>
      </c>
      <c r="B384" s="2" t="s">
        <v>456</v>
      </c>
      <c r="C384" s="2" t="s">
        <v>149</v>
      </c>
      <c r="D384" s="2" t="s">
        <v>27</v>
      </c>
      <c r="E384" s="2" t="s">
        <v>1173</v>
      </c>
      <c r="F384" s="2">
        <v>0.5</v>
      </c>
      <c r="G384" s="2" t="s">
        <v>881</v>
      </c>
      <c r="H384" s="2" t="s">
        <v>881</v>
      </c>
      <c r="I384" s="16">
        <v>9</v>
      </c>
      <c r="J384" s="2" t="s">
        <v>1</v>
      </c>
      <c r="L384"/>
      <c r="M384"/>
      <c r="N384"/>
    </row>
    <row r="385" spans="1:14" ht="14.5" hidden="1">
      <c r="A385" s="2" t="s">
        <v>1174</v>
      </c>
      <c r="B385" s="2" t="s">
        <v>1175</v>
      </c>
      <c r="C385" s="2" t="s">
        <v>28</v>
      </c>
      <c r="D385" s="2" t="s">
        <v>30</v>
      </c>
      <c r="E385" s="2" t="s">
        <v>25</v>
      </c>
      <c r="F385" s="2">
        <v>0.5</v>
      </c>
      <c r="G385" s="2" t="s">
        <v>881</v>
      </c>
      <c r="H385" s="2" t="s">
        <v>881</v>
      </c>
      <c r="I385" s="16">
        <v>9</v>
      </c>
      <c r="J385" s="2" t="s">
        <v>5</v>
      </c>
      <c r="L385"/>
      <c r="M385"/>
      <c r="N385"/>
    </row>
    <row r="386" spans="1:14" ht="14.5" hidden="1">
      <c r="A386" s="2" t="s">
        <v>307</v>
      </c>
      <c r="B386" s="2" t="s">
        <v>308</v>
      </c>
      <c r="C386" s="2" t="s">
        <v>33</v>
      </c>
      <c r="D386" s="2" t="s">
        <v>30</v>
      </c>
      <c r="E386" s="2" t="s">
        <v>25</v>
      </c>
      <c r="F386" s="2">
        <v>0.5</v>
      </c>
      <c r="G386" s="2" t="s">
        <v>881</v>
      </c>
      <c r="H386" s="2" t="s">
        <v>881</v>
      </c>
      <c r="I386" s="16">
        <v>9</v>
      </c>
      <c r="J386" s="2" t="s">
        <v>1</v>
      </c>
      <c r="L386"/>
      <c r="M386"/>
      <c r="N386"/>
    </row>
    <row r="387" spans="1:14" ht="14.5" hidden="1">
      <c r="A387" s="2" t="s">
        <v>1041</v>
      </c>
      <c r="B387" s="2" t="s">
        <v>977</v>
      </c>
      <c r="C387" s="2" t="s">
        <v>148</v>
      </c>
      <c r="D387" s="2" t="s">
        <v>713</v>
      </c>
      <c r="E387" s="2" t="s">
        <v>1042</v>
      </c>
      <c r="F387" s="2">
        <v>1</v>
      </c>
      <c r="G387" s="2" t="s">
        <v>881</v>
      </c>
      <c r="H387" s="2" t="s">
        <v>881</v>
      </c>
      <c r="I387" s="16">
        <v>9</v>
      </c>
      <c r="J387" s="2" t="s">
        <v>25</v>
      </c>
      <c r="L387"/>
      <c r="M387"/>
      <c r="N387"/>
    </row>
    <row r="388" spans="1:14" ht="14.5">
      <c r="A388" s="2" t="s">
        <v>610</v>
      </c>
      <c r="B388" s="2" t="s">
        <v>397</v>
      </c>
      <c r="C388" s="2" t="s">
        <v>247</v>
      </c>
      <c r="D388" s="2" t="s">
        <v>27</v>
      </c>
      <c r="E388" s="2" t="s">
        <v>1176</v>
      </c>
      <c r="F388" s="2">
        <v>0.5</v>
      </c>
      <c r="G388" s="2" t="s">
        <v>881</v>
      </c>
      <c r="H388" s="2" t="s">
        <v>881</v>
      </c>
      <c r="I388" s="16">
        <v>9</v>
      </c>
      <c r="J388" s="2" t="s">
        <v>5</v>
      </c>
      <c r="L388"/>
      <c r="M388"/>
      <c r="N388"/>
    </row>
    <row r="389" spans="1:14" ht="14.5" hidden="1">
      <c r="A389" s="2" t="s">
        <v>647</v>
      </c>
      <c r="B389" s="2" t="s">
        <v>458</v>
      </c>
      <c r="C389" s="2" t="s">
        <v>148</v>
      </c>
      <c r="D389" s="2" t="s">
        <v>306</v>
      </c>
      <c r="E389" s="2" t="s">
        <v>150</v>
      </c>
      <c r="F389" s="2">
        <v>6</v>
      </c>
      <c r="G389" s="2" t="s">
        <v>881</v>
      </c>
      <c r="H389" s="2" t="s">
        <v>1177</v>
      </c>
      <c r="I389" s="16">
        <v>9</v>
      </c>
      <c r="J389" s="2" t="s">
        <v>25</v>
      </c>
      <c r="L389"/>
      <c r="M389"/>
      <c r="N389"/>
    </row>
    <row r="390" spans="1:14" ht="14.5" hidden="1">
      <c r="A390" s="2" t="s">
        <v>845</v>
      </c>
      <c r="B390" s="2" t="s">
        <v>1178</v>
      </c>
      <c r="C390" s="2"/>
      <c r="D390" s="2" t="s">
        <v>24</v>
      </c>
      <c r="E390" s="2" t="s">
        <v>25</v>
      </c>
      <c r="F390" s="2">
        <v>1</v>
      </c>
      <c r="G390" s="2" t="s">
        <v>881</v>
      </c>
      <c r="H390" s="2" t="s">
        <v>881</v>
      </c>
      <c r="I390" s="16">
        <v>9</v>
      </c>
      <c r="J390" s="2" t="s">
        <v>25</v>
      </c>
      <c r="L390"/>
      <c r="M390"/>
      <c r="N390"/>
    </row>
    <row r="391" spans="1:14" ht="14.5" hidden="1">
      <c r="A391" s="2" t="s">
        <v>1179</v>
      </c>
      <c r="B391" s="2" t="s">
        <v>564</v>
      </c>
      <c r="C391" s="2" t="s">
        <v>28</v>
      </c>
      <c r="D391" s="2" t="s">
        <v>428</v>
      </c>
      <c r="E391" s="2" t="s">
        <v>150</v>
      </c>
      <c r="F391" s="2">
        <v>5</v>
      </c>
      <c r="G391" s="2" t="s">
        <v>881</v>
      </c>
      <c r="H391" s="2" t="s">
        <v>1132</v>
      </c>
      <c r="I391" s="16">
        <v>9</v>
      </c>
      <c r="J391" s="2" t="s">
        <v>25</v>
      </c>
      <c r="L391"/>
      <c r="M391"/>
      <c r="N391"/>
    </row>
    <row r="392" spans="1:14" ht="14.5" hidden="1">
      <c r="A392" s="2" t="s">
        <v>1161</v>
      </c>
      <c r="B392" s="2" t="s">
        <v>1162</v>
      </c>
      <c r="C392" s="2" t="s">
        <v>28</v>
      </c>
      <c r="D392" s="2" t="s">
        <v>30</v>
      </c>
      <c r="E392" s="2" t="s">
        <v>150</v>
      </c>
      <c r="F392" s="2">
        <v>1</v>
      </c>
      <c r="G392" s="2" t="s">
        <v>881</v>
      </c>
      <c r="H392" s="2" t="s">
        <v>881</v>
      </c>
      <c r="I392" s="16">
        <v>9</v>
      </c>
      <c r="J392" s="2" t="s">
        <v>25</v>
      </c>
      <c r="L392"/>
      <c r="M392"/>
      <c r="N392"/>
    </row>
    <row r="393" spans="1:14" ht="14.5" hidden="1">
      <c r="A393" s="2" t="s">
        <v>1163</v>
      </c>
      <c r="B393" s="2" t="s">
        <v>1164</v>
      </c>
      <c r="C393" s="2" t="s">
        <v>28</v>
      </c>
      <c r="D393" s="2" t="s">
        <v>30</v>
      </c>
      <c r="E393" s="2" t="s">
        <v>150</v>
      </c>
      <c r="F393" s="2">
        <v>1</v>
      </c>
      <c r="G393" s="2" t="s">
        <v>881</v>
      </c>
      <c r="H393" s="2" t="s">
        <v>881</v>
      </c>
      <c r="I393" s="16">
        <v>9</v>
      </c>
      <c r="J393" s="2" t="s">
        <v>25</v>
      </c>
      <c r="L393"/>
      <c r="M393"/>
      <c r="N393"/>
    </row>
    <row r="394" spans="1:14" ht="14.5">
      <c r="A394" s="2" t="s">
        <v>327</v>
      </c>
      <c r="B394" s="2" t="s">
        <v>317</v>
      </c>
      <c r="C394" s="2" t="s">
        <v>247</v>
      </c>
      <c r="D394" s="2" t="s">
        <v>29</v>
      </c>
      <c r="E394" s="2" t="s">
        <v>1180</v>
      </c>
      <c r="F394" s="2">
        <v>1</v>
      </c>
      <c r="G394" s="2" t="s">
        <v>1181</v>
      </c>
      <c r="H394" s="2" t="s">
        <v>1181</v>
      </c>
      <c r="I394" s="16">
        <v>9</v>
      </c>
      <c r="J394" s="2" t="s">
        <v>25</v>
      </c>
      <c r="L394"/>
      <c r="M394"/>
      <c r="N394"/>
    </row>
    <row r="395" spans="1:14" ht="14.5" hidden="1">
      <c r="A395" s="2" t="s">
        <v>1182</v>
      </c>
      <c r="B395" s="2" t="s">
        <v>1183</v>
      </c>
      <c r="C395" s="2" t="s">
        <v>28</v>
      </c>
      <c r="D395" s="2" t="s">
        <v>27</v>
      </c>
      <c r="E395" s="2" t="s">
        <v>25</v>
      </c>
      <c r="F395" s="2">
        <v>0.5</v>
      </c>
      <c r="G395" s="2" t="s">
        <v>1184</v>
      </c>
      <c r="H395" s="2" t="s">
        <v>1184</v>
      </c>
      <c r="I395" s="16">
        <v>9</v>
      </c>
      <c r="J395" s="2" t="s">
        <v>5</v>
      </c>
      <c r="L395"/>
      <c r="M395"/>
      <c r="N395"/>
    </row>
    <row r="396" spans="1:14" ht="14.5" hidden="1">
      <c r="A396" s="2" t="s">
        <v>1185</v>
      </c>
      <c r="B396" s="2" t="s">
        <v>1186</v>
      </c>
      <c r="C396" s="2" t="s">
        <v>28</v>
      </c>
      <c r="D396" s="2" t="s">
        <v>27</v>
      </c>
      <c r="E396" s="2" t="s">
        <v>25</v>
      </c>
      <c r="F396" s="2">
        <v>0.5</v>
      </c>
      <c r="G396" s="2" t="s">
        <v>1184</v>
      </c>
      <c r="H396" s="2" t="s">
        <v>1184</v>
      </c>
      <c r="I396" s="16">
        <v>9</v>
      </c>
      <c r="J396" s="2" t="s">
        <v>5</v>
      </c>
      <c r="L396"/>
      <c r="M396"/>
      <c r="N396"/>
    </row>
    <row r="397" spans="1:14" ht="14.5" hidden="1">
      <c r="A397" s="2" t="s">
        <v>40</v>
      </c>
      <c r="B397" s="2" t="s">
        <v>41</v>
      </c>
      <c r="C397" s="2" t="s">
        <v>42</v>
      </c>
      <c r="D397" s="2" t="s">
        <v>29</v>
      </c>
      <c r="E397" s="2" t="s">
        <v>1187</v>
      </c>
      <c r="F397" s="2">
        <v>1</v>
      </c>
      <c r="G397" s="2" t="s">
        <v>960</v>
      </c>
      <c r="H397" s="2" t="s">
        <v>960</v>
      </c>
      <c r="I397" s="16">
        <v>9</v>
      </c>
      <c r="J397" s="2" t="s">
        <v>25</v>
      </c>
      <c r="L397"/>
      <c r="M397"/>
      <c r="N397"/>
    </row>
    <row r="398" spans="1:14" ht="14.5" hidden="1">
      <c r="A398" s="2" t="s">
        <v>452</v>
      </c>
      <c r="B398" s="2" t="s">
        <v>636</v>
      </c>
      <c r="C398" s="2"/>
      <c r="D398" s="2" t="s">
        <v>36</v>
      </c>
      <c r="E398" s="2" t="s">
        <v>25</v>
      </c>
      <c r="F398" s="2">
        <v>1</v>
      </c>
      <c r="G398" s="2" t="s">
        <v>960</v>
      </c>
      <c r="H398" s="2" t="s">
        <v>960</v>
      </c>
      <c r="I398" s="16">
        <v>9</v>
      </c>
      <c r="J398" s="2" t="s">
        <v>25</v>
      </c>
      <c r="L398"/>
      <c r="M398"/>
      <c r="N398"/>
    </row>
    <row r="399" spans="1:14" ht="14.5">
      <c r="A399" s="2" t="s">
        <v>836</v>
      </c>
      <c r="B399" s="2" t="s">
        <v>559</v>
      </c>
      <c r="C399" s="2" t="s">
        <v>1188</v>
      </c>
      <c r="D399" s="2" t="s">
        <v>24</v>
      </c>
      <c r="E399" s="2" t="s">
        <v>1189</v>
      </c>
      <c r="F399" s="2">
        <v>0.5</v>
      </c>
      <c r="G399" s="2" t="s">
        <v>960</v>
      </c>
      <c r="H399" s="2" t="s">
        <v>960</v>
      </c>
      <c r="I399" s="16">
        <v>9</v>
      </c>
      <c r="J399" s="2" t="s">
        <v>1</v>
      </c>
      <c r="L399"/>
      <c r="M399"/>
      <c r="N399"/>
    </row>
    <row r="400" spans="1:14" ht="14.5" hidden="1">
      <c r="A400" s="2" t="s">
        <v>301</v>
      </c>
      <c r="B400" s="2" t="s">
        <v>302</v>
      </c>
      <c r="C400" s="2" t="s">
        <v>149</v>
      </c>
      <c r="D400" s="2" t="s">
        <v>30</v>
      </c>
      <c r="E400" s="2" t="s">
        <v>25</v>
      </c>
      <c r="F400" s="2">
        <v>0.5</v>
      </c>
      <c r="G400" s="2" t="s">
        <v>960</v>
      </c>
      <c r="H400" s="2" t="s">
        <v>960</v>
      </c>
      <c r="I400" s="16">
        <v>9</v>
      </c>
      <c r="J400" s="2" t="s">
        <v>1</v>
      </c>
      <c r="L400"/>
      <c r="M400"/>
      <c r="N400"/>
    </row>
    <row r="401" spans="1:14" ht="14.5" hidden="1">
      <c r="A401" s="2" t="s">
        <v>1190</v>
      </c>
      <c r="B401" s="2" t="s">
        <v>1191</v>
      </c>
      <c r="C401" s="2"/>
      <c r="D401" s="2" t="s">
        <v>30</v>
      </c>
      <c r="E401" s="2" t="s">
        <v>25</v>
      </c>
      <c r="F401" s="2">
        <v>0.5</v>
      </c>
      <c r="G401" s="2" t="s">
        <v>960</v>
      </c>
      <c r="H401" s="2" t="s">
        <v>960</v>
      </c>
      <c r="I401" s="16">
        <v>9</v>
      </c>
      <c r="J401" s="2" t="s">
        <v>5</v>
      </c>
      <c r="L401"/>
      <c r="M401"/>
      <c r="N401"/>
    </row>
    <row r="402" spans="1:14" ht="14.5" hidden="1">
      <c r="A402" s="2" t="s">
        <v>328</v>
      </c>
      <c r="B402" s="2" t="s">
        <v>329</v>
      </c>
      <c r="C402" s="2" t="s">
        <v>149</v>
      </c>
      <c r="D402" s="2" t="s">
        <v>29</v>
      </c>
      <c r="E402" s="2" t="s">
        <v>1192</v>
      </c>
      <c r="F402" s="2">
        <v>0.5</v>
      </c>
      <c r="G402" s="2" t="s">
        <v>960</v>
      </c>
      <c r="H402" s="2" t="s">
        <v>960</v>
      </c>
      <c r="I402" s="16">
        <v>9</v>
      </c>
      <c r="J402" s="2" t="s">
        <v>5</v>
      </c>
      <c r="L402"/>
      <c r="M402"/>
      <c r="N402"/>
    </row>
    <row r="403" spans="1:14" ht="14.5" hidden="1">
      <c r="A403" s="2" t="s">
        <v>299</v>
      </c>
      <c r="B403" s="2" t="s">
        <v>300</v>
      </c>
      <c r="C403" s="2" t="s">
        <v>34</v>
      </c>
      <c r="D403" s="2" t="s">
        <v>30</v>
      </c>
      <c r="E403" s="2" t="s">
        <v>25</v>
      </c>
      <c r="F403" s="2">
        <v>0.5</v>
      </c>
      <c r="G403" s="2" t="s">
        <v>960</v>
      </c>
      <c r="H403" s="2" t="s">
        <v>960</v>
      </c>
      <c r="I403" s="16">
        <v>9</v>
      </c>
      <c r="J403" s="2" t="s">
        <v>5</v>
      </c>
      <c r="L403"/>
      <c r="M403"/>
      <c r="N403"/>
    </row>
    <row r="404" spans="1:14" ht="14.5" hidden="1">
      <c r="A404" s="2" t="s">
        <v>1137</v>
      </c>
      <c r="B404" s="2" t="s">
        <v>1138</v>
      </c>
      <c r="C404" s="2" t="s">
        <v>34</v>
      </c>
      <c r="D404" s="2" t="s">
        <v>30</v>
      </c>
      <c r="E404" s="2" t="s">
        <v>25</v>
      </c>
      <c r="F404" s="2">
        <v>0.5</v>
      </c>
      <c r="G404" s="2" t="s">
        <v>960</v>
      </c>
      <c r="H404" s="2" t="s">
        <v>960</v>
      </c>
      <c r="I404" s="16">
        <v>9</v>
      </c>
      <c r="J404" s="2" t="s">
        <v>1</v>
      </c>
      <c r="L404"/>
      <c r="M404"/>
      <c r="N404"/>
    </row>
    <row r="405" spans="1:14" ht="14.5" hidden="1">
      <c r="A405" s="2" t="s">
        <v>392</v>
      </c>
      <c r="B405" s="2" t="s">
        <v>393</v>
      </c>
      <c r="C405" s="2" t="s">
        <v>147</v>
      </c>
      <c r="D405" s="2" t="s">
        <v>29</v>
      </c>
      <c r="E405" s="2" t="s">
        <v>25</v>
      </c>
      <c r="F405" s="2">
        <v>0.5</v>
      </c>
      <c r="G405" s="2" t="s">
        <v>960</v>
      </c>
      <c r="H405" s="2" t="s">
        <v>960</v>
      </c>
      <c r="I405" s="16">
        <v>9</v>
      </c>
      <c r="J405" s="2" t="s">
        <v>5</v>
      </c>
      <c r="L405"/>
      <c r="M405"/>
      <c r="N405"/>
    </row>
    <row r="406" spans="1:14" ht="14.5" hidden="1">
      <c r="A406" s="2" t="s">
        <v>721</v>
      </c>
      <c r="B406" s="2" t="s">
        <v>722</v>
      </c>
      <c r="C406" s="2" t="s">
        <v>135</v>
      </c>
      <c r="D406" s="2" t="s">
        <v>30</v>
      </c>
      <c r="E406" s="2" t="s">
        <v>1193</v>
      </c>
      <c r="F406" s="2">
        <v>0.5</v>
      </c>
      <c r="G406" s="2" t="s">
        <v>960</v>
      </c>
      <c r="H406" s="2" t="s">
        <v>960</v>
      </c>
      <c r="I406" s="16">
        <v>9</v>
      </c>
      <c r="J406" s="2" t="s">
        <v>1</v>
      </c>
      <c r="L406"/>
      <c r="M406"/>
      <c r="N406"/>
    </row>
    <row r="407" spans="1:14" ht="14.5">
      <c r="A407" s="2" t="s">
        <v>639</v>
      </c>
      <c r="B407" s="2" t="s">
        <v>640</v>
      </c>
      <c r="C407" s="2" t="s">
        <v>249</v>
      </c>
      <c r="D407" s="2" t="s">
        <v>27</v>
      </c>
      <c r="E407" s="2" t="s">
        <v>1194</v>
      </c>
      <c r="F407" s="2">
        <v>0.5</v>
      </c>
      <c r="G407" s="2" t="s">
        <v>960</v>
      </c>
      <c r="H407" s="2" t="s">
        <v>960</v>
      </c>
      <c r="I407" s="16">
        <v>9</v>
      </c>
      <c r="J407" s="2" t="s">
        <v>5</v>
      </c>
      <c r="L407"/>
      <c r="M407"/>
      <c r="N407"/>
    </row>
    <row r="408" spans="1:14" ht="14.5" hidden="1">
      <c r="A408" s="2" t="s">
        <v>1195</v>
      </c>
      <c r="B408" s="2" t="s">
        <v>1196</v>
      </c>
      <c r="C408" s="2" t="s">
        <v>26</v>
      </c>
      <c r="D408" s="2" t="s">
        <v>27</v>
      </c>
      <c r="E408" s="2" t="s">
        <v>25</v>
      </c>
      <c r="F408" s="2">
        <v>1</v>
      </c>
      <c r="G408" s="2" t="s">
        <v>960</v>
      </c>
      <c r="H408" s="2" t="s">
        <v>960</v>
      </c>
      <c r="I408" s="16">
        <v>9</v>
      </c>
      <c r="J408" s="2" t="s">
        <v>25</v>
      </c>
      <c r="L408"/>
      <c r="M408"/>
      <c r="N408"/>
    </row>
    <row r="409" spans="1:14" ht="14.5" hidden="1">
      <c r="A409" s="2" t="s">
        <v>631</v>
      </c>
      <c r="B409" s="2" t="s">
        <v>632</v>
      </c>
      <c r="C409" s="2" t="s">
        <v>39</v>
      </c>
      <c r="D409" s="2" t="s">
        <v>30</v>
      </c>
      <c r="E409" s="2" t="s">
        <v>25</v>
      </c>
      <c r="F409" s="2">
        <v>0.5</v>
      </c>
      <c r="G409" s="2" t="s">
        <v>965</v>
      </c>
      <c r="H409" s="2" t="s">
        <v>965</v>
      </c>
      <c r="I409" s="16">
        <v>9</v>
      </c>
      <c r="J409" s="2" t="s">
        <v>5</v>
      </c>
      <c r="L409"/>
      <c r="M409"/>
      <c r="N409"/>
    </row>
    <row r="410" spans="1:14" ht="14.5" hidden="1">
      <c r="A410" s="2" t="s">
        <v>459</v>
      </c>
      <c r="B410" s="2" t="s">
        <v>460</v>
      </c>
      <c r="C410" s="2" t="s">
        <v>39</v>
      </c>
      <c r="D410" s="2" t="s">
        <v>30</v>
      </c>
      <c r="E410" s="2" t="s">
        <v>30</v>
      </c>
      <c r="F410" s="2">
        <v>0.5</v>
      </c>
      <c r="G410" s="2" t="s">
        <v>965</v>
      </c>
      <c r="H410" s="2" t="s">
        <v>965</v>
      </c>
      <c r="I410" s="16">
        <v>9</v>
      </c>
      <c r="J410" s="2" t="s">
        <v>1</v>
      </c>
      <c r="L410"/>
      <c r="M410"/>
      <c r="N410"/>
    </row>
    <row r="411" spans="1:14" ht="14.5" hidden="1">
      <c r="A411" s="2" t="s">
        <v>1190</v>
      </c>
      <c r="B411" s="2" t="s">
        <v>1191</v>
      </c>
      <c r="C411" s="2"/>
      <c r="D411" s="2" t="s">
        <v>30</v>
      </c>
      <c r="E411" s="2" t="s">
        <v>25</v>
      </c>
      <c r="F411" s="2">
        <v>1</v>
      </c>
      <c r="G411" s="2" t="s">
        <v>965</v>
      </c>
      <c r="H411" s="2" t="s">
        <v>965</v>
      </c>
      <c r="I411" s="16">
        <v>9</v>
      </c>
      <c r="J411" s="2" t="s">
        <v>25</v>
      </c>
      <c r="L411"/>
      <c r="M411"/>
      <c r="N411"/>
    </row>
    <row r="412" spans="1:14" ht="14.5" hidden="1">
      <c r="A412" s="2" t="s">
        <v>647</v>
      </c>
      <c r="B412" s="2" t="s">
        <v>458</v>
      </c>
      <c r="C412" s="2" t="s">
        <v>148</v>
      </c>
      <c r="D412" s="2" t="s">
        <v>713</v>
      </c>
      <c r="E412" s="2" t="s">
        <v>1197</v>
      </c>
      <c r="F412" s="2">
        <v>2</v>
      </c>
      <c r="G412" s="2" t="s">
        <v>965</v>
      </c>
      <c r="H412" s="2" t="s">
        <v>960</v>
      </c>
      <c r="I412" s="16">
        <v>9</v>
      </c>
      <c r="J412" s="2" t="s">
        <v>25</v>
      </c>
      <c r="L412"/>
      <c r="M412"/>
      <c r="N412"/>
    </row>
    <row r="413" spans="1:14" ht="14.5" hidden="1">
      <c r="A413" s="2" t="s">
        <v>264</v>
      </c>
      <c r="B413" s="2" t="s">
        <v>265</v>
      </c>
      <c r="C413" s="2" t="s">
        <v>34</v>
      </c>
      <c r="D413" s="2" t="s">
        <v>27</v>
      </c>
      <c r="E413" s="2" t="s">
        <v>25</v>
      </c>
      <c r="F413" s="2">
        <v>0.5</v>
      </c>
      <c r="G413" s="2" t="s">
        <v>965</v>
      </c>
      <c r="H413" s="2" t="s">
        <v>965</v>
      </c>
      <c r="I413" s="16">
        <v>9</v>
      </c>
      <c r="J413" s="2" t="s">
        <v>5</v>
      </c>
      <c r="L413"/>
      <c r="M413"/>
      <c r="N413"/>
    </row>
    <row r="414" spans="1:14" ht="14.5" hidden="1">
      <c r="A414" s="2" t="s">
        <v>1198</v>
      </c>
      <c r="B414" s="2" t="s">
        <v>1199</v>
      </c>
      <c r="C414" s="2" t="s">
        <v>147</v>
      </c>
      <c r="D414" s="2" t="s">
        <v>30</v>
      </c>
      <c r="E414" s="2" t="s">
        <v>25</v>
      </c>
      <c r="F414" s="2">
        <v>1</v>
      </c>
      <c r="G414" s="2" t="s">
        <v>965</v>
      </c>
      <c r="H414" s="2" t="s">
        <v>965</v>
      </c>
      <c r="I414" s="16">
        <v>9</v>
      </c>
      <c r="J414" s="2" t="s">
        <v>25</v>
      </c>
      <c r="L414"/>
      <c r="M414"/>
      <c r="N414"/>
    </row>
    <row r="415" spans="1:14" ht="14.5" hidden="1">
      <c r="A415" s="2" t="s">
        <v>334</v>
      </c>
      <c r="B415" s="2" t="s">
        <v>335</v>
      </c>
      <c r="C415" s="2" t="s">
        <v>149</v>
      </c>
      <c r="D415" s="2" t="s">
        <v>36</v>
      </c>
      <c r="E415" s="2" t="s">
        <v>25</v>
      </c>
      <c r="F415" s="2">
        <v>1</v>
      </c>
      <c r="G415" s="2" t="s">
        <v>965</v>
      </c>
      <c r="H415" s="2" t="s">
        <v>965</v>
      </c>
      <c r="I415" s="16">
        <v>9</v>
      </c>
      <c r="J415" s="2" t="s">
        <v>25</v>
      </c>
      <c r="L415"/>
      <c r="M415"/>
      <c r="N415"/>
    </row>
    <row r="416" spans="1:14" ht="14.5" hidden="1">
      <c r="A416" s="2" t="s">
        <v>421</v>
      </c>
      <c r="B416" s="2" t="s">
        <v>422</v>
      </c>
      <c r="C416" s="2"/>
      <c r="D416" s="2" t="s">
        <v>30</v>
      </c>
      <c r="E416" s="2" t="s">
        <v>25</v>
      </c>
      <c r="F416" s="2">
        <v>2</v>
      </c>
      <c r="G416" s="2" t="s">
        <v>965</v>
      </c>
      <c r="H416" s="2" t="s">
        <v>960</v>
      </c>
      <c r="I416" s="16">
        <v>9</v>
      </c>
      <c r="J416" s="2" t="s">
        <v>25</v>
      </c>
      <c r="L416"/>
      <c r="M416"/>
      <c r="N416"/>
    </row>
    <row r="417" spans="1:14" ht="14.5" hidden="1">
      <c r="A417" s="2" t="s">
        <v>729</v>
      </c>
      <c r="B417" s="2" t="s">
        <v>730</v>
      </c>
      <c r="C417" s="2" t="s">
        <v>26</v>
      </c>
      <c r="D417" s="2" t="s">
        <v>428</v>
      </c>
      <c r="E417" s="2" t="s">
        <v>25</v>
      </c>
      <c r="F417" s="2">
        <v>2</v>
      </c>
      <c r="G417" s="2" t="s">
        <v>965</v>
      </c>
      <c r="H417" s="2" t="s">
        <v>960</v>
      </c>
      <c r="I417" s="16">
        <v>9</v>
      </c>
      <c r="J417" s="2" t="s">
        <v>25</v>
      </c>
      <c r="L417"/>
      <c r="M417"/>
      <c r="N417"/>
    </row>
    <row r="418" spans="1:14" ht="14.5" hidden="1">
      <c r="A418" s="2" t="s">
        <v>1034</v>
      </c>
      <c r="B418" s="2" t="s">
        <v>909</v>
      </c>
      <c r="C418" s="2" t="s">
        <v>148</v>
      </c>
      <c r="D418" s="2" t="s">
        <v>30</v>
      </c>
      <c r="E418" s="2" t="s">
        <v>150</v>
      </c>
      <c r="F418" s="2">
        <v>1</v>
      </c>
      <c r="G418" s="2" t="s">
        <v>965</v>
      </c>
      <c r="H418" s="2" t="s">
        <v>965</v>
      </c>
      <c r="I418" s="16">
        <v>9</v>
      </c>
      <c r="J418" s="2" t="s">
        <v>25</v>
      </c>
      <c r="L418"/>
      <c r="M418"/>
      <c r="N418"/>
    </row>
    <row r="419" spans="1:14" ht="14.5">
      <c r="A419" s="2" t="s">
        <v>327</v>
      </c>
      <c r="B419" s="2" t="s">
        <v>317</v>
      </c>
      <c r="C419" s="2" t="s">
        <v>247</v>
      </c>
      <c r="D419" s="2" t="s">
        <v>29</v>
      </c>
      <c r="E419" s="2" t="s">
        <v>1200</v>
      </c>
      <c r="F419" s="2">
        <v>0.5</v>
      </c>
      <c r="G419" s="2" t="s">
        <v>967</v>
      </c>
      <c r="H419" s="2" t="s">
        <v>967</v>
      </c>
      <c r="I419" s="16">
        <v>9</v>
      </c>
      <c r="J419" s="2" t="s">
        <v>5</v>
      </c>
      <c r="L419"/>
      <c r="M419"/>
    </row>
    <row r="420" spans="1:14" ht="14.5" hidden="1">
      <c r="A420" s="2" t="s">
        <v>1201</v>
      </c>
      <c r="B420" s="2" t="s">
        <v>1202</v>
      </c>
      <c r="C420" s="2" t="s">
        <v>148</v>
      </c>
      <c r="D420" s="2" t="s">
        <v>36</v>
      </c>
      <c r="E420" s="2" t="s">
        <v>150</v>
      </c>
      <c r="F420" s="2">
        <v>1</v>
      </c>
      <c r="G420" s="2" t="s">
        <v>967</v>
      </c>
      <c r="H420" s="2" t="s">
        <v>967</v>
      </c>
      <c r="I420" s="16">
        <v>9</v>
      </c>
      <c r="J420" s="2" t="s">
        <v>25</v>
      </c>
      <c r="L420"/>
      <c r="M420"/>
    </row>
    <row r="421" spans="1:14" ht="14.5" hidden="1">
      <c r="A421" s="2" t="s">
        <v>136</v>
      </c>
      <c r="B421" s="2" t="s">
        <v>137</v>
      </c>
      <c r="C421" s="2" t="s">
        <v>298</v>
      </c>
      <c r="D421" s="2" t="s">
        <v>30</v>
      </c>
      <c r="E421" s="2" t="s">
        <v>1156</v>
      </c>
      <c r="F421" s="2">
        <v>1</v>
      </c>
      <c r="G421" s="2" t="s">
        <v>967</v>
      </c>
      <c r="H421" s="2" t="s">
        <v>967</v>
      </c>
      <c r="I421" s="16">
        <v>9</v>
      </c>
      <c r="J421" s="2" t="s">
        <v>25</v>
      </c>
      <c r="L421"/>
      <c r="M421"/>
    </row>
    <row r="422" spans="1:14" ht="14.5" hidden="1">
      <c r="A422" s="2" t="s">
        <v>1203</v>
      </c>
      <c r="B422" s="2" t="s">
        <v>899</v>
      </c>
      <c r="C422" s="2" t="s">
        <v>148</v>
      </c>
      <c r="D422" s="2" t="s">
        <v>27</v>
      </c>
      <c r="E422" s="2" t="s">
        <v>1204</v>
      </c>
      <c r="F422" s="2">
        <v>1</v>
      </c>
      <c r="G422" s="2" t="s">
        <v>967</v>
      </c>
      <c r="H422" s="2" t="s">
        <v>967</v>
      </c>
      <c r="I422" s="16">
        <v>9</v>
      </c>
      <c r="J422" s="2" t="s">
        <v>25</v>
      </c>
      <c r="L422"/>
      <c r="M422"/>
    </row>
    <row r="423" spans="1:14" ht="14.5">
      <c r="A423" s="2" t="s">
        <v>1205</v>
      </c>
      <c r="B423" s="2" t="s">
        <v>1206</v>
      </c>
      <c r="C423" s="2" t="s">
        <v>247</v>
      </c>
      <c r="D423" s="2" t="s">
        <v>29</v>
      </c>
      <c r="E423" s="2" t="s">
        <v>1207</v>
      </c>
      <c r="F423" s="2">
        <v>0.5</v>
      </c>
      <c r="G423" s="2" t="s">
        <v>967</v>
      </c>
      <c r="H423" s="2" t="s">
        <v>967</v>
      </c>
      <c r="I423" s="16">
        <v>9</v>
      </c>
      <c r="J423" s="2" t="s">
        <v>5</v>
      </c>
      <c r="L423"/>
      <c r="M423"/>
    </row>
    <row r="424" spans="1:14" ht="14.5" hidden="1">
      <c r="A424" s="2" t="s">
        <v>288</v>
      </c>
      <c r="B424" s="2" t="s">
        <v>289</v>
      </c>
      <c r="C424" s="2" t="s">
        <v>147</v>
      </c>
      <c r="D424" s="2" t="s">
        <v>27</v>
      </c>
      <c r="E424" s="2" t="s">
        <v>25</v>
      </c>
      <c r="F424" s="2">
        <v>0.5</v>
      </c>
      <c r="G424" s="2" t="s">
        <v>967</v>
      </c>
      <c r="H424" s="2" t="s">
        <v>967</v>
      </c>
      <c r="I424" s="16">
        <v>9</v>
      </c>
      <c r="J424" s="2" t="s">
        <v>1</v>
      </c>
      <c r="L424"/>
      <c r="M424"/>
    </row>
    <row r="425" spans="1:14" ht="14.5" hidden="1">
      <c r="A425" s="2" t="s">
        <v>287</v>
      </c>
      <c r="B425" s="2" t="s">
        <v>242</v>
      </c>
      <c r="C425" s="2" t="s">
        <v>250</v>
      </c>
      <c r="D425" s="2" t="s">
        <v>36</v>
      </c>
      <c r="E425" s="2" t="s">
        <v>1208</v>
      </c>
      <c r="F425" s="2">
        <v>1</v>
      </c>
      <c r="G425" s="2" t="s">
        <v>967</v>
      </c>
      <c r="H425" s="2" t="s">
        <v>967</v>
      </c>
      <c r="I425" s="16">
        <v>9</v>
      </c>
      <c r="J425" s="2" t="s">
        <v>25</v>
      </c>
      <c r="L425"/>
      <c r="M425"/>
    </row>
    <row r="426" spans="1:14" ht="14.5">
      <c r="A426" s="2" t="s">
        <v>689</v>
      </c>
      <c r="B426" s="2" t="s">
        <v>570</v>
      </c>
      <c r="C426" s="2" t="s">
        <v>247</v>
      </c>
      <c r="D426" s="2" t="s">
        <v>29</v>
      </c>
      <c r="E426" s="2" t="s">
        <v>25</v>
      </c>
      <c r="F426" s="2">
        <v>0.5</v>
      </c>
      <c r="G426" s="2" t="s">
        <v>967</v>
      </c>
      <c r="H426" s="2" t="s">
        <v>967</v>
      </c>
      <c r="I426" s="16">
        <v>9</v>
      </c>
      <c r="J426" s="2" t="s">
        <v>5</v>
      </c>
      <c r="L426"/>
      <c r="M426"/>
    </row>
    <row r="427" spans="1:14" ht="14.5" hidden="1">
      <c r="A427" s="2" t="s">
        <v>652</v>
      </c>
      <c r="B427" s="2" t="s">
        <v>653</v>
      </c>
      <c r="C427" s="2" t="s">
        <v>39</v>
      </c>
      <c r="D427" s="2" t="s">
        <v>30</v>
      </c>
      <c r="E427" s="2" t="s">
        <v>25</v>
      </c>
      <c r="F427" s="2">
        <v>1</v>
      </c>
      <c r="G427" s="2" t="s">
        <v>967</v>
      </c>
      <c r="H427" s="2" t="s">
        <v>967</v>
      </c>
      <c r="I427" s="16">
        <v>9</v>
      </c>
      <c r="J427" s="2" t="s">
        <v>25</v>
      </c>
      <c r="L427"/>
      <c r="M427"/>
    </row>
    <row r="428" spans="1:14" ht="14.5" hidden="1">
      <c r="A428" s="2" t="s">
        <v>1190</v>
      </c>
      <c r="B428" s="2" t="s">
        <v>1191</v>
      </c>
      <c r="C428" s="2"/>
      <c r="D428" s="2" t="s">
        <v>30</v>
      </c>
      <c r="E428" s="2" t="s">
        <v>25</v>
      </c>
      <c r="F428" s="2">
        <v>0.5</v>
      </c>
      <c r="G428" s="2" t="s">
        <v>967</v>
      </c>
      <c r="H428" s="2" t="s">
        <v>967</v>
      </c>
      <c r="I428" s="16">
        <v>9</v>
      </c>
      <c r="J428" s="2" t="s">
        <v>5</v>
      </c>
      <c r="L428"/>
      <c r="M428"/>
    </row>
    <row r="429" spans="1:14" ht="14.5">
      <c r="A429" s="2" t="s">
        <v>696</v>
      </c>
      <c r="B429" s="2" t="s">
        <v>567</v>
      </c>
      <c r="C429" s="2" t="s">
        <v>247</v>
      </c>
      <c r="D429" s="2" t="s">
        <v>29</v>
      </c>
      <c r="E429" s="2" t="s">
        <v>1209</v>
      </c>
      <c r="F429" s="2">
        <v>0.5</v>
      </c>
      <c r="G429" s="2" t="s">
        <v>967</v>
      </c>
      <c r="H429" s="2" t="s">
        <v>967</v>
      </c>
      <c r="I429" s="16">
        <v>9</v>
      </c>
      <c r="J429" s="2" t="s">
        <v>1</v>
      </c>
      <c r="L429"/>
      <c r="M429"/>
    </row>
    <row r="430" spans="1:14" ht="14.5" hidden="1">
      <c r="A430" s="2" t="s">
        <v>379</v>
      </c>
      <c r="B430" s="2" t="s">
        <v>380</v>
      </c>
      <c r="C430" s="2" t="s">
        <v>149</v>
      </c>
      <c r="D430" s="2" t="s">
        <v>30</v>
      </c>
      <c r="E430" s="2" t="s">
        <v>1210</v>
      </c>
      <c r="F430" s="2">
        <v>0.5</v>
      </c>
      <c r="G430" s="2" t="s">
        <v>884</v>
      </c>
      <c r="H430" s="2" t="s">
        <v>884</v>
      </c>
      <c r="I430" s="16">
        <v>9</v>
      </c>
      <c r="J430" s="2" t="s">
        <v>1</v>
      </c>
      <c r="L430"/>
      <c r="M430"/>
    </row>
    <row r="431" spans="1:14" ht="14.5" hidden="1">
      <c r="A431" s="2" t="s">
        <v>631</v>
      </c>
      <c r="B431" s="2" t="s">
        <v>632</v>
      </c>
      <c r="C431" s="2" t="s">
        <v>39</v>
      </c>
      <c r="D431" s="2" t="s">
        <v>428</v>
      </c>
      <c r="E431" s="2" t="s">
        <v>25</v>
      </c>
      <c r="F431" s="2">
        <v>1</v>
      </c>
      <c r="G431" s="2" t="s">
        <v>884</v>
      </c>
      <c r="H431" s="2" t="s">
        <v>884</v>
      </c>
      <c r="I431" s="16">
        <v>9</v>
      </c>
      <c r="J431" s="2" t="s">
        <v>25</v>
      </c>
      <c r="L431"/>
      <c r="M431"/>
    </row>
    <row r="432" spans="1:14" ht="14.5" hidden="1">
      <c r="A432" s="2" t="s">
        <v>1190</v>
      </c>
      <c r="B432" s="2" t="s">
        <v>1191</v>
      </c>
      <c r="C432" s="2"/>
      <c r="D432" s="2" t="s">
        <v>30</v>
      </c>
      <c r="E432" s="2" t="s">
        <v>25</v>
      </c>
      <c r="F432" s="2">
        <v>0.5</v>
      </c>
      <c r="G432" s="2" t="s">
        <v>884</v>
      </c>
      <c r="H432" s="2" t="s">
        <v>884</v>
      </c>
      <c r="I432" s="16">
        <v>9</v>
      </c>
      <c r="J432" s="2" t="s">
        <v>5</v>
      </c>
      <c r="L432"/>
      <c r="M432"/>
    </row>
    <row r="433" spans="1:13" ht="14.5" hidden="1">
      <c r="A433" s="2" t="s">
        <v>669</v>
      </c>
      <c r="B433" s="2" t="s">
        <v>670</v>
      </c>
      <c r="C433" s="2" t="s">
        <v>248</v>
      </c>
      <c r="D433" s="2" t="s">
        <v>30</v>
      </c>
      <c r="E433" s="2" t="s">
        <v>25</v>
      </c>
      <c r="F433" s="2">
        <v>1</v>
      </c>
      <c r="G433" s="2" t="s">
        <v>884</v>
      </c>
      <c r="H433" s="2" t="s">
        <v>884</v>
      </c>
      <c r="I433" s="16">
        <v>9</v>
      </c>
      <c r="J433" s="2" t="s">
        <v>25</v>
      </c>
      <c r="L433"/>
      <c r="M433"/>
    </row>
    <row r="434" spans="1:13" ht="14.5" hidden="1">
      <c r="A434" s="2" t="s">
        <v>595</v>
      </c>
      <c r="B434" s="2" t="s">
        <v>596</v>
      </c>
      <c r="C434" s="2" t="s">
        <v>135</v>
      </c>
      <c r="D434" s="2" t="s">
        <v>30</v>
      </c>
      <c r="E434" s="2" t="s">
        <v>25</v>
      </c>
      <c r="F434" s="2">
        <v>0.5</v>
      </c>
      <c r="G434" s="2" t="s">
        <v>884</v>
      </c>
      <c r="H434" s="2" t="s">
        <v>884</v>
      </c>
      <c r="I434" s="16">
        <v>9</v>
      </c>
      <c r="J434" s="2" t="s">
        <v>5</v>
      </c>
      <c r="L434"/>
      <c r="M434"/>
    </row>
    <row r="435" spans="1:13" ht="14.5" hidden="1">
      <c r="A435" s="2" t="s">
        <v>447</v>
      </c>
      <c r="B435" s="2" t="s">
        <v>448</v>
      </c>
      <c r="C435" s="2" t="s">
        <v>431</v>
      </c>
      <c r="D435" s="2" t="s">
        <v>30</v>
      </c>
      <c r="E435" s="2" t="s">
        <v>25</v>
      </c>
      <c r="F435" s="2">
        <v>1</v>
      </c>
      <c r="G435" s="2" t="s">
        <v>884</v>
      </c>
      <c r="H435" s="2" t="s">
        <v>884</v>
      </c>
      <c r="I435" s="16">
        <v>9</v>
      </c>
      <c r="J435" s="2" t="s">
        <v>25</v>
      </c>
      <c r="L435"/>
      <c r="M435"/>
    </row>
    <row r="436" spans="1:13" ht="14.5" hidden="1">
      <c r="A436" s="2" t="s">
        <v>429</v>
      </c>
      <c r="B436" s="2" t="s">
        <v>430</v>
      </c>
      <c r="C436" s="2" t="s">
        <v>431</v>
      </c>
      <c r="D436" s="2" t="s">
        <v>29</v>
      </c>
      <c r="E436" s="2" t="s">
        <v>1136</v>
      </c>
      <c r="F436" s="2">
        <v>1</v>
      </c>
      <c r="G436" s="2" t="s">
        <v>884</v>
      </c>
      <c r="H436" s="2" t="s">
        <v>884</v>
      </c>
      <c r="I436" s="16">
        <v>9</v>
      </c>
      <c r="J436" s="2" t="s">
        <v>25</v>
      </c>
      <c r="L436"/>
      <c r="M436"/>
    </row>
    <row r="437" spans="1:13" ht="14.5" hidden="1">
      <c r="A437" s="2" t="s">
        <v>650</v>
      </c>
      <c r="B437" s="2" t="s">
        <v>576</v>
      </c>
      <c r="C437" s="2" t="s">
        <v>431</v>
      </c>
      <c r="D437" s="2" t="s">
        <v>29</v>
      </c>
      <c r="E437" s="2" t="s">
        <v>1211</v>
      </c>
      <c r="F437" s="2">
        <v>2</v>
      </c>
      <c r="G437" s="2" t="s">
        <v>884</v>
      </c>
      <c r="H437" s="2" t="s">
        <v>967</v>
      </c>
      <c r="I437" s="16">
        <v>9</v>
      </c>
      <c r="J437" s="2" t="s">
        <v>25</v>
      </c>
      <c r="L437"/>
      <c r="M437"/>
    </row>
    <row r="438" spans="1:13" ht="14.5" hidden="1">
      <c r="A438" s="2" t="s">
        <v>473</v>
      </c>
      <c r="B438" s="2" t="s">
        <v>378</v>
      </c>
      <c r="C438" s="2" t="s">
        <v>431</v>
      </c>
      <c r="D438" s="2" t="s">
        <v>29</v>
      </c>
      <c r="E438" s="2" t="s">
        <v>1212</v>
      </c>
      <c r="F438" s="2">
        <v>2</v>
      </c>
      <c r="G438" s="2" t="s">
        <v>884</v>
      </c>
      <c r="H438" s="2" t="s">
        <v>967</v>
      </c>
      <c r="I438" s="16">
        <v>9</v>
      </c>
      <c r="J438" s="2" t="s">
        <v>25</v>
      </c>
      <c r="L438"/>
      <c r="M438"/>
    </row>
    <row r="439" spans="1:13" ht="14.5" hidden="1">
      <c r="A439" s="2" t="s">
        <v>612</v>
      </c>
      <c r="B439" s="2" t="s">
        <v>613</v>
      </c>
      <c r="C439" s="2" t="s">
        <v>34</v>
      </c>
      <c r="D439" s="2" t="s">
        <v>30</v>
      </c>
      <c r="E439" s="2" t="s">
        <v>25</v>
      </c>
      <c r="F439" s="2">
        <v>0.5</v>
      </c>
      <c r="G439" s="2" t="s">
        <v>884</v>
      </c>
      <c r="H439" s="2" t="s">
        <v>884</v>
      </c>
      <c r="I439" s="16">
        <v>9</v>
      </c>
      <c r="J439" s="2" t="s">
        <v>1</v>
      </c>
      <c r="L439"/>
      <c r="M439"/>
    </row>
    <row r="440" spans="1:13" ht="14.5" hidden="1">
      <c r="A440" s="2" t="s">
        <v>1213</v>
      </c>
      <c r="B440" s="2" t="s">
        <v>1214</v>
      </c>
      <c r="C440" s="2" t="s">
        <v>148</v>
      </c>
      <c r="D440" s="2" t="s">
        <v>27</v>
      </c>
      <c r="E440" s="2" t="s">
        <v>25</v>
      </c>
      <c r="F440" s="2">
        <v>0.5</v>
      </c>
      <c r="G440" s="2" t="s">
        <v>884</v>
      </c>
      <c r="H440" s="2" t="s">
        <v>884</v>
      </c>
      <c r="I440" s="16">
        <v>9</v>
      </c>
      <c r="J440" s="2" t="s">
        <v>1</v>
      </c>
      <c r="L440"/>
      <c r="M440"/>
    </row>
    <row r="441" spans="1:13" ht="14.5" hidden="1">
      <c r="A441" s="2" t="s">
        <v>287</v>
      </c>
      <c r="B441" s="2" t="s">
        <v>242</v>
      </c>
      <c r="C441" s="2" t="s">
        <v>250</v>
      </c>
      <c r="D441" s="2" t="s">
        <v>36</v>
      </c>
      <c r="E441" s="2" t="s">
        <v>1215</v>
      </c>
      <c r="F441" s="2">
        <v>1</v>
      </c>
      <c r="G441" s="2" t="s">
        <v>884</v>
      </c>
      <c r="H441" s="2" t="s">
        <v>884</v>
      </c>
      <c r="I441" s="16">
        <v>9</v>
      </c>
      <c r="J441" s="2" t="s">
        <v>25</v>
      </c>
      <c r="L441"/>
      <c r="M441"/>
    </row>
    <row r="442" spans="1:13" ht="14.5">
      <c r="A442" s="2" t="s">
        <v>623</v>
      </c>
      <c r="B442" s="2" t="s">
        <v>375</v>
      </c>
      <c r="C442" s="2" t="s">
        <v>389</v>
      </c>
      <c r="D442" s="2" t="s">
        <v>29</v>
      </c>
      <c r="E442" s="2" t="s">
        <v>1216</v>
      </c>
      <c r="F442" s="2">
        <v>2</v>
      </c>
      <c r="G442" s="2" t="s">
        <v>884</v>
      </c>
      <c r="H442" s="2" t="s">
        <v>967</v>
      </c>
      <c r="I442" s="16">
        <v>9</v>
      </c>
      <c r="J442" s="2" t="s">
        <v>25</v>
      </c>
      <c r="L442"/>
      <c r="M442"/>
    </row>
    <row r="443" spans="1:13" ht="14.5">
      <c r="A443" s="2" t="s">
        <v>1217</v>
      </c>
      <c r="B443" s="2" t="s">
        <v>922</v>
      </c>
      <c r="C443" s="2" t="s">
        <v>389</v>
      </c>
      <c r="D443" s="2" t="s">
        <v>27</v>
      </c>
      <c r="E443" s="2" t="s">
        <v>25</v>
      </c>
      <c r="F443" s="2">
        <v>1</v>
      </c>
      <c r="G443" s="2" t="s">
        <v>884</v>
      </c>
      <c r="H443" s="2" t="s">
        <v>884</v>
      </c>
      <c r="I443" s="16">
        <v>9</v>
      </c>
      <c r="J443" s="2" t="s">
        <v>25</v>
      </c>
      <c r="L443"/>
      <c r="M443"/>
    </row>
    <row r="444" spans="1:13" ht="14.5" hidden="1">
      <c r="A444" s="2" t="s">
        <v>330</v>
      </c>
      <c r="B444" s="2" t="s">
        <v>331</v>
      </c>
      <c r="C444" s="2" t="s">
        <v>248</v>
      </c>
      <c r="D444" s="2" t="s">
        <v>30</v>
      </c>
      <c r="E444" s="2" t="s">
        <v>1172</v>
      </c>
      <c r="F444" s="2">
        <v>5</v>
      </c>
      <c r="G444" s="2" t="s">
        <v>969</v>
      </c>
      <c r="H444" s="2" t="s">
        <v>960</v>
      </c>
      <c r="I444" s="16">
        <v>9</v>
      </c>
      <c r="J444" s="2" t="s">
        <v>25</v>
      </c>
      <c r="L444"/>
      <c r="M444"/>
    </row>
    <row r="445" spans="1:13" ht="14.5" hidden="1">
      <c r="A445" s="2" t="s">
        <v>151</v>
      </c>
      <c r="B445" s="2" t="s">
        <v>152</v>
      </c>
      <c r="C445" s="2" t="s">
        <v>147</v>
      </c>
      <c r="D445" s="2" t="s">
        <v>30</v>
      </c>
      <c r="E445" s="2" t="s">
        <v>25</v>
      </c>
      <c r="F445" s="2">
        <v>0.5</v>
      </c>
      <c r="G445" s="2" t="s">
        <v>969</v>
      </c>
      <c r="H445" s="2" t="s">
        <v>969</v>
      </c>
      <c r="I445" s="16">
        <v>9</v>
      </c>
      <c r="J445" s="2" t="s">
        <v>5</v>
      </c>
      <c r="L445"/>
      <c r="M445"/>
    </row>
    <row r="446" spans="1:13" ht="14.5">
      <c r="A446" s="2" t="s">
        <v>1218</v>
      </c>
      <c r="B446" s="2" t="s">
        <v>573</v>
      </c>
      <c r="C446" s="2" t="s">
        <v>247</v>
      </c>
      <c r="D446" s="2" t="s">
        <v>27</v>
      </c>
      <c r="E446" s="2" t="s">
        <v>25</v>
      </c>
      <c r="F446" s="2">
        <v>0.5</v>
      </c>
      <c r="G446" s="2" t="s">
        <v>969</v>
      </c>
      <c r="H446" s="2" t="s">
        <v>969</v>
      </c>
      <c r="I446" s="16">
        <v>9</v>
      </c>
      <c r="J446" s="2" t="s">
        <v>5</v>
      </c>
      <c r="L446"/>
      <c r="M446"/>
    </row>
    <row r="447" spans="1:13" ht="14.5" hidden="1">
      <c r="A447" s="2" t="s">
        <v>741</v>
      </c>
      <c r="B447" s="2" t="s">
        <v>241</v>
      </c>
      <c r="C447" s="2" t="s">
        <v>148</v>
      </c>
      <c r="D447" s="2" t="s">
        <v>27</v>
      </c>
      <c r="E447" s="2" t="s">
        <v>25</v>
      </c>
      <c r="F447" s="2">
        <v>0.5</v>
      </c>
      <c r="G447" s="2" t="s">
        <v>969</v>
      </c>
      <c r="H447" s="2" t="s">
        <v>969</v>
      </c>
      <c r="I447" s="16">
        <v>9</v>
      </c>
      <c r="J447" s="2" t="s">
        <v>5</v>
      </c>
      <c r="L447"/>
      <c r="M447"/>
    </row>
    <row r="448" spans="1:13" ht="14.5" hidden="1">
      <c r="A448" s="2" t="s">
        <v>1219</v>
      </c>
      <c r="B448" s="2" t="s">
        <v>1220</v>
      </c>
      <c r="C448" s="2" t="s">
        <v>26</v>
      </c>
      <c r="D448" s="2" t="s">
        <v>30</v>
      </c>
      <c r="E448" s="2" t="s">
        <v>25</v>
      </c>
      <c r="F448" s="2">
        <v>1</v>
      </c>
      <c r="G448" s="2" t="s">
        <v>969</v>
      </c>
      <c r="H448" s="2" t="s">
        <v>969</v>
      </c>
      <c r="I448" s="16">
        <v>9</v>
      </c>
      <c r="J448" s="2" t="s">
        <v>25</v>
      </c>
      <c r="L448"/>
      <c r="M448"/>
    </row>
    <row r="449" spans="1:13" ht="14.5" hidden="1">
      <c r="A449" s="2" t="s">
        <v>1167</v>
      </c>
      <c r="B449" s="2" t="s">
        <v>1168</v>
      </c>
      <c r="C449" s="2" t="s">
        <v>147</v>
      </c>
      <c r="D449" s="2" t="s">
        <v>30</v>
      </c>
      <c r="E449" s="2" t="s">
        <v>25</v>
      </c>
      <c r="F449" s="2">
        <v>0.5</v>
      </c>
      <c r="G449" s="2" t="s">
        <v>969</v>
      </c>
      <c r="H449" s="2" t="s">
        <v>969</v>
      </c>
      <c r="I449" s="16">
        <v>9</v>
      </c>
      <c r="J449" s="2" t="s">
        <v>1</v>
      </c>
      <c r="L449"/>
      <c r="M449"/>
    </row>
    <row r="450" spans="1:13" ht="14.5" hidden="1">
      <c r="A450" s="2" t="s">
        <v>436</v>
      </c>
      <c r="B450" s="2" t="s">
        <v>437</v>
      </c>
      <c r="C450" s="2" t="s">
        <v>28</v>
      </c>
      <c r="D450" s="2" t="s">
        <v>24</v>
      </c>
      <c r="E450" s="2" t="s">
        <v>25</v>
      </c>
      <c r="F450" s="2">
        <v>1</v>
      </c>
      <c r="G450" s="2" t="s">
        <v>969</v>
      </c>
      <c r="H450" s="2" t="s">
        <v>969</v>
      </c>
      <c r="I450" s="16">
        <v>9</v>
      </c>
      <c r="J450" s="2" t="s">
        <v>25</v>
      </c>
      <c r="L450"/>
      <c r="M450"/>
    </row>
    <row r="451" spans="1:13" ht="14.5" hidden="1">
      <c r="A451" s="2" t="s">
        <v>1221</v>
      </c>
      <c r="B451" s="2" t="s">
        <v>1222</v>
      </c>
      <c r="C451" s="2" t="s">
        <v>26</v>
      </c>
      <c r="D451" s="2" t="s">
        <v>27</v>
      </c>
      <c r="E451" s="2" t="s">
        <v>25</v>
      </c>
      <c r="F451" s="2">
        <v>1</v>
      </c>
      <c r="G451" s="2" t="s">
        <v>969</v>
      </c>
      <c r="H451" s="2" t="s">
        <v>969</v>
      </c>
      <c r="I451" s="16">
        <v>9</v>
      </c>
      <c r="J451" s="2" t="s">
        <v>25</v>
      </c>
      <c r="L451"/>
      <c r="M451"/>
    </row>
    <row r="452" spans="1:13" ht="14.5" hidden="1">
      <c r="A452" s="2" t="s">
        <v>452</v>
      </c>
      <c r="B452" s="2" t="s">
        <v>636</v>
      </c>
      <c r="C452" s="2"/>
      <c r="D452" s="2" t="s">
        <v>36</v>
      </c>
      <c r="E452" s="2" t="s">
        <v>25</v>
      </c>
      <c r="F452" s="2">
        <v>4</v>
      </c>
      <c r="G452" s="2" t="s">
        <v>969</v>
      </c>
      <c r="H452" s="2" t="s">
        <v>965</v>
      </c>
      <c r="I452" s="16">
        <v>9</v>
      </c>
      <c r="J452" s="2" t="s">
        <v>25</v>
      </c>
      <c r="L452"/>
      <c r="M452"/>
    </row>
    <row r="453" spans="1:13" ht="14.5" hidden="1">
      <c r="A453" s="2" t="s">
        <v>1223</v>
      </c>
      <c r="B453" s="2" t="s">
        <v>1224</v>
      </c>
      <c r="C453" s="2" t="s">
        <v>28</v>
      </c>
      <c r="D453" s="2" t="s">
        <v>36</v>
      </c>
      <c r="E453" s="2" t="s">
        <v>25</v>
      </c>
      <c r="F453" s="2">
        <v>9</v>
      </c>
      <c r="G453" s="2" t="s">
        <v>972</v>
      </c>
      <c r="H453" s="2" t="s">
        <v>1181</v>
      </c>
      <c r="I453" s="16">
        <v>9</v>
      </c>
      <c r="J453" s="2" t="s">
        <v>25</v>
      </c>
      <c r="L453"/>
      <c r="M453"/>
    </row>
    <row r="454" spans="1:13" ht="14.5" hidden="1">
      <c r="A454" s="2" t="s">
        <v>701</v>
      </c>
      <c r="B454" s="2" t="s">
        <v>581</v>
      </c>
      <c r="C454" s="2" t="s">
        <v>149</v>
      </c>
      <c r="D454" s="2" t="s">
        <v>27</v>
      </c>
      <c r="E454" s="2" t="s">
        <v>1225</v>
      </c>
      <c r="F454" s="2">
        <v>0.5</v>
      </c>
      <c r="G454" s="2" t="s">
        <v>972</v>
      </c>
      <c r="H454" s="2" t="s">
        <v>972</v>
      </c>
      <c r="I454" s="16">
        <v>9</v>
      </c>
      <c r="J454" s="2" t="s">
        <v>5</v>
      </c>
      <c r="L454"/>
      <c r="M454"/>
    </row>
    <row r="455" spans="1:13" ht="14.5" hidden="1">
      <c r="A455" s="2" t="s">
        <v>452</v>
      </c>
      <c r="B455" s="2" t="s">
        <v>636</v>
      </c>
      <c r="C455" s="2"/>
      <c r="D455" s="2" t="s">
        <v>30</v>
      </c>
      <c r="E455" s="2" t="s">
        <v>1226</v>
      </c>
      <c r="F455" s="2">
        <v>1</v>
      </c>
      <c r="G455" s="2" t="s">
        <v>886</v>
      </c>
      <c r="H455" s="2" t="s">
        <v>886</v>
      </c>
      <c r="I455" s="16">
        <v>9</v>
      </c>
      <c r="J455" s="2" t="s">
        <v>25</v>
      </c>
      <c r="L455"/>
      <c r="M455"/>
    </row>
    <row r="456" spans="1:13" ht="14.5">
      <c r="A456" s="2" t="s">
        <v>1227</v>
      </c>
      <c r="B456" s="2" t="s">
        <v>887</v>
      </c>
      <c r="C456" s="2" t="s">
        <v>1122</v>
      </c>
      <c r="D456" s="2" t="s">
        <v>27</v>
      </c>
      <c r="E456" s="2" t="s">
        <v>1165</v>
      </c>
      <c r="F456" s="2">
        <v>1</v>
      </c>
      <c r="G456" s="2" t="s">
        <v>886</v>
      </c>
      <c r="H456" s="2" t="s">
        <v>886</v>
      </c>
      <c r="I456" s="16">
        <v>9</v>
      </c>
      <c r="J456" s="2" t="s">
        <v>25</v>
      </c>
      <c r="L456"/>
      <c r="M456"/>
    </row>
    <row r="457" spans="1:13" ht="14.5" hidden="1">
      <c r="A457" s="2" t="s">
        <v>442</v>
      </c>
      <c r="B457" s="2" t="s">
        <v>411</v>
      </c>
      <c r="C457" s="2" t="s">
        <v>148</v>
      </c>
      <c r="D457" s="2" t="s">
        <v>30</v>
      </c>
      <c r="E457" s="2" t="s">
        <v>25</v>
      </c>
      <c r="F457" s="2">
        <v>0.5</v>
      </c>
      <c r="G457" s="2" t="s">
        <v>886</v>
      </c>
      <c r="H457" s="2" t="s">
        <v>886</v>
      </c>
      <c r="I457" s="16">
        <v>9</v>
      </c>
      <c r="J457" s="2" t="s">
        <v>5</v>
      </c>
      <c r="L457"/>
      <c r="M457"/>
    </row>
    <row r="458" spans="1:13" ht="14.5">
      <c r="A458" s="2" t="s">
        <v>1228</v>
      </c>
      <c r="B458" s="2" t="s">
        <v>889</v>
      </c>
      <c r="C458" s="2" t="s">
        <v>1122</v>
      </c>
      <c r="D458" s="2" t="s">
        <v>24</v>
      </c>
      <c r="E458" s="2" t="s">
        <v>1229</v>
      </c>
      <c r="F458" s="2">
        <v>0.5</v>
      </c>
      <c r="G458" s="2" t="s">
        <v>886</v>
      </c>
      <c r="H458" s="2" t="s">
        <v>886</v>
      </c>
      <c r="I458" s="16">
        <v>9</v>
      </c>
      <c r="J458" s="2" t="s">
        <v>1</v>
      </c>
      <c r="L458"/>
      <c r="M458"/>
    </row>
    <row r="459" spans="1:13" ht="14.5" hidden="1">
      <c r="A459" s="2" t="s">
        <v>1230</v>
      </c>
      <c r="B459" s="2" t="s">
        <v>1231</v>
      </c>
      <c r="C459" s="2" t="s">
        <v>248</v>
      </c>
      <c r="D459" s="2" t="s">
        <v>30</v>
      </c>
      <c r="E459" s="2" t="s">
        <v>25</v>
      </c>
      <c r="F459" s="2">
        <v>1</v>
      </c>
      <c r="G459" s="2" t="s">
        <v>886</v>
      </c>
      <c r="H459" s="2" t="s">
        <v>886</v>
      </c>
      <c r="I459" s="16">
        <v>9</v>
      </c>
      <c r="J459" s="2" t="s">
        <v>25</v>
      </c>
      <c r="L459"/>
      <c r="M459"/>
    </row>
    <row r="460" spans="1:13" ht="14.5" hidden="1">
      <c r="A460" s="2" t="s">
        <v>1232</v>
      </c>
      <c r="B460" s="2" t="s">
        <v>1233</v>
      </c>
      <c r="C460" s="2" t="s">
        <v>135</v>
      </c>
      <c r="D460" s="2" t="s">
        <v>29</v>
      </c>
      <c r="E460" s="2" t="s">
        <v>1234</v>
      </c>
      <c r="F460" s="2">
        <v>1</v>
      </c>
      <c r="G460" s="2" t="s">
        <v>886</v>
      </c>
      <c r="H460" s="2" t="s">
        <v>886</v>
      </c>
      <c r="I460" s="16">
        <v>9</v>
      </c>
      <c r="J460" s="2" t="s">
        <v>25</v>
      </c>
      <c r="L460"/>
      <c r="M460"/>
    </row>
    <row r="461" spans="1:13" ht="14.5" hidden="1">
      <c r="A461" s="2" t="s">
        <v>718</v>
      </c>
      <c r="B461" s="2" t="s">
        <v>719</v>
      </c>
      <c r="C461" s="2" t="s">
        <v>149</v>
      </c>
      <c r="D461" s="2" t="s">
        <v>27</v>
      </c>
      <c r="E461" s="2" t="s">
        <v>25</v>
      </c>
      <c r="F461" s="2">
        <v>1</v>
      </c>
      <c r="G461" s="2" t="s">
        <v>978</v>
      </c>
      <c r="H461" s="2" t="s">
        <v>978</v>
      </c>
      <c r="I461" s="16">
        <v>9</v>
      </c>
      <c r="J461" s="2" t="s">
        <v>25</v>
      </c>
      <c r="L461"/>
      <c r="M461"/>
    </row>
    <row r="462" spans="1:13" ht="14.5" hidden="1">
      <c r="A462" s="2" t="s">
        <v>330</v>
      </c>
      <c r="B462" s="2" t="s">
        <v>331</v>
      </c>
      <c r="C462" s="2" t="s">
        <v>248</v>
      </c>
      <c r="D462" s="2" t="s">
        <v>30</v>
      </c>
      <c r="E462" s="2" t="s">
        <v>1172</v>
      </c>
      <c r="F462" s="2">
        <v>3</v>
      </c>
      <c r="G462" s="2" t="s">
        <v>978</v>
      </c>
      <c r="H462" s="2" t="s">
        <v>972</v>
      </c>
      <c r="I462" s="16">
        <v>9</v>
      </c>
      <c r="J462" s="2" t="s">
        <v>25</v>
      </c>
      <c r="L462"/>
      <c r="M462"/>
    </row>
    <row r="463" spans="1:13" ht="14.5" hidden="1">
      <c r="A463" s="2" t="s">
        <v>257</v>
      </c>
      <c r="B463" s="2" t="s">
        <v>258</v>
      </c>
      <c r="C463" s="2" t="s">
        <v>149</v>
      </c>
      <c r="D463" s="2" t="s">
        <v>27</v>
      </c>
      <c r="E463" s="2" t="s">
        <v>25</v>
      </c>
      <c r="F463" s="2">
        <v>0.5</v>
      </c>
      <c r="G463" s="2" t="s">
        <v>978</v>
      </c>
      <c r="H463" s="2" t="s">
        <v>978</v>
      </c>
      <c r="I463" s="16">
        <v>9</v>
      </c>
      <c r="J463" s="2" t="s">
        <v>5</v>
      </c>
      <c r="L463"/>
      <c r="M463"/>
    </row>
    <row r="464" spans="1:13" ht="14.5" hidden="1">
      <c r="A464" s="2" t="s">
        <v>442</v>
      </c>
      <c r="B464" s="2" t="s">
        <v>411</v>
      </c>
      <c r="C464" s="2" t="s">
        <v>148</v>
      </c>
      <c r="D464" s="2" t="s">
        <v>30</v>
      </c>
      <c r="E464" s="2" t="s">
        <v>25</v>
      </c>
      <c r="F464" s="2">
        <v>1</v>
      </c>
      <c r="G464" s="2" t="s">
        <v>978</v>
      </c>
      <c r="H464" s="2" t="s">
        <v>978</v>
      </c>
      <c r="I464" s="16">
        <v>9</v>
      </c>
      <c r="J464" s="2" t="s">
        <v>25</v>
      </c>
      <c r="L464"/>
      <c r="M464"/>
    </row>
    <row r="465" spans="1:13" ht="14.5" hidden="1">
      <c r="A465" s="2" t="s">
        <v>643</v>
      </c>
      <c r="B465" s="2" t="s">
        <v>644</v>
      </c>
      <c r="C465" s="2" t="s">
        <v>147</v>
      </c>
      <c r="D465" s="2" t="s">
        <v>30</v>
      </c>
      <c r="E465" s="2" t="s">
        <v>1235</v>
      </c>
      <c r="F465" s="2">
        <v>1</v>
      </c>
      <c r="G465" s="2" t="s">
        <v>978</v>
      </c>
      <c r="H465" s="2" t="s">
        <v>978</v>
      </c>
      <c r="I465" s="16">
        <v>9</v>
      </c>
      <c r="J465" s="2" t="s">
        <v>25</v>
      </c>
      <c r="L465"/>
      <c r="M465"/>
    </row>
    <row r="466" spans="1:13" ht="14.5" hidden="1">
      <c r="A466" s="2" t="s">
        <v>1236</v>
      </c>
      <c r="B466" s="2" t="s">
        <v>1237</v>
      </c>
      <c r="C466" s="2" t="s">
        <v>149</v>
      </c>
      <c r="D466" s="2" t="s">
        <v>27</v>
      </c>
      <c r="E466" s="2" t="s">
        <v>25</v>
      </c>
      <c r="F466" s="2">
        <v>1</v>
      </c>
      <c r="G466" s="2" t="s">
        <v>978</v>
      </c>
      <c r="H466" s="2" t="s">
        <v>978</v>
      </c>
      <c r="I466" s="16">
        <v>9</v>
      </c>
      <c r="J466" s="2" t="s">
        <v>25</v>
      </c>
      <c r="L466"/>
      <c r="M466"/>
    </row>
    <row r="467" spans="1:13" ht="14.5" hidden="1">
      <c r="A467" s="2" t="s">
        <v>1238</v>
      </c>
      <c r="B467" s="2" t="s">
        <v>1239</v>
      </c>
      <c r="C467" s="2"/>
      <c r="D467" s="2" t="s">
        <v>30</v>
      </c>
      <c r="E467" s="2" t="s">
        <v>25</v>
      </c>
      <c r="F467" s="2">
        <v>2</v>
      </c>
      <c r="G467" s="2" t="s">
        <v>978</v>
      </c>
      <c r="H467" s="2" t="s">
        <v>886</v>
      </c>
      <c r="I467" s="16">
        <v>9</v>
      </c>
      <c r="J467" s="2" t="s">
        <v>25</v>
      </c>
      <c r="L467"/>
      <c r="M467"/>
    </row>
    <row r="468" spans="1:13" ht="14.5" hidden="1">
      <c r="A468" s="2" t="s">
        <v>436</v>
      </c>
      <c r="B468" s="2" t="s">
        <v>437</v>
      </c>
      <c r="C468" s="2" t="s">
        <v>28</v>
      </c>
      <c r="D468" s="2" t="s">
        <v>24</v>
      </c>
      <c r="E468" s="2" t="s">
        <v>25</v>
      </c>
      <c r="F468" s="2">
        <v>3</v>
      </c>
      <c r="G468" s="2" t="s">
        <v>978</v>
      </c>
      <c r="H468" s="2" t="s">
        <v>972</v>
      </c>
      <c r="I468" s="16">
        <v>9</v>
      </c>
      <c r="J468" s="2" t="s">
        <v>25</v>
      </c>
      <c r="L468"/>
      <c r="M468"/>
    </row>
    <row r="469" spans="1:13" ht="14.5" hidden="1">
      <c r="A469" s="2" t="s">
        <v>1223</v>
      </c>
      <c r="B469" s="2" t="s">
        <v>1224</v>
      </c>
      <c r="C469" s="2" t="s">
        <v>28</v>
      </c>
      <c r="D469" s="2" t="s">
        <v>30</v>
      </c>
      <c r="E469" s="2" t="s">
        <v>25</v>
      </c>
      <c r="F469" s="2">
        <v>1</v>
      </c>
      <c r="G469" s="2" t="s">
        <v>978</v>
      </c>
      <c r="H469" s="2" t="s">
        <v>978</v>
      </c>
      <c r="I469" s="16">
        <v>9</v>
      </c>
      <c r="J469" s="2" t="s">
        <v>25</v>
      </c>
      <c r="L469"/>
      <c r="M469"/>
    </row>
    <row r="470" spans="1:13" ht="14.5" hidden="1">
      <c r="A470" s="2" t="s">
        <v>37</v>
      </c>
      <c r="B470" s="2" t="s">
        <v>38</v>
      </c>
      <c r="C470" s="2" t="s">
        <v>28</v>
      </c>
      <c r="D470" s="2" t="s">
        <v>30</v>
      </c>
      <c r="E470" s="2" t="s">
        <v>25</v>
      </c>
      <c r="F470" s="2">
        <v>2</v>
      </c>
      <c r="G470" s="2" t="s">
        <v>978</v>
      </c>
      <c r="H470" s="2" t="s">
        <v>886</v>
      </c>
      <c r="I470" s="16">
        <v>9</v>
      </c>
      <c r="J470" s="2" t="s">
        <v>25</v>
      </c>
      <c r="L470"/>
      <c r="M470"/>
    </row>
    <row r="471" spans="1:13" ht="14.5" hidden="1">
      <c r="A471" s="2" t="s">
        <v>452</v>
      </c>
      <c r="B471" s="2" t="s">
        <v>636</v>
      </c>
      <c r="C471" s="2"/>
      <c r="D471" s="2" t="s">
        <v>36</v>
      </c>
      <c r="E471" s="2" t="s">
        <v>25</v>
      </c>
      <c r="F471" s="2">
        <v>1</v>
      </c>
      <c r="G471" s="2" t="s">
        <v>978</v>
      </c>
      <c r="H471" s="2" t="s">
        <v>978</v>
      </c>
      <c r="I471" s="16">
        <v>9</v>
      </c>
      <c r="J471" s="2" t="s">
        <v>25</v>
      </c>
      <c r="L471"/>
      <c r="M471"/>
    </row>
    <row r="472" spans="1:13" ht="14.5">
      <c r="J472" s="2"/>
      <c r="L472"/>
      <c r="M472"/>
    </row>
    <row r="473" spans="1:13" ht="14.5">
      <c r="J473" s="2"/>
      <c r="L473"/>
      <c r="M473"/>
    </row>
    <row r="474" spans="1:13" ht="14.5">
      <c r="J474" s="2"/>
      <c r="L474"/>
      <c r="M474"/>
    </row>
    <row r="475" spans="1:13" ht="14.5">
      <c r="J475" s="2"/>
      <c r="L475"/>
      <c r="M475"/>
    </row>
    <row r="476" spans="1:13" ht="14.5">
      <c r="L476"/>
      <c r="M476"/>
    </row>
    <row r="477" spans="1:13" ht="14.5">
      <c r="L477"/>
      <c r="M477"/>
    </row>
    <row r="478" spans="1:13" ht="14.5">
      <c r="L478"/>
      <c r="M478"/>
    </row>
    <row r="479" spans="1:13" ht="14.5">
      <c r="L479"/>
      <c r="M479"/>
    </row>
    <row r="480" spans="1:13" ht="14.5">
      <c r="L480"/>
      <c r="M480"/>
    </row>
    <row r="481" spans="12:13" ht="14.5">
      <c r="L481"/>
      <c r="M481"/>
    </row>
    <row r="482" spans="12:13" ht="14.5">
      <c r="L482"/>
      <c r="M482"/>
    </row>
    <row r="483" spans="12:13" ht="14.5">
      <c r="L483"/>
      <c r="M483"/>
    </row>
    <row r="484" spans="12:13" ht="14.5">
      <c r="L484"/>
      <c r="M484"/>
    </row>
    <row r="485" spans="12:13" ht="14.5">
      <c r="L485"/>
      <c r="M485"/>
    </row>
    <row r="486" spans="12:13" ht="14.5">
      <c r="L486"/>
      <c r="M486"/>
    </row>
    <row r="487" spans="12:13" ht="14.5">
      <c r="L487"/>
      <c r="M487"/>
    </row>
    <row r="488" spans="12:13" ht="14.5">
      <c r="L488"/>
      <c r="M488"/>
    </row>
    <row r="489" spans="12:13" ht="14.5">
      <c r="L489"/>
      <c r="M489"/>
    </row>
    <row r="490" spans="12:13" ht="14.5">
      <c r="L490"/>
      <c r="M490"/>
    </row>
    <row r="491" spans="12:13" ht="14.5">
      <c r="L491"/>
      <c r="M491"/>
    </row>
    <row r="492" spans="12:13" ht="14.5">
      <c r="L492"/>
      <c r="M492"/>
    </row>
    <row r="493" spans="12:13" ht="14.5">
      <c r="L493"/>
      <c r="M493"/>
    </row>
    <row r="494" spans="12:13" ht="14.5">
      <c r="L494"/>
      <c r="M494"/>
    </row>
  </sheetData>
  <autoFilter ref="A1:J471" xr:uid="{133BC138-D1B9-47CB-9520-61C99BF19EEE}">
    <filterColumn colId="2">
      <filters>
        <filter val="Tổ Hoạt động trải nghiệm, hướng nghiệp, Khối THCS -THPT"/>
        <filter val="Tổ Khoa học Tự nhiên và Công nghệ, Khối THCS -THPT"/>
        <filter val="Tổ Ngoại Ngữ, Khối THCS -THPT"/>
        <filter val="Tổ ngữ văn, Khối THCS -THPT"/>
        <filter val="Tổ thể dục - Quốc phòng - Nghệ thuật, Khối THCS -THPT"/>
        <filter val="Tổ Tin học, Khối THCS -THPT"/>
        <filter val="Tổ Toán, Khối THCS -THPT"/>
        <filter val="Tổ xã hội, Khối THCS -THPT"/>
      </filters>
    </filterColumn>
    <filterColumn colId="8">
      <filters>
        <filter val="9"/>
      </filters>
    </filterColumn>
    <sortState xmlns:xlrd2="http://schemas.microsoft.com/office/spreadsheetml/2017/richdata2" ref="A49:J171">
      <sortCondition ref="C1:C222"/>
    </sortState>
  </autoFilter>
  <pageMargins left="0.7" right="0.7" top="0.75" bottom="0.75" header="0.3" footer="0.3"/>
  <pageSetup orientation="portrait"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63B7B-D7DF-4D76-85DB-926403208EDA}">
  <dimension ref="A1:O223"/>
  <sheetViews>
    <sheetView zoomScale="90" zoomScaleNormal="90" workbookViewId="0">
      <selection activeCell="M12" sqref="M12"/>
    </sheetView>
  </sheetViews>
  <sheetFormatPr defaultColWidth="12" defaultRowHeight="16" customHeight="1"/>
  <cols>
    <col min="1" max="1" width="19.453125" style="14" customWidth="1"/>
    <col min="2" max="2" width="33.36328125" style="13" bestFit="1" customWidth="1"/>
    <col min="3" max="6" width="12" style="13"/>
    <col min="7" max="7" width="12.453125" style="103" bestFit="1" customWidth="1"/>
    <col min="8" max="8" width="18.453125" style="13" customWidth="1"/>
    <col min="9" max="9" width="11.1796875" style="13" customWidth="1"/>
    <col min="10" max="16384" width="12" style="13"/>
  </cols>
  <sheetData>
    <row r="1" spans="1:14" ht="15.5">
      <c r="A1" s="194" t="s">
        <v>266</v>
      </c>
      <c r="B1"/>
      <c r="C1"/>
      <c r="D1"/>
      <c r="E1"/>
      <c r="F1"/>
      <c r="G1"/>
      <c r="H1"/>
      <c r="I1"/>
      <c r="J1"/>
      <c r="K1"/>
      <c r="L1"/>
      <c r="M1"/>
      <c r="N1"/>
    </row>
    <row r="2" spans="1:14" ht="16" customHeight="1">
      <c r="A2" s="186" t="s">
        <v>1328</v>
      </c>
      <c r="B2" s="186" t="s">
        <v>177</v>
      </c>
      <c r="C2" s="186" t="s">
        <v>178</v>
      </c>
      <c r="D2" s="186" t="s">
        <v>482</v>
      </c>
      <c r="E2" s="186" t="s">
        <v>483</v>
      </c>
      <c r="F2" s="186" t="s">
        <v>484</v>
      </c>
      <c r="G2" s="186" t="s">
        <v>485</v>
      </c>
      <c r="H2" s="186" t="s">
        <v>486</v>
      </c>
      <c r="I2" s="186" t="s">
        <v>487</v>
      </c>
      <c r="J2" s="186" t="s">
        <v>488</v>
      </c>
      <c r="K2" s="186" t="s">
        <v>489</v>
      </c>
      <c r="L2" s="186" t="s">
        <v>490</v>
      </c>
      <c r="M2" s="186" t="s">
        <v>491</v>
      </c>
      <c r="N2" s="186" t="s">
        <v>138</v>
      </c>
    </row>
    <row r="3" spans="1:14" ht="16" customHeight="1">
      <c r="A3" s="190" t="s">
        <v>110</v>
      </c>
      <c r="B3" s="191">
        <v>5</v>
      </c>
      <c r="C3" s="191">
        <v>9</v>
      </c>
      <c r="D3" s="191">
        <v>23</v>
      </c>
      <c r="E3" s="191">
        <v>18</v>
      </c>
      <c r="F3" s="191">
        <v>0</v>
      </c>
      <c r="G3" s="191">
        <v>0</v>
      </c>
      <c r="H3" s="191">
        <v>0</v>
      </c>
      <c r="I3" s="191">
        <v>0</v>
      </c>
      <c r="J3" s="191">
        <v>0</v>
      </c>
      <c r="K3" s="191">
        <v>0</v>
      </c>
      <c r="L3" s="191">
        <v>0</v>
      </c>
      <c r="M3" s="191">
        <v>0</v>
      </c>
      <c r="N3" s="191">
        <v>41</v>
      </c>
    </row>
    <row r="4" spans="1:14" ht="16" customHeight="1">
      <c r="A4" s="192" t="s">
        <v>268</v>
      </c>
      <c r="B4" s="193">
        <v>1</v>
      </c>
      <c r="C4" s="193">
        <v>7</v>
      </c>
      <c r="D4" s="193">
        <v>7</v>
      </c>
      <c r="E4" s="193">
        <v>9</v>
      </c>
      <c r="F4" s="193">
        <v>0</v>
      </c>
      <c r="G4" s="193">
        <v>0</v>
      </c>
      <c r="H4" s="193">
        <v>0</v>
      </c>
      <c r="I4" s="193"/>
      <c r="J4" s="193">
        <v>0</v>
      </c>
      <c r="K4" s="193">
        <v>0</v>
      </c>
      <c r="L4" s="193">
        <v>0</v>
      </c>
      <c r="M4" s="193">
        <v>0</v>
      </c>
      <c r="N4" s="193">
        <v>17</v>
      </c>
    </row>
    <row r="5" spans="1:14" ht="16" customHeight="1">
      <c r="A5" s="190" t="s">
        <v>269</v>
      </c>
      <c r="B5" s="191">
        <v>1</v>
      </c>
      <c r="C5" s="191">
        <v>1</v>
      </c>
      <c r="D5" s="191">
        <v>13</v>
      </c>
      <c r="E5" s="191">
        <v>8</v>
      </c>
      <c r="F5" s="191">
        <v>0</v>
      </c>
      <c r="G5" s="191">
        <v>0</v>
      </c>
      <c r="H5" s="191">
        <v>0</v>
      </c>
      <c r="I5" s="191">
        <v>0</v>
      </c>
      <c r="J5" s="191">
        <v>0</v>
      </c>
      <c r="K5" s="191">
        <v>0</v>
      </c>
      <c r="L5" s="191">
        <v>0</v>
      </c>
      <c r="M5" s="191">
        <v>0</v>
      </c>
      <c r="N5" s="191">
        <v>17</v>
      </c>
    </row>
    <row r="6" spans="1:14" ht="16" customHeight="1">
      <c r="A6" s="192" t="s">
        <v>267</v>
      </c>
      <c r="B6" s="193">
        <v>0</v>
      </c>
      <c r="C6" s="193">
        <v>2</v>
      </c>
      <c r="D6" s="193">
        <v>9</v>
      </c>
      <c r="E6" s="193">
        <v>7</v>
      </c>
      <c r="F6" s="193">
        <v>0</v>
      </c>
      <c r="G6" s="193">
        <v>0</v>
      </c>
      <c r="H6" s="193">
        <v>0</v>
      </c>
      <c r="I6" s="193">
        <v>0</v>
      </c>
      <c r="J6" s="193">
        <v>0</v>
      </c>
      <c r="K6" s="193">
        <v>0</v>
      </c>
      <c r="L6" s="193">
        <v>0</v>
      </c>
      <c r="M6" s="193">
        <v>0</v>
      </c>
      <c r="N6" s="193">
        <v>12</v>
      </c>
    </row>
    <row r="7" spans="1:14" ht="16" customHeight="1">
      <c r="A7" s="190" t="s">
        <v>194</v>
      </c>
      <c r="B7" s="191">
        <v>0</v>
      </c>
      <c r="C7" s="191">
        <v>4</v>
      </c>
      <c r="D7" s="191">
        <v>7</v>
      </c>
      <c r="E7" s="191">
        <v>3</v>
      </c>
      <c r="F7" s="191">
        <v>0</v>
      </c>
      <c r="G7" s="191">
        <v>0</v>
      </c>
      <c r="H7" s="191">
        <v>0</v>
      </c>
      <c r="I7" s="191">
        <v>0</v>
      </c>
      <c r="J7" s="191">
        <v>0</v>
      </c>
      <c r="K7" s="191">
        <v>0</v>
      </c>
      <c r="L7" s="191">
        <v>0</v>
      </c>
      <c r="M7" s="191">
        <v>0</v>
      </c>
      <c r="N7" s="191">
        <v>11</v>
      </c>
    </row>
    <row r="8" spans="1:14" ht="16" customHeight="1">
      <c r="A8" s="192" t="s">
        <v>270</v>
      </c>
      <c r="B8" s="193">
        <v>0</v>
      </c>
      <c r="C8" s="193">
        <v>0</v>
      </c>
      <c r="D8" s="193">
        <v>6</v>
      </c>
      <c r="E8" s="193">
        <v>5</v>
      </c>
      <c r="F8" s="193">
        <v>0</v>
      </c>
      <c r="G8" s="193">
        <v>0</v>
      </c>
      <c r="H8" s="193">
        <v>0</v>
      </c>
      <c r="I8" s="193">
        <v>0</v>
      </c>
      <c r="J8" s="193">
        <v>0</v>
      </c>
      <c r="K8" s="193">
        <v>0</v>
      </c>
      <c r="L8" s="193">
        <v>0</v>
      </c>
      <c r="M8" s="193">
        <v>0</v>
      </c>
      <c r="N8" s="193">
        <v>10</v>
      </c>
    </row>
    <row r="9" spans="1:14" ht="16" customHeight="1">
      <c r="A9" s="190" t="s">
        <v>271</v>
      </c>
      <c r="B9" s="191">
        <v>0</v>
      </c>
      <c r="C9" s="191">
        <v>4</v>
      </c>
      <c r="D9" s="191">
        <v>4</v>
      </c>
      <c r="E9" s="191">
        <v>2</v>
      </c>
      <c r="F9" s="191">
        <v>0</v>
      </c>
      <c r="G9" s="191">
        <v>0</v>
      </c>
      <c r="H9" s="191">
        <v>0</v>
      </c>
      <c r="I9" s="191">
        <v>0</v>
      </c>
      <c r="J9" s="191">
        <v>0</v>
      </c>
      <c r="K9" s="191">
        <v>0</v>
      </c>
      <c r="L9" s="191">
        <v>0</v>
      </c>
      <c r="M9" s="191">
        <v>0</v>
      </c>
      <c r="N9" s="191">
        <v>8</v>
      </c>
    </row>
    <row r="10" spans="1:14" ht="16" customHeight="1">
      <c r="A10" s="192" t="s">
        <v>274</v>
      </c>
      <c r="B10" s="193">
        <v>1</v>
      </c>
      <c r="C10" s="193">
        <v>3</v>
      </c>
      <c r="D10" s="193">
        <v>3</v>
      </c>
      <c r="E10" s="193">
        <v>3</v>
      </c>
      <c r="F10" s="193">
        <v>0</v>
      </c>
      <c r="G10" s="193">
        <v>0</v>
      </c>
      <c r="H10" s="193">
        <v>0</v>
      </c>
      <c r="I10" s="193">
        <v>0</v>
      </c>
      <c r="J10" s="193">
        <v>0</v>
      </c>
      <c r="K10" s="193">
        <v>0</v>
      </c>
      <c r="L10" s="193">
        <v>0</v>
      </c>
      <c r="M10" s="193">
        <v>0</v>
      </c>
      <c r="N10" s="193">
        <v>7</v>
      </c>
    </row>
    <row r="11" spans="1:14" ht="16" customHeight="1">
      <c r="A11" s="190" t="s">
        <v>834</v>
      </c>
      <c r="B11" s="191">
        <v>0</v>
      </c>
      <c r="C11" s="191">
        <v>0</v>
      </c>
      <c r="D11" s="191">
        <v>6</v>
      </c>
      <c r="E11" s="191">
        <v>4</v>
      </c>
      <c r="F11" s="191">
        <v>0</v>
      </c>
      <c r="G11" s="191">
        <v>0</v>
      </c>
      <c r="H11" s="191">
        <v>0</v>
      </c>
      <c r="I11" s="191">
        <v>0</v>
      </c>
      <c r="J11" s="191">
        <v>0</v>
      </c>
      <c r="K11" s="191">
        <v>0</v>
      </c>
      <c r="L11" s="191">
        <v>0</v>
      </c>
      <c r="M11" s="191">
        <v>0</v>
      </c>
      <c r="N11" s="191">
        <v>7</v>
      </c>
    </row>
    <row r="12" spans="1:14" ht="16" customHeight="1">
      <c r="A12" s="192" t="s">
        <v>835</v>
      </c>
      <c r="B12" s="193">
        <v>0</v>
      </c>
      <c r="C12" s="193">
        <v>5</v>
      </c>
      <c r="D12" s="193">
        <v>1</v>
      </c>
      <c r="E12" s="193">
        <v>0</v>
      </c>
      <c r="F12" s="193">
        <v>0</v>
      </c>
      <c r="G12" s="193">
        <v>0</v>
      </c>
      <c r="H12" s="193">
        <v>0</v>
      </c>
      <c r="I12" s="193">
        <v>0</v>
      </c>
      <c r="J12" s="193">
        <v>0</v>
      </c>
      <c r="K12" s="193">
        <v>0</v>
      </c>
      <c r="L12" s="193">
        <v>0</v>
      </c>
      <c r="M12" s="193">
        <v>0</v>
      </c>
      <c r="N12" s="193">
        <v>6</v>
      </c>
    </row>
    <row r="13" spans="1:14" ht="16" customHeight="1">
      <c r="A13" s="190" t="s">
        <v>272</v>
      </c>
      <c r="B13" s="191">
        <v>13</v>
      </c>
      <c r="C13" s="191">
        <v>13</v>
      </c>
      <c r="D13" s="191">
        <v>31</v>
      </c>
      <c r="E13" s="191">
        <v>20</v>
      </c>
      <c r="F13" s="191">
        <v>0</v>
      </c>
      <c r="G13" s="191">
        <v>0</v>
      </c>
      <c r="H13" s="191">
        <v>0</v>
      </c>
      <c r="I13" s="191">
        <v>0</v>
      </c>
      <c r="J13" s="191">
        <v>0</v>
      </c>
      <c r="K13" s="191">
        <v>0</v>
      </c>
      <c r="L13" s="191">
        <v>0</v>
      </c>
      <c r="M13" s="191">
        <v>0</v>
      </c>
      <c r="N13" s="191">
        <v>59</v>
      </c>
    </row>
    <row r="14" spans="1:14" ht="16" customHeight="1">
      <c r="A14" s="190"/>
      <c r="B14" s="191">
        <f>SUBTOTAL(109,Table1[6/2026])</f>
        <v>21</v>
      </c>
      <c r="C14" s="191">
        <f>SUBTOTAL(109,Table1[7/2026])</f>
        <v>48</v>
      </c>
      <c r="D14" s="191">
        <f>SUBTOTAL(109,Table1[8/2026])</f>
        <v>110</v>
      </c>
      <c r="E14" s="191">
        <f>SUBTOTAL(109,Table1[9/2026])</f>
        <v>79</v>
      </c>
      <c r="F14" s="191">
        <f>SUBTOTAL(109,Table1[10/2026])</f>
        <v>0</v>
      </c>
      <c r="G14" s="191">
        <f>SUBTOTAL(109,Table1[11/2026])</f>
        <v>0</v>
      </c>
      <c r="H14" s="191">
        <f>SUBTOTAL(109,Table1[12/2026])</f>
        <v>0</v>
      </c>
      <c r="I14" s="191">
        <f>SUBTOTAL(109,Table1[1/2027])</f>
        <v>0</v>
      </c>
      <c r="J14" s="191">
        <f>SUBTOTAL(109,Table1[2/2027])</f>
        <v>0</v>
      </c>
      <c r="K14" s="191">
        <f>SUBTOTAL(109,Table1[3/2027])</f>
        <v>0</v>
      </c>
      <c r="L14" s="191">
        <f>SUBTOTAL(109,Table1[4/2027])</f>
        <v>0</v>
      </c>
      <c r="M14" s="191">
        <f>SUBTOTAL(109,Table1[5/2027])</f>
        <v>0</v>
      </c>
      <c r="N14" s="191">
        <f>SUBTOTAL(109,Table1[Tổng cộng])</f>
        <v>195</v>
      </c>
    </row>
    <row r="15" spans="1:14" ht="16" customHeight="1">
      <c r="A15" s="219" t="s">
        <v>273</v>
      </c>
      <c r="B15"/>
      <c r="C15"/>
      <c r="D15"/>
      <c r="E15"/>
      <c r="F15"/>
      <c r="G15"/>
      <c r="H15"/>
      <c r="I15"/>
    </row>
    <row r="16" spans="1:14" ht="22" customHeight="1">
      <c r="A16" s="186" t="s">
        <v>1340</v>
      </c>
      <c r="B16" s="224" t="s">
        <v>275</v>
      </c>
      <c r="C16" s="224" t="s">
        <v>276</v>
      </c>
      <c r="D16" s="224" t="s">
        <v>277</v>
      </c>
      <c r="E16" s="224" t="s">
        <v>278</v>
      </c>
      <c r="F16" s="224" t="s">
        <v>1341</v>
      </c>
      <c r="G16" s="224" t="s">
        <v>279</v>
      </c>
      <c r="H16" s="224" t="s">
        <v>280</v>
      </c>
      <c r="I16" s="224" t="s">
        <v>138</v>
      </c>
    </row>
    <row r="17" spans="1:15" ht="16" customHeight="1">
      <c r="A17" s="187" t="s">
        <v>110</v>
      </c>
      <c r="B17" s="187">
        <v>1</v>
      </c>
      <c r="C17" s="187">
        <v>10</v>
      </c>
      <c r="D17" s="187">
        <v>7</v>
      </c>
      <c r="E17" s="187">
        <v>0</v>
      </c>
      <c r="F17" s="187">
        <v>0</v>
      </c>
      <c r="G17" s="187">
        <v>0</v>
      </c>
      <c r="H17" s="187">
        <v>0</v>
      </c>
      <c r="I17" s="187">
        <v>18</v>
      </c>
    </row>
    <row r="18" spans="1:15" ht="16" customHeight="1">
      <c r="A18" s="188" t="s">
        <v>268</v>
      </c>
      <c r="B18" s="188">
        <v>0</v>
      </c>
      <c r="C18" s="188">
        <v>1</v>
      </c>
      <c r="D18" s="188">
        <v>0</v>
      </c>
      <c r="E18" s="188">
        <v>0</v>
      </c>
      <c r="F18" s="188">
        <v>7</v>
      </c>
      <c r="G18" s="188">
        <v>0</v>
      </c>
      <c r="H18" s="188">
        <v>1</v>
      </c>
      <c r="I18" s="188">
        <v>9</v>
      </c>
    </row>
    <row r="19" spans="1:15" ht="16" customHeight="1">
      <c r="A19" s="187" t="s">
        <v>269</v>
      </c>
      <c r="B19" s="187">
        <v>0</v>
      </c>
      <c r="C19" s="187">
        <v>4</v>
      </c>
      <c r="D19" s="187">
        <v>4</v>
      </c>
      <c r="E19" s="187">
        <v>0</v>
      </c>
      <c r="F19" s="187">
        <v>0</v>
      </c>
      <c r="G19" s="187">
        <v>0</v>
      </c>
      <c r="H19" s="187">
        <v>0</v>
      </c>
      <c r="I19" s="187">
        <v>8</v>
      </c>
    </row>
    <row r="20" spans="1:15" ht="16" customHeight="1">
      <c r="A20" s="188" t="s">
        <v>267</v>
      </c>
      <c r="B20" s="188">
        <v>0</v>
      </c>
      <c r="C20" s="188">
        <v>5</v>
      </c>
      <c r="D20" s="188">
        <v>2</v>
      </c>
      <c r="E20" s="188">
        <v>0</v>
      </c>
      <c r="F20" s="188">
        <v>0</v>
      </c>
      <c r="G20" s="188">
        <v>0</v>
      </c>
      <c r="H20" s="188">
        <v>0</v>
      </c>
      <c r="I20" s="188">
        <v>7</v>
      </c>
    </row>
    <row r="21" spans="1:15" ht="16" customHeight="1">
      <c r="A21" s="187" t="s">
        <v>270</v>
      </c>
      <c r="B21" s="187">
        <v>0</v>
      </c>
      <c r="C21" s="187">
        <v>3</v>
      </c>
      <c r="D21" s="187">
        <v>2</v>
      </c>
      <c r="E21" s="187">
        <v>0</v>
      </c>
      <c r="F21" s="187">
        <v>0</v>
      </c>
      <c r="G21" s="187">
        <v>0</v>
      </c>
      <c r="H21" s="187">
        <v>0</v>
      </c>
      <c r="I21" s="187">
        <v>5</v>
      </c>
    </row>
    <row r="22" spans="1:15" ht="16" customHeight="1">
      <c r="A22" s="188" t="s">
        <v>1330</v>
      </c>
      <c r="B22" s="188">
        <v>0</v>
      </c>
      <c r="C22" s="188">
        <v>1</v>
      </c>
      <c r="D22" s="188">
        <v>3</v>
      </c>
      <c r="E22" s="188">
        <v>0</v>
      </c>
      <c r="F22" s="188">
        <v>0</v>
      </c>
      <c r="G22" s="188">
        <v>0</v>
      </c>
      <c r="H22" s="188">
        <v>0</v>
      </c>
      <c r="I22" s="188">
        <v>4</v>
      </c>
    </row>
    <row r="23" spans="1:15" ht="16" customHeight="1">
      <c r="A23" s="187" t="s">
        <v>194</v>
      </c>
      <c r="B23" s="187">
        <v>0</v>
      </c>
      <c r="C23" s="187">
        <v>1</v>
      </c>
      <c r="D23" s="187">
        <v>2</v>
      </c>
      <c r="E23" s="187">
        <v>0</v>
      </c>
      <c r="F23" s="187">
        <v>0</v>
      </c>
      <c r="G23" s="187">
        <v>0</v>
      </c>
      <c r="H23" s="187">
        <v>0</v>
      </c>
      <c r="I23" s="187">
        <v>3</v>
      </c>
    </row>
    <row r="24" spans="1:15" ht="16" customHeight="1">
      <c r="A24" s="188" t="s">
        <v>1331</v>
      </c>
      <c r="B24" s="188">
        <v>0</v>
      </c>
      <c r="C24" s="188">
        <v>0</v>
      </c>
      <c r="D24" s="188">
        <v>3</v>
      </c>
      <c r="E24" s="188">
        <v>0</v>
      </c>
      <c r="F24" s="188">
        <v>0</v>
      </c>
      <c r="G24" s="188">
        <v>0</v>
      </c>
      <c r="H24" s="188">
        <v>0</v>
      </c>
      <c r="I24" s="188">
        <v>3</v>
      </c>
    </row>
    <row r="25" spans="1:15" ht="16" customHeight="1">
      <c r="A25" s="187" t="s">
        <v>834</v>
      </c>
      <c r="B25" s="187">
        <v>0</v>
      </c>
      <c r="C25" s="187">
        <v>0</v>
      </c>
      <c r="D25" s="187">
        <v>3</v>
      </c>
      <c r="E25" s="187">
        <v>0</v>
      </c>
      <c r="F25" s="187">
        <v>0</v>
      </c>
      <c r="G25" s="187">
        <v>0</v>
      </c>
      <c r="H25" s="187">
        <v>0</v>
      </c>
      <c r="I25" s="187">
        <v>3</v>
      </c>
    </row>
    <row r="26" spans="1:15" ht="16" customHeight="1">
      <c r="A26" s="189" t="s">
        <v>1332</v>
      </c>
      <c r="B26" s="189">
        <v>0</v>
      </c>
      <c r="C26" s="189">
        <v>2</v>
      </c>
      <c r="D26" s="189">
        <v>0</v>
      </c>
      <c r="E26" s="189">
        <v>0</v>
      </c>
      <c r="F26" s="189">
        <v>0</v>
      </c>
      <c r="G26" s="189">
        <v>1</v>
      </c>
      <c r="H26" s="189">
        <v>0</v>
      </c>
      <c r="I26" s="189">
        <v>3</v>
      </c>
    </row>
    <row r="27" spans="1:15" ht="16" customHeight="1">
      <c r="A27"/>
      <c r="B27"/>
    </row>
    <row r="28" spans="1:15" ht="16" customHeight="1">
      <c r="A28" s="225" t="s">
        <v>1342</v>
      </c>
      <c r="B28"/>
      <c r="C28"/>
      <c r="D28"/>
      <c r="E28"/>
      <c r="F28"/>
      <c r="G28"/>
      <c r="H28"/>
      <c r="I28"/>
      <c r="J28"/>
      <c r="K28"/>
      <c r="L28"/>
      <c r="M28"/>
      <c r="N28"/>
      <c r="O28"/>
    </row>
    <row r="29" spans="1:15" ht="16" customHeight="1">
      <c r="A29" s="14" t="s">
        <v>1333</v>
      </c>
      <c r="B29" t="s">
        <v>1328</v>
      </c>
      <c r="C29" s="186" t="s">
        <v>177</v>
      </c>
      <c r="D29" s="186" t="s">
        <v>178</v>
      </c>
      <c r="E29" s="186" t="s">
        <v>482</v>
      </c>
      <c r="F29" s="186" t="s">
        <v>483</v>
      </c>
      <c r="G29" s="186" t="s">
        <v>484</v>
      </c>
      <c r="H29" s="186" t="s">
        <v>485</v>
      </c>
      <c r="I29" s="186" t="s">
        <v>486</v>
      </c>
      <c r="J29" s="186" t="s">
        <v>487</v>
      </c>
      <c r="K29" s="186" t="s">
        <v>488</v>
      </c>
      <c r="L29" s="186" t="s">
        <v>489</v>
      </c>
      <c r="M29" s="186" t="s">
        <v>490</v>
      </c>
      <c r="N29" s="186" t="s">
        <v>491</v>
      </c>
      <c r="O29" s="224" t="s">
        <v>138</v>
      </c>
    </row>
    <row r="30" spans="1:15" ht="16" customHeight="1">
      <c r="A30" s="187" t="s">
        <v>596</v>
      </c>
      <c r="B30" s="187" t="s">
        <v>135</v>
      </c>
      <c r="C30" s="187">
        <v>2</v>
      </c>
      <c r="D30" s="187">
        <v>19</v>
      </c>
      <c r="E30" s="187">
        <v>33</v>
      </c>
      <c r="F30" s="187">
        <v>26</v>
      </c>
      <c r="G30" s="187">
        <v>2</v>
      </c>
      <c r="H30" s="187">
        <v>0</v>
      </c>
      <c r="I30" s="187">
        <v>0</v>
      </c>
      <c r="J30" s="187">
        <v>0</v>
      </c>
      <c r="K30" s="187">
        <v>0</v>
      </c>
      <c r="L30" s="187">
        <v>0</v>
      </c>
      <c r="M30" s="187">
        <v>0</v>
      </c>
      <c r="N30" s="187">
        <v>0</v>
      </c>
      <c r="O30" s="13">
        <f>SUM(Table4[[#This Row],[6/2026]:[5/2027]])</f>
        <v>82</v>
      </c>
    </row>
    <row r="31" spans="1:15" ht="16" customHeight="1">
      <c r="A31" s="188" t="s">
        <v>1233</v>
      </c>
      <c r="B31" s="188" t="s">
        <v>135</v>
      </c>
      <c r="C31" s="188">
        <v>6</v>
      </c>
      <c r="D31" s="188">
        <v>30</v>
      </c>
      <c r="E31" s="188">
        <v>30</v>
      </c>
      <c r="F31" s="188">
        <v>14</v>
      </c>
      <c r="G31" s="188">
        <v>1</v>
      </c>
      <c r="H31" s="188">
        <v>0</v>
      </c>
      <c r="I31" s="188">
        <v>0</v>
      </c>
      <c r="J31" s="188">
        <v>0</v>
      </c>
      <c r="K31" s="188">
        <v>0</v>
      </c>
      <c r="L31" s="188">
        <v>0</v>
      </c>
      <c r="M31" s="188">
        <v>0</v>
      </c>
      <c r="N31" s="188">
        <v>0</v>
      </c>
      <c r="O31" s="13">
        <f>SUM(Table4[[#This Row],[6/2026]:[5/2027]])</f>
        <v>81</v>
      </c>
    </row>
    <row r="32" spans="1:15" ht="16" customHeight="1">
      <c r="A32" s="187" t="s">
        <v>601</v>
      </c>
      <c r="B32" s="187" t="s">
        <v>135</v>
      </c>
      <c r="C32" s="187">
        <v>4</v>
      </c>
      <c r="D32" s="187">
        <v>6</v>
      </c>
      <c r="E32" s="187">
        <v>30</v>
      </c>
      <c r="F32" s="187">
        <v>22</v>
      </c>
      <c r="G32" s="187">
        <v>3</v>
      </c>
      <c r="H32" s="187">
        <v>0</v>
      </c>
      <c r="I32" s="187">
        <v>0</v>
      </c>
      <c r="J32" s="187">
        <v>0</v>
      </c>
      <c r="K32" s="187">
        <v>0</v>
      </c>
      <c r="L32" s="187">
        <v>0</v>
      </c>
      <c r="M32" s="187">
        <v>0</v>
      </c>
      <c r="N32" s="187">
        <v>0</v>
      </c>
      <c r="O32" s="13">
        <f>SUM(Table4[[#This Row],[6/2026]:[5/2027]])</f>
        <v>65</v>
      </c>
    </row>
    <row r="33" spans="1:15" ht="16" customHeight="1">
      <c r="A33" s="188" t="s">
        <v>1343</v>
      </c>
      <c r="B33" s="188" t="s">
        <v>1290</v>
      </c>
      <c r="C33" s="188">
        <v>0</v>
      </c>
      <c r="D33" s="188">
        <v>3</v>
      </c>
      <c r="E33" s="188">
        <v>11</v>
      </c>
      <c r="F33" s="188">
        <v>5</v>
      </c>
      <c r="G33" s="188">
        <v>1</v>
      </c>
      <c r="H33" s="188">
        <v>0</v>
      </c>
      <c r="I33" s="188">
        <v>0</v>
      </c>
      <c r="J33" s="188">
        <v>0</v>
      </c>
      <c r="K33" s="188">
        <v>0</v>
      </c>
      <c r="L33" s="188">
        <v>0</v>
      </c>
      <c r="M33" s="188">
        <v>0</v>
      </c>
      <c r="N33" s="188">
        <v>0</v>
      </c>
      <c r="O33" s="13">
        <f>SUM(Table4[[#This Row],[6/2026]:[5/2027]])</f>
        <v>20</v>
      </c>
    </row>
    <row r="34" spans="1:15" ht="16" customHeight="1">
      <c r="A34" s="187" t="s">
        <v>1344</v>
      </c>
      <c r="B34" s="187" t="s">
        <v>1290</v>
      </c>
      <c r="C34" s="187">
        <v>1</v>
      </c>
      <c r="D34" s="187">
        <v>2</v>
      </c>
      <c r="E34" s="187">
        <v>1</v>
      </c>
      <c r="F34" s="187">
        <v>15</v>
      </c>
      <c r="G34" s="187">
        <v>0</v>
      </c>
      <c r="H34" s="187">
        <v>0</v>
      </c>
      <c r="I34" s="187">
        <v>0</v>
      </c>
      <c r="J34" s="187">
        <v>0</v>
      </c>
      <c r="K34" s="187">
        <v>0</v>
      </c>
      <c r="L34" s="187">
        <v>0</v>
      </c>
      <c r="M34" s="187">
        <v>0</v>
      </c>
      <c r="N34" s="187">
        <v>0</v>
      </c>
      <c r="O34" s="13">
        <f>SUM(Table4[[#This Row],[6/2026]:[5/2027]])</f>
        <v>19</v>
      </c>
    </row>
    <row r="35" spans="1:15" ht="16" customHeight="1">
      <c r="A35" s="188" t="s">
        <v>1345</v>
      </c>
      <c r="B35" s="188" t="s">
        <v>1290</v>
      </c>
      <c r="C35" s="188">
        <v>6</v>
      </c>
      <c r="D35" s="188">
        <v>3</v>
      </c>
      <c r="E35" s="188">
        <v>2</v>
      </c>
      <c r="F35" s="188">
        <v>1</v>
      </c>
      <c r="G35" s="188">
        <v>0</v>
      </c>
      <c r="H35" s="188">
        <v>0</v>
      </c>
      <c r="I35" s="188">
        <v>0</v>
      </c>
      <c r="J35" s="188">
        <v>0</v>
      </c>
      <c r="K35" s="188">
        <v>0</v>
      </c>
      <c r="L35" s="188">
        <v>0</v>
      </c>
      <c r="M35" s="188">
        <v>0</v>
      </c>
      <c r="N35" s="188">
        <v>0</v>
      </c>
      <c r="O35" s="13">
        <f>SUM(Table4[[#This Row],[6/2026]:[5/2027]])</f>
        <v>12</v>
      </c>
    </row>
    <row r="36" spans="1:15" ht="16" customHeight="1">
      <c r="A36" s="187" t="s">
        <v>1168</v>
      </c>
      <c r="B36" s="187" t="s">
        <v>147</v>
      </c>
      <c r="C36" s="187">
        <v>3</v>
      </c>
      <c r="D36" s="187">
        <v>2</v>
      </c>
      <c r="E36" s="187">
        <v>3</v>
      </c>
      <c r="F36" s="187">
        <v>2</v>
      </c>
      <c r="G36" s="187">
        <v>0</v>
      </c>
      <c r="H36" s="187">
        <v>0</v>
      </c>
      <c r="I36" s="187">
        <v>0</v>
      </c>
      <c r="J36" s="187">
        <v>0</v>
      </c>
      <c r="K36" s="187">
        <v>0</v>
      </c>
      <c r="L36" s="187">
        <v>0</v>
      </c>
      <c r="M36" s="187">
        <v>0</v>
      </c>
      <c r="N36" s="187">
        <v>0</v>
      </c>
      <c r="O36" s="13">
        <f>SUM(Table4[[#This Row],[6/2026]:[5/2027]])</f>
        <v>10</v>
      </c>
    </row>
    <row r="37" spans="1:15" ht="16" customHeight="1">
      <c r="A37" s="188" t="s">
        <v>1346</v>
      </c>
      <c r="B37" s="188" t="s">
        <v>1290</v>
      </c>
      <c r="C37" s="188">
        <v>0</v>
      </c>
      <c r="D37" s="188">
        <v>1</v>
      </c>
      <c r="E37" s="188">
        <v>8</v>
      </c>
      <c r="F37" s="188">
        <v>1</v>
      </c>
      <c r="G37" s="188">
        <v>0</v>
      </c>
      <c r="H37" s="188">
        <v>0</v>
      </c>
      <c r="I37" s="188">
        <v>0</v>
      </c>
      <c r="J37" s="188">
        <v>0</v>
      </c>
      <c r="K37" s="188">
        <v>0</v>
      </c>
      <c r="L37" s="188">
        <v>0</v>
      </c>
      <c r="M37" s="188">
        <v>0</v>
      </c>
      <c r="N37" s="188">
        <v>0</v>
      </c>
      <c r="O37" s="13">
        <f>SUM(Table4[[#This Row],[6/2026]:[5/2027]])</f>
        <v>10</v>
      </c>
    </row>
    <row r="38" spans="1:15" ht="16" customHeight="1">
      <c r="A38" s="187" t="s">
        <v>1347</v>
      </c>
      <c r="B38" s="187" t="s">
        <v>1290</v>
      </c>
      <c r="C38" s="187">
        <v>1</v>
      </c>
      <c r="D38" s="187">
        <v>3</v>
      </c>
      <c r="E38" s="187">
        <v>4</v>
      </c>
      <c r="F38" s="187">
        <v>1</v>
      </c>
      <c r="G38" s="187">
        <v>0</v>
      </c>
      <c r="H38" s="187">
        <v>0</v>
      </c>
      <c r="I38" s="187">
        <v>0</v>
      </c>
      <c r="J38" s="187">
        <v>0</v>
      </c>
      <c r="K38" s="187">
        <v>0</v>
      </c>
      <c r="L38" s="187">
        <v>0</v>
      </c>
      <c r="M38" s="187">
        <v>0</v>
      </c>
      <c r="N38" s="187">
        <v>0</v>
      </c>
      <c r="O38" s="13">
        <f>SUM(Table4[[#This Row],[6/2026]:[5/2027]])</f>
        <v>9</v>
      </c>
    </row>
    <row r="39" spans="1:15" ht="16" customHeight="1">
      <c r="A39" s="188" t="s">
        <v>1348</v>
      </c>
      <c r="B39" s="188" t="s">
        <v>1290</v>
      </c>
      <c r="C39" s="188">
        <v>0</v>
      </c>
      <c r="D39" s="188">
        <v>0</v>
      </c>
      <c r="E39" s="188">
        <v>5</v>
      </c>
      <c r="F39" s="188">
        <v>2</v>
      </c>
      <c r="G39" s="188">
        <v>1</v>
      </c>
      <c r="H39" s="188">
        <v>0</v>
      </c>
      <c r="I39" s="188">
        <v>0</v>
      </c>
      <c r="J39" s="188">
        <v>0</v>
      </c>
      <c r="K39" s="188">
        <v>0</v>
      </c>
      <c r="L39" s="188">
        <v>0</v>
      </c>
      <c r="M39" s="188">
        <v>0</v>
      </c>
      <c r="N39" s="188">
        <v>0</v>
      </c>
      <c r="O39" s="13">
        <f>SUM(Table4[[#This Row],[6/2026]:[5/2027]])</f>
        <v>8</v>
      </c>
    </row>
    <row r="40" spans="1:15" ht="16" customHeight="1">
      <c r="A40" s="187" t="s">
        <v>1349</v>
      </c>
      <c r="B40" s="187" t="s">
        <v>1290</v>
      </c>
      <c r="C40" s="187">
        <v>0</v>
      </c>
      <c r="D40" s="187">
        <v>0</v>
      </c>
      <c r="E40" s="187">
        <v>4</v>
      </c>
      <c r="F40" s="187">
        <v>1</v>
      </c>
      <c r="G40" s="187">
        <v>1</v>
      </c>
      <c r="H40" s="187">
        <v>0</v>
      </c>
      <c r="I40" s="187">
        <v>0</v>
      </c>
      <c r="J40" s="187">
        <v>0</v>
      </c>
      <c r="K40" s="187">
        <v>0</v>
      </c>
      <c r="L40" s="187">
        <v>0</v>
      </c>
      <c r="M40" s="187">
        <v>0</v>
      </c>
      <c r="N40" s="187">
        <v>0</v>
      </c>
      <c r="O40" s="13">
        <f>SUM(Table4[[#This Row],[6/2026]:[5/2027]])</f>
        <v>6</v>
      </c>
    </row>
    <row r="41" spans="1:15" ht="16" customHeight="1">
      <c r="A41" s="188" t="s">
        <v>1350</v>
      </c>
      <c r="B41" s="188" t="s">
        <v>1290</v>
      </c>
      <c r="C41" s="188">
        <v>3</v>
      </c>
      <c r="D41" s="188">
        <v>1</v>
      </c>
      <c r="E41" s="188">
        <v>0</v>
      </c>
      <c r="F41" s="188">
        <v>0</v>
      </c>
      <c r="G41" s="188">
        <v>0</v>
      </c>
      <c r="H41" s="188">
        <v>0</v>
      </c>
      <c r="I41" s="188">
        <v>0</v>
      </c>
      <c r="J41" s="188">
        <v>0</v>
      </c>
      <c r="K41" s="188">
        <v>0</v>
      </c>
      <c r="L41" s="188">
        <v>0</v>
      </c>
      <c r="M41" s="188">
        <v>0</v>
      </c>
      <c r="N41" s="188">
        <v>0</v>
      </c>
      <c r="O41" s="13">
        <f>SUM(Table4[[#This Row],[6/2026]:[5/2027]])</f>
        <v>4</v>
      </c>
    </row>
    <row r="42" spans="1:15" ht="16" customHeight="1">
      <c r="A42" s="187" t="s">
        <v>326</v>
      </c>
      <c r="B42" s="187" t="s">
        <v>135</v>
      </c>
      <c r="C42" s="187">
        <v>0</v>
      </c>
      <c r="D42" s="187">
        <v>0</v>
      </c>
      <c r="E42" s="187">
        <v>4</v>
      </c>
      <c r="F42" s="187">
        <v>0</v>
      </c>
      <c r="G42" s="187">
        <v>0</v>
      </c>
      <c r="H42" s="187">
        <v>0</v>
      </c>
      <c r="I42" s="187">
        <v>0</v>
      </c>
      <c r="J42" s="187">
        <v>0</v>
      </c>
      <c r="K42" s="187">
        <v>0</v>
      </c>
      <c r="L42" s="187">
        <v>0</v>
      </c>
      <c r="M42" s="187">
        <v>0</v>
      </c>
      <c r="N42" s="187">
        <v>0</v>
      </c>
      <c r="O42" s="13">
        <f>SUM(Table4[[#This Row],[6/2026]:[5/2027]])</f>
        <v>4</v>
      </c>
    </row>
    <row r="43" spans="1:15" ht="16" customHeight="1">
      <c r="A43" t="s">
        <v>43</v>
      </c>
      <c r="B43"/>
      <c r="C43"/>
      <c r="D43"/>
      <c r="E43"/>
      <c r="F43"/>
      <c r="G43"/>
      <c r="H43"/>
      <c r="I43"/>
      <c r="J43"/>
      <c r="K43"/>
      <c r="L43"/>
      <c r="M43"/>
      <c r="N43"/>
      <c r="O43" s="13">
        <f>SUBTOTAL(103,Table4[Tổng cộng])</f>
        <v>13</v>
      </c>
    </row>
    <row r="44" spans="1:15" ht="16" customHeight="1">
      <c r="A44"/>
      <c r="B44"/>
      <c r="C44"/>
      <c r="D44"/>
      <c r="E44"/>
      <c r="F44"/>
      <c r="G44" s="104"/>
      <c r="H44"/>
      <c r="I44"/>
      <c r="J44"/>
      <c r="K44"/>
    </row>
    <row r="45" spans="1:15" ht="16" customHeight="1">
      <c r="A45"/>
      <c r="B45"/>
      <c r="C45"/>
      <c r="D45"/>
      <c r="E45"/>
      <c r="F45"/>
      <c r="G45" s="104"/>
      <c r="H45"/>
      <c r="I45"/>
      <c r="J45"/>
      <c r="K45"/>
    </row>
    <row r="46" spans="1:15" ht="16" customHeight="1">
      <c r="A46"/>
      <c r="B46"/>
      <c r="C46"/>
      <c r="D46"/>
      <c r="E46"/>
      <c r="F46"/>
      <c r="G46" s="104"/>
      <c r="H46"/>
      <c r="I46"/>
      <c r="J46"/>
      <c r="K46"/>
    </row>
    <row r="47" spans="1:15" ht="16" customHeight="1">
      <c r="A47"/>
      <c r="B47"/>
      <c r="C47"/>
      <c r="D47"/>
      <c r="E47"/>
      <c r="F47"/>
      <c r="G47" s="104"/>
      <c r="H47"/>
      <c r="I47"/>
      <c r="J47"/>
      <c r="K47"/>
    </row>
    <row r="48" spans="1:15" ht="16" customHeight="1">
      <c r="A48"/>
      <c r="B48"/>
      <c r="C48"/>
      <c r="D48"/>
      <c r="E48"/>
      <c r="F48"/>
      <c r="G48" s="104"/>
      <c r="H48"/>
      <c r="I48"/>
      <c r="J48"/>
      <c r="K48"/>
    </row>
    <row r="49" spans="1:11" ht="16" customHeight="1">
      <c r="A49"/>
      <c r="B49"/>
      <c r="C49"/>
      <c r="D49"/>
      <c r="E49"/>
      <c r="F49"/>
      <c r="G49" s="104"/>
      <c r="H49"/>
      <c r="I49"/>
      <c r="J49"/>
      <c r="K49"/>
    </row>
    <row r="50" spans="1:11" ht="16" customHeight="1">
      <c r="A50"/>
      <c r="B50"/>
      <c r="C50"/>
      <c r="D50"/>
      <c r="E50"/>
      <c r="F50"/>
      <c r="G50" s="104"/>
      <c r="H50"/>
      <c r="I50"/>
      <c r="J50"/>
      <c r="K50"/>
    </row>
    <row r="51" spans="1:11" ht="16" customHeight="1">
      <c r="A51"/>
      <c r="B51"/>
      <c r="C51"/>
      <c r="D51"/>
      <c r="E51"/>
      <c r="F51"/>
      <c r="G51" s="104"/>
      <c r="H51"/>
      <c r="I51"/>
      <c r="J51"/>
      <c r="K51"/>
    </row>
    <row r="52" spans="1:11" ht="16" customHeight="1">
      <c r="A52"/>
      <c r="B52"/>
      <c r="C52"/>
      <c r="D52"/>
      <c r="E52"/>
      <c r="F52"/>
      <c r="G52" s="104"/>
      <c r="H52"/>
      <c r="I52"/>
      <c r="J52"/>
      <c r="K52"/>
    </row>
    <row r="53" spans="1:11" ht="16" customHeight="1">
      <c r="A53"/>
      <c r="B53"/>
      <c r="C53"/>
      <c r="D53"/>
      <c r="E53"/>
      <c r="F53"/>
      <c r="G53" s="104"/>
      <c r="H53"/>
      <c r="I53"/>
      <c r="J53"/>
      <c r="K53"/>
    </row>
    <row r="54" spans="1:11" ht="16" customHeight="1">
      <c r="A54"/>
      <c r="B54"/>
      <c r="C54"/>
      <c r="D54"/>
      <c r="E54"/>
      <c r="F54"/>
      <c r="G54" s="104"/>
      <c r="H54"/>
      <c r="I54"/>
      <c r="J54"/>
      <c r="K54"/>
    </row>
    <row r="55" spans="1:11" ht="16" customHeight="1">
      <c r="A55"/>
      <c r="B55"/>
      <c r="C55"/>
      <c r="D55"/>
      <c r="E55"/>
      <c r="F55"/>
      <c r="G55" s="104"/>
      <c r="H55"/>
      <c r="I55"/>
      <c r="J55"/>
      <c r="K55"/>
    </row>
    <row r="56" spans="1:11" ht="16" customHeight="1">
      <c r="A56"/>
      <c r="B56"/>
      <c r="C56"/>
      <c r="D56"/>
      <c r="E56"/>
      <c r="F56"/>
      <c r="G56" s="104"/>
      <c r="H56"/>
      <c r="I56"/>
      <c r="J56"/>
      <c r="K56"/>
    </row>
    <row r="57" spans="1:11" ht="16" customHeight="1">
      <c r="A57"/>
      <c r="B57"/>
      <c r="C57"/>
      <c r="D57"/>
      <c r="E57"/>
      <c r="F57"/>
      <c r="G57" s="104"/>
      <c r="H57"/>
      <c r="I57"/>
      <c r="J57"/>
      <c r="K57"/>
    </row>
    <row r="58" spans="1:11" ht="16" customHeight="1">
      <c r="A58"/>
      <c r="B58"/>
      <c r="C58"/>
      <c r="D58"/>
      <c r="E58"/>
      <c r="F58"/>
      <c r="G58" s="104"/>
      <c r="H58"/>
      <c r="I58"/>
      <c r="J58"/>
      <c r="K58"/>
    </row>
    <row r="59" spans="1:11" ht="16" customHeight="1">
      <c r="A59"/>
      <c r="B59"/>
      <c r="C59"/>
      <c r="D59"/>
      <c r="E59"/>
      <c r="F59"/>
      <c r="G59" s="104"/>
      <c r="H59"/>
      <c r="I59"/>
      <c r="J59"/>
      <c r="K59"/>
    </row>
    <row r="60" spans="1:11" ht="16" customHeight="1">
      <c r="A60"/>
      <c r="B60"/>
      <c r="C60"/>
      <c r="D60"/>
      <c r="E60"/>
      <c r="F60"/>
      <c r="G60" s="104"/>
      <c r="H60"/>
      <c r="I60"/>
      <c r="J60"/>
      <c r="K60"/>
    </row>
    <row r="61" spans="1:11" ht="16" customHeight="1">
      <c r="A61"/>
      <c r="B61"/>
      <c r="C61"/>
      <c r="D61"/>
      <c r="E61"/>
      <c r="F61"/>
      <c r="G61" s="104"/>
      <c r="H61"/>
      <c r="I61"/>
      <c r="J61"/>
      <c r="K61"/>
    </row>
    <row r="62" spans="1:11" ht="16" customHeight="1">
      <c r="A62"/>
      <c r="B62"/>
      <c r="C62"/>
      <c r="D62"/>
      <c r="E62"/>
      <c r="F62"/>
      <c r="G62" s="104"/>
      <c r="H62"/>
      <c r="I62"/>
      <c r="J62"/>
      <c r="K62"/>
    </row>
    <row r="63" spans="1:11" ht="16" customHeight="1">
      <c r="A63"/>
      <c r="B63"/>
      <c r="C63"/>
      <c r="D63"/>
      <c r="E63"/>
      <c r="F63"/>
      <c r="G63" s="104"/>
      <c r="H63"/>
      <c r="I63"/>
      <c r="J63"/>
      <c r="K63"/>
    </row>
    <row r="64" spans="1:11" ht="16" customHeight="1">
      <c r="A64"/>
      <c r="B64"/>
      <c r="C64"/>
      <c r="D64"/>
      <c r="E64"/>
      <c r="F64"/>
      <c r="G64" s="104"/>
      <c r="H64"/>
      <c r="I64"/>
      <c r="J64"/>
      <c r="K64"/>
    </row>
    <row r="65" spans="1:11" ht="16" customHeight="1">
      <c r="A65"/>
      <c r="B65"/>
      <c r="C65"/>
      <c r="D65"/>
      <c r="E65"/>
      <c r="F65"/>
      <c r="G65" s="104"/>
      <c r="H65"/>
      <c r="I65"/>
      <c r="J65"/>
      <c r="K65"/>
    </row>
    <row r="66" spans="1:11" ht="16" customHeight="1">
      <c r="A66"/>
      <c r="B66"/>
      <c r="C66"/>
      <c r="D66"/>
      <c r="E66"/>
      <c r="F66"/>
      <c r="G66" s="104"/>
      <c r="H66"/>
      <c r="I66"/>
      <c r="J66"/>
      <c r="K66"/>
    </row>
    <row r="67" spans="1:11" ht="16" customHeight="1">
      <c r="A67"/>
      <c r="B67"/>
      <c r="C67"/>
      <c r="D67"/>
      <c r="E67"/>
      <c r="F67"/>
      <c r="G67" s="104"/>
      <c r="H67"/>
      <c r="I67"/>
      <c r="J67"/>
      <c r="K67"/>
    </row>
    <row r="68" spans="1:11" ht="16" customHeight="1">
      <c r="A68"/>
      <c r="B68"/>
      <c r="C68"/>
      <c r="D68"/>
      <c r="E68"/>
      <c r="F68"/>
      <c r="G68" s="104"/>
      <c r="H68"/>
      <c r="I68"/>
      <c r="J68"/>
      <c r="K68"/>
    </row>
    <row r="69" spans="1:11" ht="16" customHeight="1">
      <c r="A69"/>
      <c r="B69"/>
      <c r="C69"/>
      <c r="D69"/>
      <c r="E69"/>
      <c r="F69"/>
      <c r="G69" s="104"/>
      <c r="H69"/>
      <c r="I69"/>
      <c r="J69"/>
      <c r="K69"/>
    </row>
    <row r="70" spans="1:11" ht="16" customHeight="1">
      <c r="A70"/>
      <c r="B70"/>
      <c r="C70"/>
      <c r="D70"/>
      <c r="E70"/>
      <c r="F70"/>
      <c r="G70" s="104"/>
      <c r="H70"/>
      <c r="I70"/>
      <c r="J70"/>
      <c r="K70"/>
    </row>
    <row r="71" spans="1:11" ht="16" customHeight="1">
      <c r="A71"/>
      <c r="B71"/>
    </row>
    <row r="72" spans="1:11" ht="16" customHeight="1">
      <c r="A72"/>
      <c r="B72"/>
    </row>
    <row r="73" spans="1:11" ht="16" customHeight="1">
      <c r="A73"/>
      <c r="B73"/>
    </row>
    <row r="74" spans="1:11" ht="16" customHeight="1">
      <c r="A74"/>
      <c r="B74"/>
    </row>
    <row r="75" spans="1:11" ht="16" customHeight="1">
      <c r="A75"/>
      <c r="B75"/>
    </row>
    <row r="76" spans="1:11" ht="16" customHeight="1">
      <c r="A76"/>
      <c r="B76"/>
    </row>
    <row r="77" spans="1:11" ht="16" customHeight="1">
      <c r="A77"/>
      <c r="B77"/>
    </row>
    <row r="78" spans="1:11" ht="16" customHeight="1">
      <c r="A78"/>
      <c r="B78"/>
    </row>
    <row r="79" spans="1:11" ht="16" customHeight="1">
      <c r="A79"/>
      <c r="B79"/>
    </row>
    <row r="80" spans="1:11" ht="16" customHeight="1">
      <c r="A80"/>
      <c r="B80"/>
    </row>
    <row r="81" spans="1:2" ht="16" customHeight="1">
      <c r="A81"/>
      <c r="B81"/>
    </row>
    <row r="82" spans="1:2" ht="16" customHeight="1">
      <c r="A82"/>
      <c r="B82"/>
    </row>
    <row r="83" spans="1:2" ht="16" customHeight="1">
      <c r="A83"/>
      <c r="B83"/>
    </row>
    <row r="84" spans="1:2" ht="16" customHeight="1">
      <c r="A84"/>
      <c r="B84"/>
    </row>
    <row r="85" spans="1:2" ht="16" customHeight="1">
      <c r="A85"/>
      <c r="B85"/>
    </row>
    <row r="86" spans="1:2" ht="16" customHeight="1">
      <c r="A86"/>
      <c r="B86"/>
    </row>
    <row r="87" spans="1:2" ht="16" customHeight="1">
      <c r="A87"/>
      <c r="B87"/>
    </row>
    <row r="88" spans="1:2" ht="16" customHeight="1">
      <c r="A88"/>
      <c r="B88"/>
    </row>
    <row r="89" spans="1:2" ht="16" customHeight="1">
      <c r="A89"/>
      <c r="B89"/>
    </row>
    <row r="90" spans="1:2" ht="16" customHeight="1">
      <c r="A90"/>
      <c r="B90"/>
    </row>
    <row r="91" spans="1:2" ht="16" customHeight="1">
      <c r="A91"/>
      <c r="B91"/>
    </row>
    <row r="92" spans="1:2" ht="16" customHeight="1">
      <c r="A92"/>
      <c r="B92"/>
    </row>
    <row r="93" spans="1:2" ht="16" customHeight="1">
      <c r="A93"/>
      <c r="B93"/>
    </row>
    <row r="94" spans="1:2" ht="16" customHeight="1">
      <c r="A94"/>
      <c r="B94"/>
    </row>
    <row r="95" spans="1:2" ht="16" customHeight="1">
      <c r="A95"/>
      <c r="B95"/>
    </row>
    <row r="96" spans="1:2" ht="16" customHeight="1">
      <c r="A96"/>
      <c r="B96"/>
    </row>
    <row r="97" spans="1:2" ht="16" customHeight="1">
      <c r="A97"/>
      <c r="B97"/>
    </row>
    <row r="98" spans="1:2" ht="16" customHeight="1">
      <c r="A98"/>
      <c r="B98"/>
    </row>
    <row r="99" spans="1:2" ht="16" customHeight="1">
      <c r="A99"/>
      <c r="B99"/>
    </row>
    <row r="100" spans="1:2" ht="16" customHeight="1">
      <c r="A100"/>
      <c r="B100"/>
    </row>
    <row r="101" spans="1:2" ht="16" customHeight="1">
      <c r="A101"/>
      <c r="B101"/>
    </row>
    <row r="102" spans="1:2" ht="16" customHeight="1">
      <c r="A102"/>
      <c r="B102"/>
    </row>
    <row r="103" spans="1:2" ht="16" customHeight="1">
      <c r="A103"/>
      <c r="B103"/>
    </row>
    <row r="104" spans="1:2" ht="16" customHeight="1">
      <c r="A104"/>
      <c r="B104"/>
    </row>
    <row r="105" spans="1:2" ht="16" customHeight="1">
      <c r="A105"/>
      <c r="B105"/>
    </row>
    <row r="106" spans="1:2" ht="16" customHeight="1">
      <c r="A106"/>
      <c r="B106"/>
    </row>
    <row r="107" spans="1:2" ht="16" customHeight="1">
      <c r="A107"/>
      <c r="B107"/>
    </row>
    <row r="108" spans="1:2" ht="16" customHeight="1">
      <c r="A108"/>
      <c r="B108"/>
    </row>
    <row r="109" spans="1:2" ht="16" customHeight="1">
      <c r="A109"/>
      <c r="B109"/>
    </row>
    <row r="110" spans="1:2" ht="16" customHeight="1">
      <c r="A110"/>
      <c r="B110"/>
    </row>
    <row r="111" spans="1:2" ht="16" customHeight="1">
      <c r="A111"/>
      <c r="B111"/>
    </row>
    <row r="112" spans="1:2" ht="16" customHeight="1">
      <c r="A112"/>
      <c r="B112"/>
    </row>
    <row r="113" spans="1:2" ht="16" customHeight="1">
      <c r="A113"/>
      <c r="B113"/>
    </row>
    <row r="114" spans="1:2" ht="16" customHeight="1">
      <c r="A114"/>
      <c r="B114"/>
    </row>
    <row r="115" spans="1:2" ht="16" customHeight="1">
      <c r="A115"/>
      <c r="B115"/>
    </row>
    <row r="116" spans="1:2" ht="16" customHeight="1">
      <c r="A116"/>
      <c r="B116"/>
    </row>
    <row r="117" spans="1:2" ht="16" customHeight="1">
      <c r="A117"/>
      <c r="B117"/>
    </row>
    <row r="118" spans="1:2" ht="16" customHeight="1">
      <c r="A118"/>
      <c r="B118"/>
    </row>
    <row r="119" spans="1:2" ht="16" customHeight="1">
      <c r="A119"/>
      <c r="B119"/>
    </row>
    <row r="120" spans="1:2" ht="16" customHeight="1">
      <c r="A120"/>
      <c r="B120"/>
    </row>
    <row r="121" spans="1:2" ht="16" customHeight="1">
      <c r="A121"/>
      <c r="B121"/>
    </row>
    <row r="122" spans="1:2" ht="16" customHeight="1">
      <c r="A122"/>
      <c r="B122"/>
    </row>
    <row r="123" spans="1:2" ht="16" customHeight="1">
      <c r="A123"/>
      <c r="B123"/>
    </row>
    <row r="124" spans="1:2" ht="16" customHeight="1">
      <c r="A124"/>
      <c r="B124"/>
    </row>
    <row r="125" spans="1:2" ht="16" customHeight="1">
      <c r="A125"/>
      <c r="B125"/>
    </row>
    <row r="126" spans="1:2" ht="16" customHeight="1">
      <c r="A126"/>
      <c r="B126"/>
    </row>
    <row r="127" spans="1:2" ht="16" customHeight="1">
      <c r="A127"/>
      <c r="B127"/>
    </row>
    <row r="128" spans="1:2" ht="16" customHeight="1">
      <c r="A128"/>
      <c r="B128"/>
    </row>
    <row r="129" spans="1:2" ht="16" customHeight="1">
      <c r="A129"/>
      <c r="B129"/>
    </row>
    <row r="130" spans="1:2" ht="16" customHeight="1">
      <c r="A130"/>
      <c r="B130"/>
    </row>
    <row r="131" spans="1:2" ht="16" customHeight="1">
      <c r="A131"/>
      <c r="B131"/>
    </row>
    <row r="132" spans="1:2" ht="16" customHeight="1">
      <c r="A132"/>
      <c r="B132"/>
    </row>
    <row r="133" spans="1:2" ht="16" customHeight="1">
      <c r="A133"/>
      <c r="B133"/>
    </row>
    <row r="134" spans="1:2" ht="16" customHeight="1">
      <c r="A134"/>
      <c r="B134"/>
    </row>
    <row r="135" spans="1:2" ht="16" customHeight="1">
      <c r="A135"/>
      <c r="B135"/>
    </row>
    <row r="136" spans="1:2" ht="16" customHeight="1">
      <c r="A136"/>
      <c r="B136"/>
    </row>
    <row r="137" spans="1:2" ht="16" customHeight="1">
      <c r="A137"/>
      <c r="B137"/>
    </row>
    <row r="138" spans="1:2" ht="16" customHeight="1">
      <c r="A138"/>
      <c r="B138"/>
    </row>
    <row r="139" spans="1:2" ht="16" customHeight="1">
      <c r="A139"/>
      <c r="B139"/>
    </row>
    <row r="140" spans="1:2" ht="16" customHeight="1">
      <c r="A140"/>
      <c r="B140"/>
    </row>
    <row r="141" spans="1:2" ht="16" customHeight="1">
      <c r="A141"/>
      <c r="B141"/>
    </row>
    <row r="142" spans="1:2" ht="16" customHeight="1">
      <c r="A142"/>
      <c r="B142"/>
    </row>
    <row r="143" spans="1:2" ht="16" customHeight="1">
      <c r="A143"/>
      <c r="B143"/>
    </row>
    <row r="144" spans="1:2" ht="16" customHeight="1">
      <c r="A144"/>
      <c r="B144"/>
    </row>
    <row r="145" spans="1:2" ht="16" customHeight="1">
      <c r="A145"/>
      <c r="B145"/>
    </row>
    <row r="146" spans="1:2" ht="16" customHeight="1">
      <c r="A146"/>
      <c r="B146"/>
    </row>
    <row r="147" spans="1:2" ht="16" customHeight="1">
      <c r="A147"/>
      <c r="B147"/>
    </row>
    <row r="148" spans="1:2" ht="16" customHeight="1">
      <c r="A148"/>
      <c r="B148"/>
    </row>
    <row r="149" spans="1:2" ht="16" customHeight="1">
      <c r="A149"/>
      <c r="B149"/>
    </row>
    <row r="150" spans="1:2" ht="16" customHeight="1">
      <c r="A150"/>
      <c r="B150"/>
    </row>
    <row r="151" spans="1:2" ht="16" customHeight="1">
      <c r="A151"/>
      <c r="B151"/>
    </row>
    <row r="152" spans="1:2" ht="16" customHeight="1">
      <c r="A152"/>
      <c r="B152"/>
    </row>
    <row r="153" spans="1:2" ht="16" customHeight="1">
      <c r="A153"/>
      <c r="B153"/>
    </row>
    <row r="154" spans="1:2" ht="16" customHeight="1">
      <c r="A154"/>
      <c r="B154"/>
    </row>
    <row r="155" spans="1:2" ht="16" customHeight="1">
      <c r="A155"/>
      <c r="B155"/>
    </row>
    <row r="156" spans="1:2" ht="16" customHeight="1">
      <c r="A156"/>
      <c r="B156"/>
    </row>
    <row r="157" spans="1:2" ht="16" customHeight="1">
      <c r="A157"/>
      <c r="B157"/>
    </row>
    <row r="158" spans="1:2" ht="16" customHeight="1">
      <c r="A158"/>
      <c r="B158"/>
    </row>
    <row r="159" spans="1:2" ht="16" customHeight="1">
      <c r="A159"/>
      <c r="B159"/>
    </row>
    <row r="160" spans="1:2" ht="16" customHeight="1">
      <c r="A160"/>
      <c r="B160"/>
    </row>
    <row r="161" spans="1:2" ht="16" customHeight="1">
      <c r="A161"/>
      <c r="B161"/>
    </row>
    <row r="162" spans="1:2" ht="16" customHeight="1">
      <c r="A162"/>
      <c r="B162"/>
    </row>
    <row r="163" spans="1:2" ht="16" customHeight="1">
      <c r="A163"/>
      <c r="B163"/>
    </row>
    <row r="164" spans="1:2" ht="16" customHeight="1">
      <c r="A164"/>
      <c r="B164"/>
    </row>
    <row r="165" spans="1:2" ht="16" customHeight="1">
      <c r="A165"/>
      <c r="B165"/>
    </row>
    <row r="166" spans="1:2" ht="16" customHeight="1">
      <c r="A166"/>
      <c r="B166"/>
    </row>
    <row r="167" spans="1:2" ht="16" customHeight="1">
      <c r="A167"/>
      <c r="B167"/>
    </row>
    <row r="168" spans="1:2" ht="16" customHeight="1">
      <c r="A168"/>
      <c r="B168"/>
    </row>
    <row r="169" spans="1:2" ht="16" customHeight="1">
      <c r="A169"/>
      <c r="B169"/>
    </row>
    <row r="170" spans="1:2" ht="16" customHeight="1">
      <c r="A170"/>
      <c r="B170"/>
    </row>
    <row r="171" spans="1:2" ht="16" customHeight="1">
      <c r="A171"/>
      <c r="B171"/>
    </row>
    <row r="172" spans="1:2" ht="16" customHeight="1">
      <c r="A172"/>
      <c r="B172"/>
    </row>
    <row r="173" spans="1:2" ht="16" customHeight="1">
      <c r="A173"/>
      <c r="B173"/>
    </row>
    <row r="174" spans="1:2" ht="16" customHeight="1">
      <c r="A174"/>
      <c r="B174"/>
    </row>
    <row r="175" spans="1:2" ht="16" customHeight="1">
      <c r="A175"/>
      <c r="B175"/>
    </row>
    <row r="176" spans="1:2" ht="16" customHeight="1">
      <c r="A176"/>
      <c r="B176"/>
    </row>
    <row r="177" spans="1:2" ht="16" customHeight="1">
      <c r="A177"/>
      <c r="B177"/>
    </row>
    <row r="178" spans="1:2" ht="16" customHeight="1">
      <c r="A178"/>
      <c r="B178"/>
    </row>
    <row r="179" spans="1:2" ht="16" customHeight="1">
      <c r="A179"/>
      <c r="B179"/>
    </row>
    <row r="180" spans="1:2" ht="16" customHeight="1">
      <c r="A180"/>
      <c r="B180"/>
    </row>
    <row r="181" spans="1:2" ht="16" customHeight="1">
      <c r="A181"/>
      <c r="B181"/>
    </row>
    <row r="182" spans="1:2" ht="16" customHeight="1">
      <c r="A182"/>
      <c r="B182"/>
    </row>
    <row r="183" spans="1:2" ht="16" customHeight="1">
      <c r="A183"/>
      <c r="B183"/>
    </row>
    <row r="184" spans="1:2" ht="16" customHeight="1">
      <c r="A184"/>
      <c r="B184"/>
    </row>
    <row r="185" spans="1:2" ht="16" customHeight="1">
      <c r="A185"/>
      <c r="B185"/>
    </row>
    <row r="186" spans="1:2" ht="16" customHeight="1">
      <c r="A186"/>
      <c r="B186"/>
    </row>
    <row r="187" spans="1:2" ht="16" customHeight="1">
      <c r="A187"/>
      <c r="B187"/>
    </row>
    <row r="188" spans="1:2" ht="16" customHeight="1">
      <c r="A188"/>
      <c r="B188"/>
    </row>
    <row r="189" spans="1:2" ht="16" customHeight="1">
      <c r="A189"/>
      <c r="B189"/>
    </row>
    <row r="190" spans="1:2" ht="16" customHeight="1">
      <c r="A190"/>
      <c r="B190"/>
    </row>
    <row r="191" spans="1:2" ht="16" customHeight="1">
      <c r="A191"/>
      <c r="B191"/>
    </row>
    <row r="192" spans="1:2" ht="16" customHeight="1">
      <c r="A192"/>
      <c r="B192"/>
    </row>
    <row r="193" spans="1:2" ht="16" customHeight="1">
      <c r="A193"/>
      <c r="B193"/>
    </row>
    <row r="194" spans="1:2" ht="16" customHeight="1">
      <c r="A194"/>
      <c r="B194"/>
    </row>
    <row r="195" spans="1:2" ht="16" customHeight="1">
      <c r="A195"/>
      <c r="B195"/>
    </row>
    <row r="196" spans="1:2" ht="16" customHeight="1">
      <c r="A196"/>
      <c r="B196"/>
    </row>
    <row r="197" spans="1:2" ht="16" customHeight="1">
      <c r="A197"/>
      <c r="B197"/>
    </row>
    <row r="198" spans="1:2" ht="16" customHeight="1">
      <c r="A198"/>
      <c r="B198"/>
    </row>
    <row r="199" spans="1:2" ht="16" customHeight="1">
      <c r="A199"/>
      <c r="B199"/>
    </row>
    <row r="200" spans="1:2" ht="16" customHeight="1">
      <c r="A200"/>
      <c r="B200"/>
    </row>
    <row r="201" spans="1:2" ht="16" customHeight="1">
      <c r="A201"/>
      <c r="B201"/>
    </row>
    <row r="202" spans="1:2" ht="16" customHeight="1">
      <c r="A202"/>
      <c r="B202"/>
    </row>
    <row r="203" spans="1:2" ht="16" customHeight="1">
      <c r="A203"/>
      <c r="B203"/>
    </row>
    <row r="204" spans="1:2" ht="16" customHeight="1">
      <c r="A204"/>
      <c r="B204"/>
    </row>
    <row r="205" spans="1:2" ht="16" customHeight="1">
      <c r="A205"/>
      <c r="B205"/>
    </row>
    <row r="206" spans="1:2" ht="16" customHeight="1">
      <c r="A206"/>
      <c r="B206"/>
    </row>
    <row r="207" spans="1:2" ht="16" customHeight="1">
      <c r="A207"/>
      <c r="B207"/>
    </row>
    <row r="208" spans="1:2" ht="16" customHeight="1">
      <c r="A208"/>
      <c r="B208"/>
    </row>
    <row r="209" spans="1:2" ht="16" customHeight="1">
      <c r="A209"/>
      <c r="B209"/>
    </row>
    <row r="210" spans="1:2" ht="16" customHeight="1">
      <c r="A210"/>
      <c r="B210"/>
    </row>
    <row r="211" spans="1:2" ht="16" customHeight="1">
      <c r="A211"/>
      <c r="B211"/>
    </row>
    <row r="212" spans="1:2" ht="16" customHeight="1">
      <c r="A212"/>
      <c r="B212"/>
    </row>
    <row r="213" spans="1:2" ht="16" customHeight="1">
      <c r="A213"/>
      <c r="B213"/>
    </row>
    <row r="214" spans="1:2" ht="16" customHeight="1">
      <c r="A214"/>
      <c r="B214"/>
    </row>
    <row r="215" spans="1:2" ht="16" customHeight="1">
      <c r="A215"/>
      <c r="B215"/>
    </row>
    <row r="216" spans="1:2" ht="16" customHeight="1">
      <c r="A216"/>
      <c r="B216"/>
    </row>
    <row r="217" spans="1:2" ht="16" customHeight="1">
      <c r="A217"/>
      <c r="B217"/>
    </row>
    <row r="218" spans="1:2" ht="16" customHeight="1">
      <c r="A218"/>
      <c r="B218"/>
    </row>
    <row r="219" spans="1:2" ht="16" customHeight="1">
      <c r="A219"/>
      <c r="B219"/>
    </row>
    <row r="220" spans="1:2" ht="16" customHeight="1">
      <c r="A220"/>
      <c r="B220"/>
    </row>
    <row r="221" spans="1:2" ht="16" customHeight="1">
      <c r="A221"/>
      <c r="B221"/>
    </row>
    <row r="222" spans="1:2" ht="16" customHeight="1">
      <c r="A222"/>
      <c r="B222"/>
    </row>
    <row r="223" spans="1:2" ht="16" customHeight="1">
      <c r="A223"/>
      <c r="B223"/>
    </row>
  </sheetData>
  <phoneticPr fontId="10" type="noConversion"/>
  <pageMargins left="0.7" right="0.7" top="0.75" bottom="0.75" header="0.3" footer="0.3"/>
  <pageSetup orientation="portrait" r:id="rId1"/>
  <tableParts count="3">
    <tablePart r:id="rId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B7D38-129B-43DA-B16B-A7BDAA437A5C}">
  <dimension ref="A1:R45"/>
  <sheetViews>
    <sheetView zoomScale="85" zoomScaleNormal="85" workbookViewId="0">
      <selection activeCell="M12" sqref="M12"/>
    </sheetView>
  </sheetViews>
  <sheetFormatPr defaultRowHeight="14.5"/>
  <cols>
    <col min="1" max="1" width="4.36328125" bestFit="1" customWidth="1"/>
    <col min="2" max="2" width="10.36328125" bestFit="1" customWidth="1"/>
    <col min="3" max="3" width="17.26953125" bestFit="1" customWidth="1"/>
    <col min="4" max="4" width="8" customWidth="1"/>
    <col min="5" max="5" width="25.1796875" bestFit="1" customWidth="1"/>
    <col min="6" max="6" width="18.26953125" customWidth="1"/>
    <col min="7" max="7" width="16.54296875" bestFit="1" customWidth="1"/>
    <col min="8" max="8" width="7.453125" bestFit="1" customWidth="1"/>
    <col min="9" max="9" width="10.90625" customWidth="1"/>
    <col min="10" max="10" width="39.7265625" bestFit="1" customWidth="1"/>
    <col min="11" max="11" width="15" bestFit="1" customWidth="1"/>
    <col min="12" max="12" width="6.81640625" bestFit="1" customWidth="1"/>
    <col min="13" max="13" width="5.7265625" bestFit="1" customWidth="1"/>
    <col min="14" max="14" width="5.7265625" customWidth="1"/>
    <col min="15" max="15" width="34.6328125" bestFit="1" customWidth="1"/>
    <col min="16" max="16" width="17.08984375" bestFit="1" customWidth="1"/>
    <col min="17" max="17" width="5.54296875" bestFit="1" customWidth="1"/>
    <col min="18" max="18" width="11.6328125" bestFit="1" customWidth="1"/>
    <col min="19" max="19" width="10.81640625" bestFit="1" customWidth="1"/>
  </cols>
  <sheetData>
    <row r="1" spans="1:14">
      <c r="A1" t="s">
        <v>0</v>
      </c>
      <c r="B1" t="s">
        <v>769</v>
      </c>
      <c r="C1" t="s">
        <v>770</v>
      </c>
      <c r="D1" t="s">
        <v>771</v>
      </c>
      <c r="E1" t="s">
        <v>772</v>
      </c>
      <c r="F1" t="s">
        <v>773</v>
      </c>
      <c r="G1" t="s">
        <v>774</v>
      </c>
      <c r="H1" t="s">
        <v>1013</v>
      </c>
      <c r="I1" t="s">
        <v>775</v>
      </c>
      <c r="J1" t="s">
        <v>776</v>
      </c>
      <c r="K1" t="s">
        <v>1250</v>
      </c>
      <c r="L1" t="s">
        <v>1251</v>
      </c>
      <c r="M1" t="s">
        <v>1252</v>
      </c>
      <c r="N1" t="s">
        <v>1253</v>
      </c>
    </row>
    <row r="2" spans="1:14">
      <c r="A2">
        <v>1</v>
      </c>
      <c r="B2" t="s">
        <v>777</v>
      </c>
      <c r="C2" t="s">
        <v>778</v>
      </c>
      <c r="D2" t="s">
        <v>779</v>
      </c>
      <c r="E2" t="s">
        <v>780</v>
      </c>
      <c r="F2" t="s">
        <v>149</v>
      </c>
      <c r="G2" t="s">
        <v>6</v>
      </c>
      <c r="H2" t="s">
        <v>779</v>
      </c>
      <c r="I2" t="s">
        <v>761</v>
      </c>
      <c r="J2" t="s">
        <v>781</v>
      </c>
      <c r="K2" t="s">
        <v>761</v>
      </c>
      <c r="L2" t="s">
        <v>1257</v>
      </c>
      <c r="M2">
        <v>8</v>
      </c>
      <c r="N2">
        <v>2026</v>
      </c>
    </row>
    <row r="3" spans="1:14">
      <c r="A3">
        <v>2</v>
      </c>
      <c r="B3" t="s">
        <v>782</v>
      </c>
      <c r="C3" t="s">
        <v>783</v>
      </c>
      <c r="D3" t="s">
        <v>784</v>
      </c>
      <c r="E3" t="s">
        <v>780</v>
      </c>
      <c r="F3" t="s">
        <v>149</v>
      </c>
      <c r="G3" t="s">
        <v>785</v>
      </c>
      <c r="H3" t="s">
        <v>779</v>
      </c>
      <c r="I3" t="s">
        <v>590</v>
      </c>
      <c r="J3" t="s">
        <v>786</v>
      </c>
      <c r="K3" t="s">
        <v>590</v>
      </c>
      <c r="L3" t="s">
        <v>1257</v>
      </c>
      <c r="M3">
        <v>8</v>
      </c>
      <c r="N3">
        <v>2026</v>
      </c>
    </row>
    <row r="4" spans="1:14">
      <c r="A4">
        <v>3</v>
      </c>
      <c r="B4" t="s">
        <v>787</v>
      </c>
      <c r="C4" t="s">
        <v>788</v>
      </c>
      <c r="D4" t="s">
        <v>789</v>
      </c>
      <c r="E4" t="s">
        <v>780</v>
      </c>
      <c r="F4" t="s">
        <v>149</v>
      </c>
      <c r="G4" t="s">
        <v>785</v>
      </c>
      <c r="H4" t="s">
        <v>1014</v>
      </c>
      <c r="I4" t="s">
        <v>590</v>
      </c>
      <c r="J4" t="s">
        <v>786</v>
      </c>
      <c r="K4" t="s">
        <v>590</v>
      </c>
      <c r="L4" t="s">
        <v>1257</v>
      </c>
      <c r="M4">
        <v>8</v>
      </c>
      <c r="N4">
        <v>2026</v>
      </c>
    </row>
    <row r="5" spans="1:14">
      <c r="A5">
        <v>4</v>
      </c>
      <c r="B5" t="s">
        <v>790</v>
      </c>
      <c r="C5" t="s">
        <v>791</v>
      </c>
      <c r="D5" t="s">
        <v>792</v>
      </c>
      <c r="E5" t="s">
        <v>780</v>
      </c>
      <c r="F5" t="s">
        <v>149</v>
      </c>
      <c r="G5" t="s">
        <v>793</v>
      </c>
      <c r="H5" t="s">
        <v>1014</v>
      </c>
      <c r="I5" t="s">
        <v>562</v>
      </c>
      <c r="J5" t="s">
        <v>794</v>
      </c>
      <c r="K5" t="s">
        <v>562</v>
      </c>
      <c r="L5" t="s">
        <v>1257</v>
      </c>
      <c r="M5">
        <v>8</v>
      </c>
      <c r="N5">
        <v>2026</v>
      </c>
    </row>
    <row r="6" spans="1:14">
      <c r="A6">
        <v>5</v>
      </c>
      <c r="B6" t="s">
        <v>795</v>
      </c>
      <c r="C6" t="s">
        <v>796</v>
      </c>
      <c r="D6" t="s">
        <v>797</v>
      </c>
      <c r="E6" t="s">
        <v>780</v>
      </c>
      <c r="F6" t="s">
        <v>386</v>
      </c>
      <c r="G6" t="s">
        <v>798</v>
      </c>
      <c r="H6" t="s">
        <v>1014</v>
      </c>
      <c r="I6" t="s">
        <v>761</v>
      </c>
      <c r="J6" t="s">
        <v>799</v>
      </c>
      <c r="K6" t="s">
        <v>761</v>
      </c>
      <c r="L6" t="s">
        <v>1257</v>
      </c>
      <c r="M6">
        <v>8</v>
      </c>
      <c r="N6">
        <v>2026</v>
      </c>
    </row>
    <row r="7" spans="1:14">
      <c r="A7">
        <v>6</v>
      </c>
      <c r="B7" t="s">
        <v>800</v>
      </c>
      <c r="C7" t="s">
        <v>801</v>
      </c>
      <c r="D7" t="s">
        <v>802</v>
      </c>
      <c r="E7" t="s">
        <v>780</v>
      </c>
      <c r="F7" t="s">
        <v>803</v>
      </c>
      <c r="G7" t="s">
        <v>804</v>
      </c>
      <c r="H7" t="s">
        <v>1014</v>
      </c>
      <c r="I7" t="s">
        <v>552</v>
      </c>
      <c r="J7" t="s">
        <v>794</v>
      </c>
      <c r="K7" t="s">
        <v>552</v>
      </c>
      <c r="L7" t="s">
        <v>1257</v>
      </c>
      <c r="M7">
        <v>8</v>
      </c>
      <c r="N7">
        <v>2026</v>
      </c>
    </row>
    <row r="8" spans="1:14">
      <c r="A8">
        <v>7</v>
      </c>
      <c r="B8" t="s">
        <v>805</v>
      </c>
      <c r="C8" t="s">
        <v>806</v>
      </c>
      <c r="D8" t="s">
        <v>807</v>
      </c>
      <c r="E8" t="s">
        <v>780</v>
      </c>
      <c r="F8" t="s">
        <v>147</v>
      </c>
      <c r="G8" t="s">
        <v>6</v>
      </c>
      <c r="H8" t="s">
        <v>1014</v>
      </c>
      <c r="I8" t="s">
        <v>590</v>
      </c>
      <c r="J8" t="s">
        <v>794</v>
      </c>
      <c r="K8" t="s">
        <v>590</v>
      </c>
      <c r="L8" t="s">
        <v>1257</v>
      </c>
      <c r="M8">
        <v>8</v>
      </c>
      <c r="N8">
        <v>2026</v>
      </c>
    </row>
    <row r="9" spans="1:14">
      <c r="A9">
        <v>8</v>
      </c>
      <c r="B9" t="s">
        <v>808</v>
      </c>
      <c r="C9" t="s">
        <v>809</v>
      </c>
      <c r="D9" t="s">
        <v>802</v>
      </c>
      <c r="E9" t="s">
        <v>780</v>
      </c>
      <c r="F9" t="s">
        <v>149</v>
      </c>
      <c r="G9" t="s">
        <v>6</v>
      </c>
      <c r="H9" t="s">
        <v>1014</v>
      </c>
      <c r="I9" t="s">
        <v>549</v>
      </c>
      <c r="J9" t="s">
        <v>794</v>
      </c>
      <c r="K9" t="s">
        <v>549</v>
      </c>
      <c r="L9" t="s">
        <v>1257</v>
      </c>
      <c r="M9">
        <v>8</v>
      </c>
      <c r="N9">
        <v>2026</v>
      </c>
    </row>
    <row r="10" spans="1:14">
      <c r="A10">
        <v>9</v>
      </c>
      <c r="B10" t="s">
        <v>810</v>
      </c>
      <c r="C10" t="s">
        <v>811</v>
      </c>
      <c r="D10" t="s">
        <v>812</v>
      </c>
      <c r="E10" t="s">
        <v>780</v>
      </c>
      <c r="F10" t="s">
        <v>813</v>
      </c>
      <c r="G10" t="s">
        <v>6</v>
      </c>
      <c r="H10" t="s">
        <v>1014</v>
      </c>
      <c r="I10" t="s">
        <v>549</v>
      </c>
      <c r="J10" t="s">
        <v>794</v>
      </c>
      <c r="K10" t="s">
        <v>549</v>
      </c>
      <c r="L10" t="s">
        <v>1257</v>
      </c>
      <c r="M10">
        <v>8</v>
      </c>
      <c r="N10">
        <v>2026</v>
      </c>
    </row>
    <row r="11" spans="1:14">
      <c r="A11">
        <v>10</v>
      </c>
      <c r="B11" t="s">
        <v>814</v>
      </c>
      <c r="C11" t="s">
        <v>815</v>
      </c>
      <c r="D11" t="s">
        <v>816</v>
      </c>
      <c r="E11" t="s">
        <v>780</v>
      </c>
      <c r="F11" t="s">
        <v>28</v>
      </c>
      <c r="G11" t="s">
        <v>798</v>
      </c>
      <c r="H11" t="s">
        <v>779</v>
      </c>
      <c r="I11" t="s">
        <v>552</v>
      </c>
      <c r="J11" t="s">
        <v>781</v>
      </c>
      <c r="K11" t="s">
        <v>552</v>
      </c>
      <c r="L11" t="s">
        <v>1257</v>
      </c>
      <c r="M11">
        <v>8</v>
      </c>
      <c r="N11">
        <v>2026</v>
      </c>
    </row>
    <row r="12" spans="1:14">
      <c r="A12">
        <v>11</v>
      </c>
      <c r="B12" t="s">
        <v>817</v>
      </c>
      <c r="C12" t="s">
        <v>818</v>
      </c>
      <c r="D12" t="s">
        <v>819</v>
      </c>
      <c r="E12" t="s">
        <v>780</v>
      </c>
      <c r="F12" t="s">
        <v>820</v>
      </c>
      <c r="G12" t="s">
        <v>6</v>
      </c>
      <c r="H12" t="s">
        <v>779</v>
      </c>
      <c r="I12" t="s">
        <v>549</v>
      </c>
      <c r="J12" t="s">
        <v>786</v>
      </c>
      <c r="K12" t="s">
        <v>549</v>
      </c>
      <c r="L12" t="s">
        <v>1257</v>
      </c>
      <c r="M12">
        <v>8</v>
      </c>
      <c r="N12">
        <v>2026</v>
      </c>
    </row>
    <row r="13" spans="1:14">
      <c r="A13">
        <v>12</v>
      </c>
      <c r="B13" t="s">
        <v>323</v>
      </c>
      <c r="C13" t="s">
        <v>821</v>
      </c>
      <c r="D13" t="s">
        <v>822</v>
      </c>
      <c r="E13" t="s">
        <v>823</v>
      </c>
      <c r="F13" t="s">
        <v>148</v>
      </c>
      <c r="G13" t="s">
        <v>785</v>
      </c>
      <c r="H13" t="s">
        <v>1014</v>
      </c>
      <c r="I13" t="s">
        <v>824</v>
      </c>
      <c r="J13" t="s">
        <v>825</v>
      </c>
      <c r="K13" t="s">
        <v>824</v>
      </c>
      <c r="L13" t="s">
        <v>1304</v>
      </c>
      <c r="M13">
        <v>8</v>
      </c>
      <c r="N13">
        <v>2026</v>
      </c>
    </row>
    <row r="14" spans="1:14">
      <c r="A14">
        <v>13</v>
      </c>
      <c r="B14" t="s">
        <v>591</v>
      </c>
      <c r="C14" t="s">
        <v>826</v>
      </c>
      <c r="D14" t="s">
        <v>827</v>
      </c>
      <c r="E14" t="s">
        <v>823</v>
      </c>
      <c r="F14" t="s">
        <v>147</v>
      </c>
      <c r="G14" t="s">
        <v>798</v>
      </c>
      <c r="H14" t="s">
        <v>1014</v>
      </c>
      <c r="I14" t="s">
        <v>828</v>
      </c>
      <c r="J14" t="s">
        <v>825</v>
      </c>
      <c r="K14" t="s">
        <v>828</v>
      </c>
      <c r="L14" t="s">
        <v>1304</v>
      </c>
      <c r="M14">
        <v>8</v>
      </c>
      <c r="N14">
        <v>2026</v>
      </c>
    </row>
    <row r="15" spans="1:14">
      <c r="A15">
        <v>14</v>
      </c>
      <c r="B15" t="s">
        <v>470</v>
      </c>
      <c r="C15" t="s">
        <v>829</v>
      </c>
      <c r="D15" t="s">
        <v>830</v>
      </c>
      <c r="E15" t="s">
        <v>823</v>
      </c>
      <c r="F15" t="s">
        <v>147</v>
      </c>
      <c r="G15" t="s">
        <v>6</v>
      </c>
      <c r="H15" t="s">
        <v>1014</v>
      </c>
      <c r="I15" t="s">
        <v>831</v>
      </c>
      <c r="J15" t="s">
        <v>781</v>
      </c>
      <c r="K15" t="s">
        <v>831</v>
      </c>
      <c r="L15" t="s">
        <v>1304</v>
      </c>
      <c r="M15">
        <v>8</v>
      </c>
      <c r="N15">
        <v>2026</v>
      </c>
    </row>
    <row r="16" spans="1:14">
      <c r="A16">
        <v>1</v>
      </c>
      <c r="B16" t="s">
        <v>1113</v>
      </c>
      <c r="C16" t="s">
        <v>1254</v>
      </c>
      <c r="D16" t="s">
        <v>1255</v>
      </c>
      <c r="E16" t="s">
        <v>780</v>
      </c>
      <c r="F16" t="s">
        <v>1256</v>
      </c>
      <c r="G16" t="s">
        <v>798</v>
      </c>
      <c r="H16" t="s">
        <v>779</v>
      </c>
      <c r="I16" t="s">
        <v>978</v>
      </c>
      <c r="J16" t="s">
        <v>794</v>
      </c>
      <c r="K16" t="s">
        <v>978</v>
      </c>
      <c r="L16" t="s">
        <v>1257</v>
      </c>
      <c r="M16">
        <v>9</v>
      </c>
      <c r="N16">
        <v>2026</v>
      </c>
    </row>
    <row r="17" spans="1:18">
      <c r="A17">
        <v>2</v>
      </c>
      <c r="B17" t="s">
        <v>1258</v>
      </c>
      <c r="C17" t="s">
        <v>1259</v>
      </c>
      <c r="D17" t="s">
        <v>1260</v>
      </c>
      <c r="E17" t="s">
        <v>780</v>
      </c>
      <c r="F17" t="s">
        <v>147</v>
      </c>
      <c r="G17" t="s">
        <v>6</v>
      </c>
      <c r="H17" t="s">
        <v>1014</v>
      </c>
      <c r="I17" t="s">
        <v>978</v>
      </c>
      <c r="J17" t="s">
        <v>794</v>
      </c>
      <c r="K17" t="s">
        <v>978</v>
      </c>
      <c r="L17" t="s">
        <v>1257</v>
      </c>
      <c r="M17">
        <v>9</v>
      </c>
      <c r="N17">
        <v>2026</v>
      </c>
    </row>
    <row r="18" spans="1:18">
      <c r="A18">
        <v>3</v>
      </c>
      <c r="B18" t="s">
        <v>1261</v>
      </c>
      <c r="C18" t="s">
        <v>1262</v>
      </c>
      <c r="D18" t="s">
        <v>1263</v>
      </c>
      <c r="E18" t="s">
        <v>780</v>
      </c>
      <c r="F18" t="s">
        <v>148</v>
      </c>
      <c r="G18" t="s">
        <v>785</v>
      </c>
      <c r="H18" t="s">
        <v>1014</v>
      </c>
      <c r="I18" t="s">
        <v>978</v>
      </c>
      <c r="J18" t="s">
        <v>794</v>
      </c>
      <c r="K18" t="s">
        <v>978</v>
      </c>
      <c r="L18" t="s">
        <v>1257</v>
      </c>
      <c r="M18">
        <v>9</v>
      </c>
      <c r="N18">
        <v>2026</v>
      </c>
    </row>
    <row r="19" spans="1:18">
      <c r="A19">
        <v>4</v>
      </c>
      <c r="B19" t="s">
        <v>1264</v>
      </c>
      <c r="C19" t="s">
        <v>1265</v>
      </c>
      <c r="D19" t="s">
        <v>779</v>
      </c>
      <c r="E19" t="s">
        <v>780</v>
      </c>
      <c r="F19" t="s">
        <v>28</v>
      </c>
      <c r="G19" t="s">
        <v>798</v>
      </c>
      <c r="H19" t="s">
        <v>779</v>
      </c>
      <c r="I19" t="s">
        <v>1266</v>
      </c>
      <c r="J19" t="s">
        <v>25</v>
      </c>
      <c r="K19" t="s">
        <v>1266</v>
      </c>
      <c r="L19" t="s">
        <v>1257</v>
      </c>
      <c r="M19">
        <v>9</v>
      </c>
      <c r="N19">
        <v>2026</v>
      </c>
    </row>
    <row r="20" spans="1:18">
      <c r="A20">
        <v>5</v>
      </c>
      <c r="B20" t="s">
        <v>1267</v>
      </c>
      <c r="C20" t="s">
        <v>1268</v>
      </c>
      <c r="D20" t="s">
        <v>792</v>
      </c>
      <c r="E20" t="s">
        <v>780</v>
      </c>
      <c r="F20" t="s">
        <v>149</v>
      </c>
      <c r="G20" t="s">
        <v>6</v>
      </c>
      <c r="H20" t="s">
        <v>1014</v>
      </c>
      <c r="I20" t="s">
        <v>1269</v>
      </c>
      <c r="J20" t="s">
        <v>786</v>
      </c>
      <c r="K20" t="s">
        <v>1269</v>
      </c>
      <c r="L20" t="s">
        <v>1257</v>
      </c>
      <c r="M20">
        <v>9</v>
      </c>
      <c r="N20">
        <v>2026</v>
      </c>
    </row>
    <row r="21" spans="1:18">
      <c r="A21">
        <v>6</v>
      </c>
      <c r="B21" t="s">
        <v>1270</v>
      </c>
      <c r="C21" t="s">
        <v>849</v>
      </c>
      <c r="D21" t="s">
        <v>850</v>
      </c>
      <c r="E21" t="s">
        <v>780</v>
      </c>
      <c r="F21" t="s">
        <v>147</v>
      </c>
      <c r="G21" t="s">
        <v>6</v>
      </c>
      <c r="H21" t="s">
        <v>1014</v>
      </c>
      <c r="I21" t="s">
        <v>881</v>
      </c>
      <c r="J21" t="s">
        <v>825</v>
      </c>
      <c r="K21" t="s">
        <v>881</v>
      </c>
      <c r="L21" t="s">
        <v>1257</v>
      </c>
      <c r="M21">
        <v>9</v>
      </c>
      <c r="N21">
        <v>2026</v>
      </c>
    </row>
    <row r="22" spans="1:18">
      <c r="A22">
        <v>7</v>
      </c>
      <c r="B22" t="s">
        <v>1271</v>
      </c>
      <c r="C22" t="s">
        <v>1272</v>
      </c>
      <c r="D22" t="s">
        <v>1273</v>
      </c>
      <c r="E22" t="s">
        <v>780</v>
      </c>
      <c r="F22" t="s">
        <v>844</v>
      </c>
      <c r="G22" t="s">
        <v>6</v>
      </c>
      <c r="H22" t="s">
        <v>779</v>
      </c>
      <c r="I22" t="s">
        <v>881</v>
      </c>
      <c r="J22" t="s">
        <v>786</v>
      </c>
      <c r="K22" t="s">
        <v>881</v>
      </c>
      <c r="L22" t="s">
        <v>1257</v>
      </c>
      <c r="M22">
        <v>9</v>
      </c>
      <c r="N22">
        <v>2026</v>
      </c>
    </row>
    <row r="23" spans="1:18">
      <c r="A23">
        <v>8</v>
      </c>
      <c r="B23" t="s">
        <v>1274</v>
      </c>
      <c r="C23" t="s">
        <v>1275</v>
      </c>
      <c r="D23" t="s">
        <v>848</v>
      </c>
      <c r="E23" t="s">
        <v>780</v>
      </c>
      <c r="F23" t="s">
        <v>844</v>
      </c>
      <c r="G23" t="s">
        <v>6</v>
      </c>
      <c r="H23" t="s">
        <v>1014</v>
      </c>
      <c r="I23" t="s">
        <v>881</v>
      </c>
      <c r="J23" t="s">
        <v>786</v>
      </c>
      <c r="K23" t="s">
        <v>881</v>
      </c>
      <c r="L23" t="s">
        <v>1257</v>
      </c>
      <c r="M23">
        <v>9</v>
      </c>
      <c r="N23">
        <v>2026</v>
      </c>
    </row>
    <row r="24" spans="1:18">
      <c r="A24">
        <v>9</v>
      </c>
      <c r="B24" t="s">
        <v>1276</v>
      </c>
      <c r="C24" t="s">
        <v>1277</v>
      </c>
      <c r="D24" t="s">
        <v>1278</v>
      </c>
      <c r="E24" t="s">
        <v>780</v>
      </c>
      <c r="F24" t="s">
        <v>820</v>
      </c>
      <c r="G24" t="s">
        <v>6</v>
      </c>
      <c r="H24" t="s">
        <v>779</v>
      </c>
      <c r="I24" t="s">
        <v>953</v>
      </c>
      <c r="J24" t="s">
        <v>786</v>
      </c>
      <c r="K24" t="s">
        <v>953</v>
      </c>
      <c r="L24" t="s">
        <v>1257</v>
      </c>
      <c r="M24">
        <v>9</v>
      </c>
      <c r="N24">
        <v>2026</v>
      </c>
    </row>
    <row r="25" spans="1:18">
      <c r="A25">
        <v>10</v>
      </c>
      <c r="B25" t="s">
        <v>1279</v>
      </c>
      <c r="C25" t="s">
        <v>1280</v>
      </c>
      <c r="D25" t="s">
        <v>1281</v>
      </c>
      <c r="E25" t="s">
        <v>780</v>
      </c>
      <c r="F25" t="s">
        <v>1282</v>
      </c>
      <c r="G25" t="s">
        <v>6</v>
      </c>
      <c r="H25" t="s">
        <v>779</v>
      </c>
      <c r="I25" t="s">
        <v>937</v>
      </c>
      <c r="J25" t="s">
        <v>794</v>
      </c>
      <c r="K25" t="s">
        <v>937</v>
      </c>
      <c r="L25" t="s">
        <v>1257</v>
      </c>
      <c r="M25">
        <v>9</v>
      </c>
      <c r="N25">
        <v>2026</v>
      </c>
    </row>
    <row r="26" spans="1:18">
      <c r="A26">
        <v>11</v>
      </c>
      <c r="B26" t="s">
        <v>1283</v>
      </c>
      <c r="C26" t="s">
        <v>1284</v>
      </c>
      <c r="D26" t="s">
        <v>784</v>
      </c>
      <c r="E26" t="s">
        <v>780</v>
      </c>
      <c r="F26" t="s">
        <v>28</v>
      </c>
      <c r="G26" t="s">
        <v>1285</v>
      </c>
      <c r="H26" t="s">
        <v>779</v>
      </c>
      <c r="I26" t="s">
        <v>969</v>
      </c>
      <c r="J26" t="s">
        <v>781</v>
      </c>
      <c r="K26" t="s">
        <v>969</v>
      </c>
      <c r="L26" t="s">
        <v>1257</v>
      </c>
      <c r="M26">
        <v>9</v>
      </c>
      <c r="N26">
        <v>2026</v>
      </c>
    </row>
    <row r="27" spans="1:18">
      <c r="A27">
        <v>12</v>
      </c>
      <c r="B27" t="s">
        <v>1286</v>
      </c>
      <c r="C27" t="s">
        <v>1287</v>
      </c>
      <c r="D27" t="s">
        <v>848</v>
      </c>
      <c r="E27" t="s">
        <v>780</v>
      </c>
      <c r="F27" t="s">
        <v>28</v>
      </c>
      <c r="G27" t="s">
        <v>798</v>
      </c>
      <c r="H27" t="s">
        <v>1014</v>
      </c>
      <c r="I27" t="s">
        <v>967</v>
      </c>
      <c r="J27" t="s">
        <v>781</v>
      </c>
      <c r="K27" t="s">
        <v>967</v>
      </c>
      <c r="L27" t="s">
        <v>1257</v>
      </c>
      <c r="M27">
        <v>9</v>
      </c>
      <c r="N27">
        <v>2026</v>
      </c>
      <c r="O27" s="21" t="s">
        <v>832</v>
      </c>
      <c r="P27" s="21" t="s">
        <v>123</v>
      </c>
    </row>
    <row r="28" spans="1:18">
      <c r="A28">
        <v>13</v>
      </c>
      <c r="B28" t="s">
        <v>1288</v>
      </c>
      <c r="C28" t="s">
        <v>1289</v>
      </c>
      <c r="D28" t="s">
        <v>1255</v>
      </c>
      <c r="E28" t="s">
        <v>780</v>
      </c>
      <c r="F28" t="s">
        <v>1290</v>
      </c>
      <c r="G28" t="s">
        <v>1291</v>
      </c>
      <c r="H28" t="s">
        <v>779</v>
      </c>
      <c r="I28" t="s">
        <v>1266</v>
      </c>
      <c r="J28" t="s">
        <v>25</v>
      </c>
      <c r="K28" t="s">
        <v>1266</v>
      </c>
      <c r="L28" t="s">
        <v>1257</v>
      </c>
      <c r="M28">
        <v>9</v>
      </c>
      <c r="N28">
        <v>2026</v>
      </c>
      <c r="O28" s="21" t="s">
        <v>120</v>
      </c>
      <c r="P28" t="s">
        <v>1304</v>
      </c>
      <c r="Q28" t="s">
        <v>1257</v>
      </c>
      <c r="R28" t="s">
        <v>119</v>
      </c>
    </row>
    <row r="29" spans="1:18">
      <c r="A29">
        <v>14</v>
      </c>
      <c r="B29" t="s">
        <v>1292</v>
      </c>
      <c r="C29" t="s">
        <v>1293</v>
      </c>
      <c r="D29" t="s">
        <v>1294</v>
      </c>
      <c r="E29" t="s">
        <v>780</v>
      </c>
      <c r="F29" t="s">
        <v>1290</v>
      </c>
      <c r="G29" t="s">
        <v>1295</v>
      </c>
      <c r="H29" t="s">
        <v>1014</v>
      </c>
      <c r="I29" t="s">
        <v>1266</v>
      </c>
      <c r="J29" t="s">
        <v>25</v>
      </c>
      <c r="K29" t="s">
        <v>1266</v>
      </c>
      <c r="L29" t="s">
        <v>1257</v>
      </c>
      <c r="M29">
        <v>9</v>
      </c>
      <c r="N29">
        <v>2026</v>
      </c>
      <c r="O29" s="22" t="s">
        <v>28</v>
      </c>
      <c r="P29">
        <v>1</v>
      </c>
      <c r="Q29">
        <v>3</v>
      </c>
      <c r="R29">
        <v>4</v>
      </c>
    </row>
    <row r="30" spans="1:18">
      <c r="A30">
        <v>15</v>
      </c>
      <c r="B30" t="s">
        <v>1296</v>
      </c>
      <c r="C30" t="s">
        <v>1297</v>
      </c>
      <c r="D30" t="s">
        <v>1298</v>
      </c>
      <c r="E30" t="s">
        <v>780</v>
      </c>
      <c r="F30" t="s">
        <v>1290</v>
      </c>
      <c r="G30" t="s">
        <v>1291</v>
      </c>
      <c r="H30" t="s">
        <v>779</v>
      </c>
      <c r="I30" t="s">
        <v>1266</v>
      </c>
      <c r="J30" t="s">
        <v>25</v>
      </c>
      <c r="K30" t="s">
        <v>1266</v>
      </c>
      <c r="L30" t="s">
        <v>1257</v>
      </c>
      <c r="M30">
        <v>9</v>
      </c>
      <c r="N30">
        <v>2026</v>
      </c>
      <c r="O30" s="22" t="s">
        <v>147</v>
      </c>
      <c r="P30">
        <v>4</v>
      </c>
      <c r="Q30">
        <v>3</v>
      </c>
      <c r="R30">
        <v>7</v>
      </c>
    </row>
    <row r="31" spans="1:18">
      <c r="A31">
        <v>16</v>
      </c>
      <c r="B31" t="s">
        <v>1299</v>
      </c>
      <c r="C31" t="s">
        <v>1300</v>
      </c>
      <c r="D31" t="s">
        <v>851</v>
      </c>
      <c r="E31" t="s">
        <v>780</v>
      </c>
      <c r="F31" t="s">
        <v>386</v>
      </c>
      <c r="G31" t="s">
        <v>798</v>
      </c>
      <c r="H31" t="s">
        <v>1014</v>
      </c>
      <c r="I31" t="s">
        <v>857</v>
      </c>
      <c r="J31" t="s">
        <v>799</v>
      </c>
      <c r="K31" t="s">
        <v>857</v>
      </c>
      <c r="L31" t="s">
        <v>1257</v>
      </c>
      <c r="M31">
        <v>9</v>
      </c>
      <c r="N31">
        <v>2026</v>
      </c>
      <c r="O31" s="22" t="s">
        <v>1256</v>
      </c>
      <c r="Q31">
        <v>1</v>
      </c>
      <c r="R31">
        <v>1</v>
      </c>
    </row>
    <row r="32" spans="1:18">
      <c r="A32">
        <v>17</v>
      </c>
      <c r="B32" t="s">
        <v>452</v>
      </c>
      <c r="C32" t="s">
        <v>1301</v>
      </c>
      <c r="D32" t="s">
        <v>1302</v>
      </c>
      <c r="E32" t="s">
        <v>823</v>
      </c>
      <c r="F32" t="s">
        <v>813</v>
      </c>
      <c r="G32" t="s">
        <v>6</v>
      </c>
      <c r="H32" t="s">
        <v>779</v>
      </c>
      <c r="I32" t="s">
        <v>1303</v>
      </c>
      <c r="J32" t="s">
        <v>781</v>
      </c>
      <c r="K32" t="s">
        <v>1303</v>
      </c>
      <c r="L32" t="s">
        <v>1304</v>
      </c>
      <c r="M32">
        <v>9</v>
      </c>
      <c r="N32">
        <v>2026</v>
      </c>
      <c r="O32" s="22" t="s">
        <v>149</v>
      </c>
      <c r="P32">
        <v>4</v>
      </c>
      <c r="Q32">
        <v>3</v>
      </c>
      <c r="R32">
        <v>7</v>
      </c>
    </row>
    <row r="33" spans="1:18">
      <c r="A33">
        <v>18</v>
      </c>
      <c r="B33" t="s">
        <v>1190</v>
      </c>
      <c r="C33" t="s">
        <v>1305</v>
      </c>
      <c r="D33" t="s">
        <v>1306</v>
      </c>
      <c r="E33" t="s">
        <v>823</v>
      </c>
      <c r="F33" t="s">
        <v>813</v>
      </c>
      <c r="G33" t="s">
        <v>798</v>
      </c>
      <c r="H33" t="s">
        <v>1014</v>
      </c>
      <c r="I33" t="s">
        <v>1307</v>
      </c>
      <c r="J33" t="s">
        <v>825</v>
      </c>
      <c r="K33" t="s">
        <v>1307</v>
      </c>
      <c r="L33" t="s">
        <v>1304</v>
      </c>
      <c r="M33">
        <v>9</v>
      </c>
      <c r="N33">
        <v>2026</v>
      </c>
      <c r="O33" s="22" t="s">
        <v>148</v>
      </c>
      <c r="P33">
        <v>1</v>
      </c>
      <c r="Q33">
        <v>1</v>
      </c>
      <c r="R33">
        <v>2</v>
      </c>
    </row>
    <row r="34" spans="1:18">
      <c r="A34">
        <v>19</v>
      </c>
      <c r="B34" t="s">
        <v>1238</v>
      </c>
      <c r="C34" t="s">
        <v>1308</v>
      </c>
      <c r="D34" t="s">
        <v>1309</v>
      </c>
      <c r="E34" t="s">
        <v>823</v>
      </c>
      <c r="F34" t="s">
        <v>149</v>
      </c>
      <c r="G34" t="s">
        <v>798</v>
      </c>
      <c r="H34" t="s">
        <v>779</v>
      </c>
      <c r="I34" t="s">
        <v>1310</v>
      </c>
      <c r="J34" t="s">
        <v>825</v>
      </c>
      <c r="K34" t="s">
        <v>1310</v>
      </c>
      <c r="L34" t="s">
        <v>1304</v>
      </c>
      <c r="M34">
        <v>9</v>
      </c>
      <c r="N34">
        <v>2026</v>
      </c>
      <c r="O34" s="22" t="s">
        <v>803</v>
      </c>
      <c r="Q34">
        <v>1</v>
      </c>
      <c r="R34">
        <v>1</v>
      </c>
    </row>
    <row r="35" spans="1:18">
      <c r="A35">
        <v>20</v>
      </c>
      <c r="B35" t="s">
        <v>685</v>
      </c>
      <c r="C35" t="s">
        <v>1311</v>
      </c>
      <c r="D35" t="s">
        <v>1306</v>
      </c>
      <c r="E35" t="s">
        <v>823</v>
      </c>
      <c r="F35" t="s">
        <v>149</v>
      </c>
      <c r="G35" t="s">
        <v>6</v>
      </c>
      <c r="H35" t="s">
        <v>1014</v>
      </c>
      <c r="I35" t="s">
        <v>580</v>
      </c>
      <c r="J35" t="s">
        <v>825</v>
      </c>
      <c r="K35" t="s">
        <v>580</v>
      </c>
      <c r="L35" t="s">
        <v>1304</v>
      </c>
      <c r="M35">
        <v>9</v>
      </c>
      <c r="N35">
        <v>2026</v>
      </c>
      <c r="O35" s="22" t="s">
        <v>1282</v>
      </c>
      <c r="P35">
        <v>1</v>
      </c>
      <c r="Q35">
        <v>1</v>
      </c>
      <c r="R35">
        <v>2</v>
      </c>
    </row>
    <row r="36" spans="1:18">
      <c r="A36">
        <v>21</v>
      </c>
      <c r="B36" t="s">
        <v>1077</v>
      </c>
      <c r="C36" t="s">
        <v>1312</v>
      </c>
      <c r="D36" t="s">
        <v>1313</v>
      </c>
      <c r="E36" t="s">
        <v>823</v>
      </c>
      <c r="F36" t="s">
        <v>147</v>
      </c>
      <c r="G36" t="s">
        <v>6</v>
      </c>
      <c r="H36" t="s">
        <v>1014</v>
      </c>
      <c r="I36" t="s">
        <v>1314</v>
      </c>
      <c r="J36" t="s">
        <v>781</v>
      </c>
      <c r="K36" t="s">
        <v>1314</v>
      </c>
      <c r="L36" t="s">
        <v>1304</v>
      </c>
      <c r="M36">
        <v>9</v>
      </c>
      <c r="N36">
        <v>2026</v>
      </c>
      <c r="O36" s="22" t="s">
        <v>813</v>
      </c>
      <c r="P36">
        <v>2</v>
      </c>
      <c r="Q36">
        <v>1</v>
      </c>
      <c r="R36">
        <v>3</v>
      </c>
    </row>
    <row r="37" spans="1:18">
      <c r="A37">
        <v>22</v>
      </c>
      <c r="B37" t="s">
        <v>1315</v>
      </c>
      <c r="C37" t="s">
        <v>1316</v>
      </c>
      <c r="D37" t="s">
        <v>1317</v>
      </c>
      <c r="E37" t="s">
        <v>823</v>
      </c>
      <c r="F37" t="s">
        <v>1290</v>
      </c>
      <c r="G37" t="s">
        <v>1295</v>
      </c>
      <c r="H37" t="s">
        <v>779</v>
      </c>
      <c r="I37" t="s">
        <v>1266</v>
      </c>
      <c r="J37" t="s">
        <v>25</v>
      </c>
      <c r="K37" t="s">
        <v>1266</v>
      </c>
      <c r="L37" t="s">
        <v>1304</v>
      </c>
      <c r="M37">
        <v>9</v>
      </c>
      <c r="N37">
        <v>2026</v>
      </c>
      <c r="O37" s="22" t="s">
        <v>844</v>
      </c>
      <c r="P37">
        <v>1</v>
      </c>
      <c r="R37">
        <v>1</v>
      </c>
    </row>
    <row r="38" spans="1:18">
      <c r="A38">
        <v>23</v>
      </c>
      <c r="B38" t="s">
        <v>1318</v>
      </c>
      <c r="C38" t="s">
        <v>1319</v>
      </c>
      <c r="D38" t="s">
        <v>1320</v>
      </c>
      <c r="E38" t="s">
        <v>823</v>
      </c>
      <c r="F38" t="s">
        <v>1290</v>
      </c>
      <c r="G38" t="s">
        <v>1295</v>
      </c>
      <c r="H38" t="s">
        <v>779</v>
      </c>
      <c r="I38" t="s">
        <v>1266</v>
      </c>
      <c r="J38" t="s">
        <v>25</v>
      </c>
      <c r="K38" t="s">
        <v>1266</v>
      </c>
      <c r="L38" t="s">
        <v>1304</v>
      </c>
      <c r="M38">
        <v>9</v>
      </c>
      <c r="N38">
        <v>2026</v>
      </c>
      <c r="O38" s="22" t="s">
        <v>119</v>
      </c>
      <c r="P38">
        <v>14</v>
      </c>
      <c r="Q38">
        <v>14</v>
      </c>
      <c r="R38">
        <v>28</v>
      </c>
    </row>
    <row r="39" spans="1:18">
      <c r="A39">
        <v>24</v>
      </c>
      <c r="B39" t="s">
        <v>1321</v>
      </c>
      <c r="C39" t="s">
        <v>1322</v>
      </c>
      <c r="D39" t="s">
        <v>1323</v>
      </c>
      <c r="E39" t="s">
        <v>823</v>
      </c>
      <c r="F39" t="s">
        <v>1290</v>
      </c>
      <c r="G39" t="s">
        <v>1295</v>
      </c>
      <c r="H39" t="s">
        <v>779</v>
      </c>
      <c r="I39" t="s">
        <v>1266</v>
      </c>
      <c r="J39" t="s">
        <v>25</v>
      </c>
      <c r="K39" t="s">
        <v>1266</v>
      </c>
      <c r="L39" t="s">
        <v>1304</v>
      </c>
      <c r="M39">
        <v>9</v>
      </c>
      <c r="N39">
        <v>2026</v>
      </c>
    </row>
    <row r="40" spans="1:18">
      <c r="A40">
        <v>25</v>
      </c>
      <c r="B40" t="s">
        <v>421</v>
      </c>
      <c r="C40" t="s">
        <v>1324</v>
      </c>
      <c r="D40" t="s">
        <v>1325</v>
      </c>
      <c r="E40" t="s">
        <v>823</v>
      </c>
      <c r="F40" t="s">
        <v>149</v>
      </c>
      <c r="G40" t="s">
        <v>785</v>
      </c>
      <c r="H40" t="s">
        <v>1014</v>
      </c>
      <c r="I40" t="s">
        <v>1326</v>
      </c>
      <c r="J40" t="s">
        <v>781</v>
      </c>
      <c r="K40" t="s">
        <v>1326</v>
      </c>
      <c r="L40" t="s">
        <v>1304</v>
      </c>
      <c r="M40">
        <v>9</v>
      </c>
      <c r="N40">
        <v>2026</v>
      </c>
    </row>
    <row r="41" spans="1:18">
      <c r="A41">
        <v>26</v>
      </c>
      <c r="B41" t="s">
        <v>838</v>
      </c>
      <c r="C41" t="s">
        <v>839</v>
      </c>
      <c r="D41" t="s">
        <v>840</v>
      </c>
      <c r="E41" t="s">
        <v>823</v>
      </c>
      <c r="F41" t="s">
        <v>1282</v>
      </c>
      <c r="G41" t="s">
        <v>6</v>
      </c>
      <c r="H41" t="s">
        <v>779</v>
      </c>
      <c r="I41" t="s">
        <v>852</v>
      </c>
      <c r="J41" t="s">
        <v>794</v>
      </c>
      <c r="K41" t="s">
        <v>852</v>
      </c>
      <c r="L41" t="s">
        <v>1304</v>
      </c>
      <c r="M41">
        <v>9</v>
      </c>
      <c r="N41">
        <v>2026</v>
      </c>
    </row>
    <row r="42" spans="1:18">
      <c r="A42">
        <v>27</v>
      </c>
      <c r="B42" t="s">
        <v>841</v>
      </c>
      <c r="C42" t="s">
        <v>842</v>
      </c>
      <c r="D42" t="s">
        <v>843</v>
      </c>
      <c r="E42" t="s">
        <v>823</v>
      </c>
      <c r="F42" t="s">
        <v>844</v>
      </c>
      <c r="G42" t="s">
        <v>6</v>
      </c>
      <c r="H42" t="s">
        <v>1014</v>
      </c>
      <c r="I42" t="s">
        <v>853</v>
      </c>
      <c r="J42" t="s">
        <v>794</v>
      </c>
      <c r="K42" t="s">
        <v>853</v>
      </c>
      <c r="L42" t="s">
        <v>1304</v>
      </c>
      <c r="M42">
        <v>9</v>
      </c>
      <c r="N42">
        <v>2026</v>
      </c>
    </row>
    <row r="43" spans="1:18">
      <c r="A43">
        <v>28</v>
      </c>
      <c r="B43" t="s">
        <v>845</v>
      </c>
      <c r="C43" t="s">
        <v>846</v>
      </c>
      <c r="D43" t="s">
        <v>847</v>
      </c>
      <c r="E43" t="s">
        <v>823</v>
      </c>
      <c r="F43" t="s">
        <v>28</v>
      </c>
      <c r="G43" t="s">
        <v>798</v>
      </c>
      <c r="H43" t="s">
        <v>1014</v>
      </c>
      <c r="I43" t="s">
        <v>854</v>
      </c>
      <c r="J43" t="s">
        <v>781</v>
      </c>
      <c r="K43" t="s">
        <v>854</v>
      </c>
      <c r="L43" t="s">
        <v>1304</v>
      </c>
      <c r="M43">
        <v>9</v>
      </c>
      <c r="N43">
        <v>2026</v>
      </c>
    </row>
    <row r="44" spans="1:18">
      <c r="A44">
        <v>29</v>
      </c>
      <c r="B44" t="s">
        <v>805</v>
      </c>
      <c r="C44" t="s">
        <v>806</v>
      </c>
      <c r="D44" t="s">
        <v>807</v>
      </c>
      <c r="E44" t="s">
        <v>823</v>
      </c>
      <c r="F44" t="s">
        <v>147</v>
      </c>
      <c r="G44" t="s">
        <v>6</v>
      </c>
      <c r="H44" t="s">
        <v>1014</v>
      </c>
      <c r="I44" t="s">
        <v>590</v>
      </c>
      <c r="J44" t="s">
        <v>794</v>
      </c>
      <c r="K44" t="s">
        <v>590</v>
      </c>
      <c r="L44" t="s">
        <v>1304</v>
      </c>
      <c r="M44">
        <v>9</v>
      </c>
      <c r="N44">
        <v>2026</v>
      </c>
    </row>
    <row r="45" spans="1:18">
      <c r="A45">
        <v>30</v>
      </c>
      <c r="B45" t="s">
        <v>808</v>
      </c>
      <c r="C45" t="s">
        <v>809</v>
      </c>
      <c r="D45" t="s">
        <v>802</v>
      </c>
      <c r="E45" t="s">
        <v>823</v>
      </c>
      <c r="F45" t="s">
        <v>149</v>
      </c>
      <c r="G45" t="s">
        <v>6</v>
      </c>
      <c r="H45" t="s">
        <v>1014</v>
      </c>
      <c r="I45" t="s">
        <v>549</v>
      </c>
      <c r="J45" t="s">
        <v>794</v>
      </c>
      <c r="K45" t="s">
        <v>549</v>
      </c>
      <c r="L45" t="s">
        <v>1304</v>
      </c>
      <c r="M45">
        <v>9</v>
      </c>
      <c r="N45">
        <v>2026</v>
      </c>
    </row>
  </sheetData>
  <autoFilter ref="A1:N45" xr:uid="{28FB7D38-129B-43DA-B16B-A7BDAA437A5C}"/>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E9CB8-E872-4562-AB4E-34457B9AABA8}">
  <dimension ref="A1:N190"/>
  <sheetViews>
    <sheetView zoomScale="55" zoomScaleNormal="55" workbookViewId="0">
      <pane xSplit="1" ySplit="2" topLeftCell="B3" activePane="bottomRight" state="frozen"/>
      <selection activeCell="M12" sqref="M12"/>
      <selection pane="topRight" activeCell="M12" sqref="M12"/>
      <selection pane="bottomLeft" activeCell="M12" sqref="M12"/>
      <selection pane="bottomRight" activeCell="M12" sqref="M12"/>
    </sheetView>
  </sheetViews>
  <sheetFormatPr defaultColWidth="8.6328125" defaultRowHeight="14.5"/>
  <cols>
    <col min="1" max="1" width="34.453125" style="232" customWidth="1"/>
    <col min="2" max="2" width="14.90625" style="232" customWidth="1"/>
    <col min="3" max="3" width="12.1796875" style="232" customWidth="1"/>
    <col min="4" max="4" width="12.6328125" style="232" bestFit="1" customWidth="1"/>
    <col min="5" max="9" width="11.1796875" style="232" customWidth="1"/>
    <col min="10" max="13" width="12.26953125" style="232" customWidth="1"/>
    <col min="14" max="14" width="17.36328125" style="232" bestFit="1" customWidth="1"/>
    <col min="15" max="16384" width="8.6328125" style="232"/>
  </cols>
  <sheetData>
    <row r="1" spans="1:14" ht="15.5">
      <c r="A1" s="229" t="s">
        <v>1328</v>
      </c>
      <c r="B1" s="230" t="s">
        <v>1333</v>
      </c>
      <c r="C1" s="230" t="s">
        <v>1334</v>
      </c>
      <c r="D1" s="230" t="s">
        <v>1335</v>
      </c>
      <c r="E1" s="230" t="s">
        <v>1336</v>
      </c>
      <c r="F1" s="230" t="s">
        <v>1337</v>
      </c>
      <c r="G1" s="230" t="s">
        <v>1338</v>
      </c>
      <c r="H1" s="230" t="s">
        <v>1339</v>
      </c>
      <c r="I1" s="230" t="s">
        <v>1340</v>
      </c>
      <c r="J1" s="230" t="s">
        <v>1351</v>
      </c>
      <c r="K1" s="230" t="s">
        <v>1352</v>
      </c>
      <c r="L1" s="230" t="s">
        <v>1353</v>
      </c>
      <c r="M1" s="231" t="s">
        <v>1354</v>
      </c>
      <c r="N1" s="231" t="s">
        <v>1355</v>
      </c>
    </row>
    <row r="2" spans="1:14" s="235" customFormat="1" ht="31">
      <c r="A2" s="233"/>
      <c r="B2" s="234" t="s">
        <v>1364</v>
      </c>
      <c r="C2" s="234" t="s">
        <v>1365</v>
      </c>
      <c r="D2" s="234" t="s">
        <v>1366</v>
      </c>
      <c r="E2" s="234" t="s">
        <v>1367</v>
      </c>
      <c r="F2" s="234" t="s">
        <v>1368</v>
      </c>
      <c r="G2" s="234" t="s">
        <v>1369</v>
      </c>
      <c r="H2" s="234" t="s">
        <v>1370</v>
      </c>
      <c r="I2" s="234" t="s">
        <v>1371</v>
      </c>
      <c r="J2" s="234" t="s">
        <v>1372</v>
      </c>
      <c r="K2" s="234" t="s">
        <v>1373</v>
      </c>
      <c r="L2" s="234" t="s">
        <v>1374</v>
      </c>
      <c r="M2" s="234" t="s">
        <v>1375</v>
      </c>
      <c r="N2" s="287"/>
    </row>
    <row r="3" spans="1:14" ht="31">
      <c r="A3" s="236" t="s">
        <v>1376</v>
      </c>
      <c r="B3" s="237"/>
      <c r="C3" s="237"/>
      <c r="D3" s="237"/>
      <c r="E3" s="237"/>
      <c r="F3" s="237"/>
      <c r="G3" s="237"/>
      <c r="H3" s="237"/>
      <c r="I3" s="237"/>
      <c r="J3" s="237"/>
      <c r="K3" s="237"/>
      <c r="L3" s="237"/>
      <c r="M3" s="237"/>
    </row>
    <row r="4" spans="1:14" ht="15.5">
      <c r="A4" s="238" t="s">
        <v>1377</v>
      </c>
      <c r="B4" s="239">
        <v>0</v>
      </c>
      <c r="C4" s="239">
        <v>0</v>
      </c>
      <c r="D4" s="239">
        <v>0</v>
      </c>
      <c r="E4" s="239">
        <v>0</v>
      </c>
      <c r="F4" s="239">
        <v>0</v>
      </c>
      <c r="G4" s="239">
        <v>0</v>
      </c>
      <c r="H4" s="239">
        <v>0</v>
      </c>
      <c r="I4" s="239">
        <v>0</v>
      </c>
      <c r="J4" s="239">
        <v>0</v>
      </c>
      <c r="K4" s="239">
        <v>0</v>
      </c>
      <c r="L4" s="239">
        <v>0</v>
      </c>
      <c r="M4" s="239">
        <v>0</v>
      </c>
      <c r="N4" s="288"/>
    </row>
    <row r="5" spans="1:14" ht="15.5">
      <c r="A5" s="240" t="s">
        <v>1378</v>
      </c>
      <c r="B5" s="241">
        <v>5</v>
      </c>
      <c r="C5" s="241">
        <v>9</v>
      </c>
      <c r="D5" s="241">
        <v>2</v>
      </c>
      <c r="E5" s="241">
        <v>0</v>
      </c>
      <c r="F5" s="241">
        <v>0</v>
      </c>
      <c r="G5" s="241">
        <v>0</v>
      </c>
      <c r="H5" s="241">
        <v>0</v>
      </c>
      <c r="I5" s="241">
        <v>0</v>
      </c>
      <c r="J5" s="241">
        <v>0</v>
      </c>
      <c r="K5" s="241">
        <v>0</v>
      </c>
      <c r="L5" s="241">
        <v>0</v>
      </c>
      <c r="M5" s="241">
        <v>0</v>
      </c>
      <c r="N5" s="288"/>
    </row>
    <row r="6" spans="1:14" ht="15.5">
      <c r="A6" s="242" t="s">
        <v>1379</v>
      </c>
      <c r="B6" s="241">
        <v>117</v>
      </c>
      <c r="C6" s="241">
        <v>84</v>
      </c>
      <c r="D6" s="241">
        <v>2</v>
      </c>
      <c r="E6" s="241">
        <v>0</v>
      </c>
      <c r="F6" s="241">
        <v>0</v>
      </c>
      <c r="G6" s="241">
        <v>0</v>
      </c>
      <c r="H6" s="241">
        <v>0</v>
      </c>
      <c r="I6" s="241">
        <v>0</v>
      </c>
      <c r="J6" s="241">
        <v>0</v>
      </c>
      <c r="K6" s="241">
        <v>0</v>
      </c>
      <c r="L6" s="241">
        <v>0</v>
      </c>
      <c r="M6" s="241">
        <v>0</v>
      </c>
      <c r="N6" s="288"/>
    </row>
    <row r="7" spans="1:14" ht="15.5">
      <c r="A7" s="243" t="s">
        <v>1380</v>
      </c>
      <c r="B7" s="241">
        <v>52</v>
      </c>
      <c r="C7" s="241">
        <v>7</v>
      </c>
      <c r="D7" s="241">
        <v>1</v>
      </c>
      <c r="E7" s="241">
        <v>0</v>
      </c>
      <c r="F7" s="241">
        <v>0</v>
      </c>
      <c r="G7" s="241">
        <v>0</v>
      </c>
      <c r="H7" s="241">
        <v>0</v>
      </c>
      <c r="I7" s="241">
        <v>0</v>
      </c>
      <c r="J7" s="241">
        <v>0</v>
      </c>
      <c r="K7" s="241">
        <v>0</v>
      </c>
      <c r="L7" s="241">
        <v>0</v>
      </c>
      <c r="M7" s="241">
        <v>0</v>
      </c>
      <c r="N7" s="288"/>
    </row>
    <row r="8" spans="1:14" ht="15.5">
      <c r="A8" s="244" t="s">
        <v>1381</v>
      </c>
      <c r="B8" s="245">
        <v>187</v>
      </c>
      <c r="C8" s="245">
        <v>61</v>
      </c>
      <c r="D8" s="245">
        <v>1</v>
      </c>
      <c r="E8" s="245">
        <v>0</v>
      </c>
      <c r="F8" s="245">
        <v>0</v>
      </c>
      <c r="G8" s="245">
        <v>0</v>
      </c>
      <c r="H8" s="245">
        <v>0</v>
      </c>
      <c r="I8" s="245">
        <v>0</v>
      </c>
      <c r="J8" s="245">
        <v>0</v>
      </c>
      <c r="K8" s="245">
        <v>0</v>
      </c>
      <c r="L8" s="245">
        <v>0</v>
      </c>
      <c r="M8" s="245">
        <v>0</v>
      </c>
      <c r="N8" s="288"/>
    </row>
    <row r="9" spans="1:14" ht="15.5">
      <c r="A9" s="246" t="s">
        <v>1382</v>
      </c>
      <c r="B9" s="237"/>
      <c r="C9" s="237"/>
      <c r="D9" s="237"/>
      <c r="E9" s="237"/>
      <c r="F9" s="237"/>
      <c r="G9" s="237"/>
      <c r="H9" s="237"/>
      <c r="I9" s="237"/>
      <c r="J9" s="237"/>
      <c r="K9" s="237"/>
      <c r="L9" s="237"/>
      <c r="M9" s="237"/>
      <c r="N9" s="288"/>
    </row>
    <row r="10" spans="1:14" ht="15.5">
      <c r="A10" s="247" t="s">
        <v>1383</v>
      </c>
      <c r="B10" s="239">
        <v>30</v>
      </c>
      <c r="C10" s="239">
        <v>23</v>
      </c>
      <c r="D10" s="239">
        <v>3</v>
      </c>
      <c r="E10" s="239">
        <v>0</v>
      </c>
      <c r="F10" s="239">
        <v>0</v>
      </c>
      <c r="G10" s="239">
        <v>0</v>
      </c>
      <c r="H10" s="239">
        <v>0</v>
      </c>
      <c r="I10" s="239">
        <v>0</v>
      </c>
      <c r="J10" s="239">
        <v>0</v>
      </c>
      <c r="K10" s="239">
        <v>0</v>
      </c>
      <c r="L10" s="239">
        <v>0</v>
      </c>
      <c r="M10" s="239">
        <v>0</v>
      </c>
      <c r="N10" s="288"/>
    </row>
    <row r="11" spans="1:14" ht="15.5">
      <c r="A11" s="248" t="s">
        <v>1384</v>
      </c>
      <c r="B11" s="241">
        <v>144</v>
      </c>
      <c r="C11" s="241">
        <v>77</v>
      </c>
      <c r="D11" s="241">
        <v>2</v>
      </c>
      <c r="E11" s="241">
        <v>0</v>
      </c>
      <c r="F11" s="241">
        <v>0</v>
      </c>
      <c r="G11" s="241">
        <v>0</v>
      </c>
      <c r="H11" s="241">
        <v>0</v>
      </c>
      <c r="I11" s="241">
        <v>0</v>
      </c>
      <c r="J11" s="241">
        <v>0</v>
      </c>
      <c r="K11" s="241">
        <v>0</v>
      </c>
      <c r="L11" s="241">
        <v>0</v>
      </c>
      <c r="M11" s="241">
        <v>0</v>
      </c>
      <c r="N11" s="288"/>
    </row>
    <row r="12" spans="1:14" ht="15.5">
      <c r="A12" s="249" t="s">
        <v>1385</v>
      </c>
      <c r="B12" s="245">
        <v>185</v>
      </c>
      <c r="C12" s="245">
        <v>61</v>
      </c>
      <c r="D12" s="245">
        <v>1</v>
      </c>
      <c r="E12" s="245">
        <v>0</v>
      </c>
      <c r="F12" s="245">
        <v>0</v>
      </c>
      <c r="G12" s="245">
        <v>0</v>
      </c>
      <c r="H12" s="245">
        <v>0</v>
      </c>
      <c r="I12" s="245">
        <v>0</v>
      </c>
      <c r="J12" s="245">
        <v>0</v>
      </c>
      <c r="K12" s="245">
        <v>0</v>
      </c>
      <c r="L12" s="245">
        <v>0</v>
      </c>
      <c r="M12" s="245">
        <v>0</v>
      </c>
      <c r="N12" s="288"/>
    </row>
    <row r="13" spans="1:14" ht="15.5">
      <c r="A13" s="246" t="s">
        <v>1386</v>
      </c>
      <c r="B13" s="237"/>
      <c r="C13" s="237"/>
      <c r="D13" s="237"/>
      <c r="E13" s="237"/>
      <c r="F13" s="237"/>
      <c r="G13" s="237"/>
      <c r="H13" s="237"/>
      <c r="I13" s="237"/>
      <c r="J13" s="237"/>
      <c r="K13" s="237"/>
      <c r="L13" s="237"/>
      <c r="M13" s="237"/>
      <c r="N13" s="288"/>
    </row>
    <row r="14" spans="1:14" ht="15.5">
      <c r="A14" s="247" t="s">
        <v>1383</v>
      </c>
      <c r="B14" s="239">
        <v>9</v>
      </c>
      <c r="C14" s="239">
        <v>4</v>
      </c>
      <c r="D14" s="239">
        <v>0</v>
      </c>
      <c r="E14" s="239">
        <v>0</v>
      </c>
      <c r="F14" s="239">
        <v>0</v>
      </c>
      <c r="G14" s="239">
        <v>0</v>
      </c>
      <c r="H14" s="239">
        <v>0</v>
      </c>
      <c r="I14" s="239">
        <v>0</v>
      </c>
      <c r="J14" s="239">
        <v>0</v>
      </c>
      <c r="K14" s="239">
        <v>0</v>
      </c>
      <c r="L14" s="239">
        <v>0</v>
      </c>
      <c r="M14" s="239">
        <v>0</v>
      </c>
      <c r="N14" s="288"/>
    </row>
    <row r="15" spans="1:14" ht="15.5">
      <c r="A15" s="248" t="s">
        <v>1384</v>
      </c>
      <c r="B15" s="241">
        <v>16</v>
      </c>
      <c r="C15" s="241">
        <v>7</v>
      </c>
      <c r="D15" s="241">
        <v>1</v>
      </c>
      <c r="E15" s="241">
        <v>0</v>
      </c>
      <c r="F15" s="241">
        <v>0</v>
      </c>
      <c r="G15" s="241">
        <v>0</v>
      </c>
      <c r="H15" s="241">
        <v>0</v>
      </c>
      <c r="I15" s="241">
        <v>0</v>
      </c>
      <c r="J15" s="241">
        <v>0</v>
      </c>
      <c r="K15" s="241">
        <v>0</v>
      </c>
      <c r="L15" s="241">
        <v>0</v>
      </c>
      <c r="M15" s="241">
        <v>0</v>
      </c>
      <c r="N15" s="288"/>
    </row>
    <row r="16" spans="1:14" ht="15.5">
      <c r="A16" s="249" t="s">
        <v>1385</v>
      </c>
      <c r="B16" s="245">
        <v>8</v>
      </c>
      <c r="C16" s="245">
        <v>10</v>
      </c>
      <c r="D16" s="245">
        <v>0</v>
      </c>
      <c r="E16" s="245">
        <v>0</v>
      </c>
      <c r="F16" s="245">
        <v>0</v>
      </c>
      <c r="G16" s="245">
        <v>0</v>
      </c>
      <c r="H16" s="245">
        <v>0</v>
      </c>
      <c r="I16" s="245">
        <v>0</v>
      </c>
      <c r="J16" s="245">
        <v>0</v>
      </c>
      <c r="K16" s="245">
        <v>0</v>
      </c>
      <c r="L16" s="245">
        <v>0</v>
      </c>
      <c r="M16" s="245">
        <v>0</v>
      </c>
      <c r="N16" s="265"/>
    </row>
    <row r="17" spans="1:14" ht="31">
      <c r="A17" s="246" t="s">
        <v>1387</v>
      </c>
      <c r="B17" s="237"/>
      <c r="C17" s="237"/>
      <c r="D17" s="237"/>
      <c r="E17" s="237"/>
      <c r="F17" s="237"/>
      <c r="G17" s="237"/>
      <c r="H17" s="237"/>
      <c r="I17" s="237"/>
      <c r="J17" s="237"/>
      <c r="K17" s="237"/>
      <c r="L17" s="237"/>
      <c r="M17" s="237"/>
      <c r="N17" s="265"/>
    </row>
    <row r="18" spans="1:14" ht="15.5">
      <c r="A18" s="247" t="s">
        <v>1383</v>
      </c>
      <c r="B18" s="250">
        <v>0.3</v>
      </c>
      <c r="C18" s="250">
        <v>0.1739</v>
      </c>
      <c r="D18" s="251">
        <v>0</v>
      </c>
      <c r="E18" s="252"/>
      <c r="F18" s="252"/>
      <c r="G18" s="252"/>
      <c r="H18" s="252"/>
      <c r="I18" s="252"/>
      <c r="J18" s="252"/>
      <c r="K18" s="252"/>
      <c r="L18" s="252"/>
      <c r="M18" s="252"/>
      <c r="N18" s="265"/>
    </row>
    <row r="19" spans="1:14" ht="15.5">
      <c r="A19" s="248" t="s">
        <v>1384</v>
      </c>
      <c r="B19" s="253">
        <v>0.1111</v>
      </c>
      <c r="C19" s="253">
        <v>9.0899999999999995E-2</v>
      </c>
      <c r="D19" s="254">
        <v>0.5</v>
      </c>
      <c r="E19" s="255"/>
      <c r="F19" s="255"/>
      <c r="G19" s="255"/>
      <c r="H19" s="255"/>
      <c r="I19" s="255"/>
      <c r="J19" s="255"/>
      <c r="K19" s="255"/>
      <c r="L19" s="255"/>
      <c r="M19" s="255"/>
      <c r="N19" s="265"/>
    </row>
    <row r="20" spans="1:14" ht="15.5">
      <c r="A20" s="256" t="s">
        <v>1385</v>
      </c>
      <c r="B20" s="257">
        <v>4.3200000000000002E-2</v>
      </c>
      <c r="C20" s="257">
        <v>0.16389999999999999</v>
      </c>
      <c r="D20" s="258">
        <v>0</v>
      </c>
      <c r="E20" s="259"/>
      <c r="F20" s="259"/>
      <c r="G20" s="259"/>
      <c r="H20" s="259"/>
      <c r="I20" s="259"/>
      <c r="J20" s="259"/>
      <c r="K20" s="259"/>
      <c r="L20" s="259"/>
      <c r="M20" s="259"/>
      <c r="N20" s="265"/>
    </row>
    <row r="21" spans="1:14" ht="15.5">
      <c r="A21" s="246" t="s">
        <v>1414</v>
      </c>
      <c r="B21" s="237"/>
      <c r="C21" s="237"/>
      <c r="D21" s="237"/>
      <c r="E21" s="237"/>
      <c r="F21" s="237"/>
      <c r="G21" s="237"/>
      <c r="H21" s="237"/>
      <c r="I21" s="237"/>
      <c r="J21" s="237"/>
      <c r="K21" s="237"/>
      <c r="L21" s="237"/>
      <c r="M21" s="237"/>
      <c r="N21" s="266"/>
    </row>
    <row r="22" spans="1:14" ht="15.5">
      <c r="A22" s="247" t="s">
        <v>1388</v>
      </c>
      <c r="B22" s="239">
        <v>3</v>
      </c>
      <c r="C22" s="239">
        <v>0</v>
      </c>
      <c r="D22" s="239">
        <v>0</v>
      </c>
      <c r="E22" s="239">
        <v>0</v>
      </c>
      <c r="F22" s="239">
        <v>0</v>
      </c>
      <c r="G22" s="239">
        <v>0</v>
      </c>
      <c r="H22" s="239">
        <v>0</v>
      </c>
      <c r="I22" s="239">
        <v>0</v>
      </c>
      <c r="J22" s="239">
        <v>0</v>
      </c>
      <c r="K22" s="239">
        <v>0</v>
      </c>
      <c r="L22" s="239">
        <v>0</v>
      </c>
      <c r="M22" s="239">
        <v>0</v>
      </c>
      <c r="N22" s="266"/>
    </row>
    <row r="23" spans="1:14" ht="31">
      <c r="A23" s="248" t="s">
        <v>1389</v>
      </c>
      <c r="B23" s="241">
        <v>2</v>
      </c>
      <c r="C23" s="241">
        <v>0</v>
      </c>
      <c r="D23" s="241">
        <v>0</v>
      </c>
      <c r="E23" s="241">
        <v>0</v>
      </c>
      <c r="F23" s="241">
        <v>0</v>
      </c>
      <c r="G23" s="241">
        <v>0</v>
      </c>
      <c r="H23" s="241">
        <v>0</v>
      </c>
      <c r="I23" s="241">
        <v>0</v>
      </c>
      <c r="J23" s="241">
        <v>0</v>
      </c>
      <c r="K23" s="241">
        <v>0</v>
      </c>
      <c r="L23" s="241">
        <v>0</v>
      </c>
      <c r="M23" s="241">
        <v>0</v>
      </c>
      <c r="N23" s="266"/>
    </row>
    <row r="24" spans="1:14" ht="15.5">
      <c r="A24" s="248" t="s">
        <v>1390</v>
      </c>
      <c r="B24" s="241">
        <v>1</v>
      </c>
      <c r="C24" s="241">
        <v>0</v>
      </c>
      <c r="D24" s="241">
        <v>0</v>
      </c>
      <c r="E24" s="241">
        <v>0</v>
      </c>
      <c r="F24" s="241">
        <v>0</v>
      </c>
      <c r="G24" s="241">
        <v>0</v>
      </c>
      <c r="H24" s="241">
        <v>0</v>
      </c>
      <c r="I24" s="241">
        <v>0</v>
      </c>
      <c r="J24" s="241">
        <v>0</v>
      </c>
      <c r="K24" s="241">
        <v>0</v>
      </c>
      <c r="L24" s="241">
        <v>0</v>
      </c>
      <c r="M24" s="241">
        <v>0</v>
      </c>
    </row>
    <row r="25" spans="1:14" ht="15.5">
      <c r="A25" s="248" t="s">
        <v>1391</v>
      </c>
      <c r="B25" s="241">
        <v>1</v>
      </c>
      <c r="C25" s="241">
        <v>0</v>
      </c>
      <c r="D25" s="241">
        <v>0</v>
      </c>
      <c r="E25" s="241">
        <v>0</v>
      </c>
      <c r="F25" s="241">
        <v>0</v>
      </c>
      <c r="G25" s="241">
        <v>0</v>
      </c>
      <c r="H25" s="241">
        <v>0</v>
      </c>
      <c r="I25" s="241">
        <v>0</v>
      </c>
      <c r="J25" s="241">
        <v>0</v>
      </c>
      <c r="K25" s="241">
        <v>0</v>
      </c>
      <c r="L25" s="241">
        <v>0</v>
      </c>
      <c r="M25" s="241">
        <v>0</v>
      </c>
    </row>
    <row r="26" spans="1:14" ht="15.5">
      <c r="A26" s="248" t="s">
        <v>1392</v>
      </c>
      <c r="B26" s="241">
        <v>0</v>
      </c>
      <c r="C26" s="241">
        <v>0</v>
      </c>
      <c r="D26" s="241">
        <v>0</v>
      </c>
      <c r="E26" s="241">
        <v>0</v>
      </c>
      <c r="F26" s="241">
        <v>0</v>
      </c>
      <c r="G26" s="241">
        <v>0</v>
      </c>
      <c r="H26" s="241">
        <v>0</v>
      </c>
      <c r="I26" s="241">
        <v>0</v>
      </c>
      <c r="J26" s="241">
        <v>0</v>
      </c>
      <c r="K26" s="241">
        <v>0</v>
      </c>
      <c r="L26" s="241">
        <v>0</v>
      </c>
      <c r="M26" s="241">
        <v>0</v>
      </c>
    </row>
    <row r="27" spans="1:14" ht="15.5">
      <c r="A27" s="248" t="s">
        <v>1393</v>
      </c>
      <c r="B27" s="241">
        <v>0</v>
      </c>
      <c r="C27" s="241">
        <v>0</v>
      </c>
      <c r="D27" s="241">
        <v>0</v>
      </c>
      <c r="E27" s="241">
        <v>0</v>
      </c>
      <c r="F27" s="241">
        <v>0</v>
      </c>
      <c r="G27" s="241">
        <v>0</v>
      </c>
      <c r="H27" s="241">
        <v>0</v>
      </c>
      <c r="I27" s="241">
        <v>0</v>
      </c>
      <c r="J27" s="241">
        <v>0</v>
      </c>
      <c r="K27" s="241">
        <v>0</v>
      </c>
      <c r="L27" s="241">
        <v>0</v>
      </c>
      <c r="M27" s="241">
        <v>0</v>
      </c>
    </row>
    <row r="28" spans="1:14" ht="15.5">
      <c r="A28" s="248" t="s">
        <v>1394</v>
      </c>
      <c r="B28" s="241">
        <v>0</v>
      </c>
      <c r="C28" s="241">
        <v>0</v>
      </c>
      <c r="D28" s="241">
        <v>0</v>
      </c>
      <c r="E28" s="241">
        <v>0</v>
      </c>
      <c r="F28" s="241">
        <v>0</v>
      </c>
      <c r="G28" s="241">
        <v>0</v>
      </c>
      <c r="H28" s="241">
        <v>0</v>
      </c>
      <c r="I28" s="241">
        <v>0</v>
      </c>
      <c r="J28" s="241">
        <v>0</v>
      </c>
      <c r="K28" s="241">
        <v>0</v>
      </c>
      <c r="L28" s="241">
        <v>0</v>
      </c>
      <c r="M28" s="241">
        <v>0</v>
      </c>
    </row>
    <row r="29" spans="1:14" ht="15.5">
      <c r="A29" s="248" t="s">
        <v>1395</v>
      </c>
      <c r="B29" s="241">
        <v>0</v>
      </c>
      <c r="C29" s="241">
        <v>0</v>
      </c>
      <c r="D29" s="241">
        <v>0</v>
      </c>
      <c r="E29" s="241">
        <v>0</v>
      </c>
      <c r="F29" s="241">
        <v>0</v>
      </c>
      <c r="G29" s="241">
        <v>0</v>
      </c>
      <c r="H29" s="241">
        <v>0</v>
      </c>
      <c r="I29" s="241">
        <v>0</v>
      </c>
      <c r="J29" s="241">
        <v>0</v>
      </c>
      <c r="K29" s="241">
        <v>0</v>
      </c>
      <c r="L29" s="241">
        <v>0</v>
      </c>
      <c r="M29" s="241">
        <v>0</v>
      </c>
    </row>
    <row r="30" spans="1:14" ht="15.5">
      <c r="A30" s="248" t="s">
        <v>1396</v>
      </c>
      <c r="B30" s="241">
        <v>11</v>
      </c>
      <c r="C30" s="241">
        <v>0</v>
      </c>
      <c r="D30" s="241">
        <v>0</v>
      </c>
      <c r="E30" s="241">
        <v>0</v>
      </c>
      <c r="F30" s="241">
        <v>0</v>
      </c>
      <c r="G30" s="241">
        <v>0</v>
      </c>
      <c r="H30" s="241">
        <v>0</v>
      </c>
      <c r="I30" s="241">
        <v>0</v>
      </c>
      <c r="J30" s="241">
        <v>0</v>
      </c>
      <c r="K30" s="241">
        <v>0</v>
      </c>
      <c r="L30" s="241">
        <v>0</v>
      </c>
      <c r="M30" s="241">
        <v>0</v>
      </c>
    </row>
    <row r="31" spans="1:14" ht="15.5">
      <c r="A31" s="248" t="s">
        <v>1397</v>
      </c>
      <c r="B31" s="241">
        <v>0</v>
      </c>
      <c r="C31" s="241">
        <v>0</v>
      </c>
      <c r="D31" s="241">
        <v>0</v>
      </c>
      <c r="E31" s="241">
        <v>0</v>
      </c>
      <c r="F31" s="241">
        <v>0</v>
      </c>
      <c r="G31" s="241">
        <v>0</v>
      </c>
      <c r="H31" s="241">
        <v>0</v>
      </c>
      <c r="I31" s="241">
        <v>0</v>
      </c>
      <c r="J31" s="241">
        <v>0</v>
      </c>
      <c r="K31" s="241">
        <v>0</v>
      </c>
      <c r="L31" s="241">
        <v>0</v>
      </c>
      <c r="M31" s="241">
        <v>0</v>
      </c>
    </row>
    <row r="32" spans="1:14" ht="15.5">
      <c r="A32" s="249" t="s">
        <v>1398</v>
      </c>
      <c r="B32" s="245">
        <v>0</v>
      </c>
      <c r="C32" s="245">
        <v>0</v>
      </c>
      <c r="D32" s="245">
        <v>0</v>
      </c>
      <c r="E32" s="245">
        <v>0</v>
      </c>
      <c r="F32" s="245">
        <v>0</v>
      </c>
      <c r="G32" s="245">
        <v>0</v>
      </c>
      <c r="H32" s="245">
        <v>0</v>
      </c>
      <c r="I32" s="245">
        <v>0</v>
      </c>
      <c r="J32" s="245">
        <v>0</v>
      </c>
      <c r="K32" s="245">
        <v>0</v>
      </c>
      <c r="L32" s="245">
        <v>0</v>
      </c>
      <c r="M32" s="245">
        <v>0</v>
      </c>
    </row>
    <row r="33" spans="1:14" ht="31">
      <c r="A33" s="246" t="s">
        <v>1415</v>
      </c>
      <c r="B33" s="237"/>
      <c r="C33" s="237"/>
      <c r="D33" s="237"/>
      <c r="E33" s="237"/>
      <c r="F33" s="237"/>
      <c r="G33" s="237"/>
      <c r="H33" s="237"/>
      <c r="I33" s="237"/>
      <c r="J33" s="237"/>
      <c r="K33" s="237"/>
      <c r="L33" s="237"/>
      <c r="M33" s="237"/>
      <c r="N33" s="264"/>
    </row>
    <row r="34" spans="1:14" ht="15.5">
      <c r="A34" s="247" t="s">
        <v>1388</v>
      </c>
      <c r="B34" s="239">
        <v>1</v>
      </c>
      <c r="C34" s="239">
        <v>2</v>
      </c>
      <c r="D34" s="239">
        <v>0</v>
      </c>
      <c r="E34" s="239">
        <v>0</v>
      </c>
      <c r="F34" s="239">
        <v>0</v>
      </c>
      <c r="G34" s="239">
        <v>0</v>
      </c>
      <c r="H34" s="239">
        <v>0</v>
      </c>
      <c r="I34" s="239">
        <v>0</v>
      </c>
      <c r="J34" s="239">
        <v>0</v>
      </c>
      <c r="K34" s="239">
        <v>0</v>
      </c>
      <c r="L34" s="239">
        <v>0</v>
      </c>
      <c r="M34" s="239">
        <v>0</v>
      </c>
      <c r="N34" s="264"/>
    </row>
    <row r="35" spans="1:14" ht="15.5">
      <c r="A35" s="248" t="s">
        <v>1399</v>
      </c>
      <c r="B35" s="241">
        <v>17</v>
      </c>
      <c r="C35" s="241">
        <v>2</v>
      </c>
      <c r="D35" s="241">
        <v>0</v>
      </c>
      <c r="E35" s="241">
        <v>0</v>
      </c>
      <c r="F35" s="241">
        <v>0</v>
      </c>
      <c r="G35" s="241">
        <v>0</v>
      </c>
      <c r="H35" s="241">
        <v>0</v>
      </c>
      <c r="I35" s="241">
        <v>0</v>
      </c>
      <c r="J35" s="241">
        <v>0</v>
      </c>
      <c r="K35" s="241">
        <v>0</v>
      </c>
      <c r="L35" s="241">
        <v>0</v>
      </c>
      <c r="M35" s="241">
        <v>0</v>
      </c>
      <c r="N35" s="264"/>
    </row>
    <row r="36" spans="1:14" ht="15.5">
      <c r="A36" s="248" t="s">
        <v>1400</v>
      </c>
      <c r="B36" s="241">
        <v>0</v>
      </c>
      <c r="C36" s="241">
        <v>0</v>
      </c>
      <c r="D36" s="241">
        <v>0</v>
      </c>
      <c r="E36" s="241">
        <v>0</v>
      </c>
      <c r="F36" s="241">
        <v>0</v>
      </c>
      <c r="G36" s="241">
        <v>0</v>
      </c>
      <c r="H36" s="241">
        <v>0</v>
      </c>
      <c r="I36" s="241">
        <v>0</v>
      </c>
      <c r="J36" s="241">
        <v>0</v>
      </c>
      <c r="K36" s="241">
        <v>0</v>
      </c>
      <c r="L36" s="241">
        <v>0</v>
      </c>
      <c r="M36" s="241">
        <v>0</v>
      </c>
      <c r="N36" s="264"/>
    </row>
    <row r="37" spans="1:14" ht="15.5">
      <c r="A37" s="248" t="s">
        <v>1391</v>
      </c>
      <c r="B37" s="241">
        <v>2</v>
      </c>
      <c r="C37" s="241">
        <v>0</v>
      </c>
      <c r="D37" s="241">
        <v>0</v>
      </c>
      <c r="E37" s="241">
        <v>0</v>
      </c>
      <c r="F37" s="241">
        <v>0</v>
      </c>
      <c r="G37" s="241">
        <v>0</v>
      </c>
      <c r="H37" s="241">
        <v>0</v>
      </c>
      <c r="I37" s="241">
        <v>0</v>
      </c>
      <c r="J37" s="241">
        <v>0</v>
      </c>
      <c r="K37" s="241">
        <v>0</v>
      </c>
      <c r="L37" s="241">
        <v>0</v>
      </c>
      <c r="M37" s="241">
        <v>0</v>
      </c>
      <c r="N37" s="264"/>
    </row>
    <row r="38" spans="1:14" ht="15.5">
      <c r="A38" s="248" t="s">
        <v>1392</v>
      </c>
      <c r="B38" s="241">
        <v>4</v>
      </c>
      <c r="C38" s="241">
        <v>1</v>
      </c>
      <c r="D38" s="241">
        <v>0</v>
      </c>
      <c r="E38" s="241">
        <v>0</v>
      </c>
      <c r="F38" s="241">
        <v>0</v>
      </c>
      <c r="G38" s="241">
        <v>0</v>
      </c>
      <c r="H38" s="241">
        <v>0</v>
      </c>
      <c r="I38" s="241">
        <v>0</v>
      </c>
      <c r="J38" s="241">
        <v>0</v>
      </c>
      <c r="K38" s="241">
        <v>0</v>
      </c>
      <c r="L38" s="241">
        <v>0</v>
      </c>
      <c r="M38" s="241">
        <v>0</v>
      </c>
      <c r="N38" s="264"/>
    </row>
    <row r="39" spans="1:14" ht="15.5">
      <c r="A39" s="248" t="s">
        <v>1393</v>
      </c>
      <c r="B39" s="241">
        <v>1</v>
      </c>
      <c r="C39" s="241">
        <v>3</v>
      </c>
      <c r="D39" s="241">
        <v>0</v>
      </c>
      <c r="E39" s="241">
        <v>0</v>
      </c>
      <c r="F39" s="241">
        <v>0</v>
      </c>
      <c r="G39" s="241">
        <v>0</v>
      </c>
      <c r="H39" s="241">
        <v>0</v>
      </c>
      <c r="I39" s="241">
        <v>0</v>
      </c>
      <c r="J39" s="241">
        <v>0</v>
      </c>
      <c r="K39" s="241">
        <v>0</v>
      </c>
      <c r="L39" s="241">
        <v>0</v>
      </c>
      <c r="M39" s="241">
        <v>0</v>
      </c>
      <c r="N39" s="264"/>
    </row>
    <row r="40" spans="1:14" ht="15.5">
      <c r="A40" s="248" t="s">
        <v>1394</v>
      </c>
      <c r="B40" s="241">
        <v>0</v>
      </c>
      <c r="C40" s="241">
        <v>0</v>
      </c>
      <c r="D40" s="241">
        <v>0</v>
      </c>
      <c r="E40" s="241">
        <v>0</v>
      </c>
      <c r="F40" s="241">
        <v>0</v>
      </c>
      <c r="G40" s="241">
        <v>0</v>
      </c>
      <c r="H40" s="241">
        <v>0</v>
      </c>
      <c r="I40" s="241">
        <v>0</v>
      </c>
      <c r="J40" s="241">
        <v>0</v>
      </c>
      <c r="K40" s="241">
        <v>0</v>
      </c>
      <c r="L40" s="241">
        <v>0</v>
      </c>
      <c r="M40" s="241">
        <v>0</v>
      </c>
      <c r="N40" s="264"/>
    </row>
    <row r="41" spans="1:14" ht="15.5">
      <c r="A41" s="248" t="s">
        <v>1395</v>
      </c>
      <c r="B41" s="241">
        <v>0</v>
      </c>
      <c r="C41" s="241">
        <v>0</v>
      </c>
      <c r="D41" s="241">
        <v>0</v>
      </c>
      <c r="E41" s="241">
        <v>0</v>
      </c>
      <c r="F41" s="241">
        <v>0</v>
      </c>
      <c r="G41" s="241">
        <v>0</v>
      </c>
      <c r="H41" s="241">
        <v>0</v>
      </c>
      <c r="I41" s="241">
        <v>0</v>
      </c>
      <c r="J41" s="241">
        <v>0</v>
      </c>
      <c r="K41" s="241">
        <v>0</v>
      </c>
      <c r="L41" s="241">
        <v>0</v>
      </c>
      <c r="M41" s="241">
        <v>0</v>
      </c>
      <c r="N41" s="264"/>
    </row>
    <row r="42" spans="1:14" ht="15.5">
      <c r="A42" s="248" t="s">
        <v>1396</v>
      </c>
      <c r="B42" s="241">
        <v>266</v>
      </c>
      <c r="C42" s="241">
        <v>82</v>
      </c>
      <c r="D42" s="241">
        <v>0</v>
      </c>
      <c r="E42" s="241">
        <v>0</v>
      </c>
      <c r="F42" s="241">
        <v>0</v>
      </c>
      <c r="G42" s="241">
        <v>0</v>
      </c>
      <c r="H42" s="241">
        <v>0</v>
      </c>
      <c r="I42" s="241">
        <v>0</v>
      </c>
      <c r="J42" s="241">
        <v>0</v>
      </c>
      <c r="K42" s="241">
        <v>0</v>
      </c>
      <c r="L42" s="241">
        <v>0</v>
      </c>
      <c r="M42" s="241">
        <v>0</v>
      </c>
      <c r="N42" s="264"/>
    </row>
    <row r="43" spans="1:14" ht="15.5">
      <c r="A43" s="248" t="s">
        <v>1397</v>
      </c>
      <c r="B43" s="241">
        <v>5</v>
      </c>
      <c r="C43" s="241">
        <v>0</v>
      </c>
      <c r="D43" s="241">
        <v>0</v>
      </c>
      <c r="E43" s="241">
        <v>0</v>
      </c>
      <c r="F43" s="241">
        <v>0</v>
      </c>
      <c r="G43" s="241">
        <v>0</v>
      </c>
      <c r="H43" s="241">
        <v>0</v>
      </c>
      <c r="I43" s="241">
        <v>0</v>
      </c>
      <c r="J43" s="241">
        <v>0</v>
      </c>
      <c r="K43" s="241">
        <v>0</v>
      </c>
      <c r="L43" s="241">
        <v>0</v>
      </c>
      <c r="M43" s="241">
        <v>0</v>
      </c>
      <c r="N43" s="264"/>
    </row>
    <row r="44" spans="1:14" ht="15.5">
      <c r="A44" s="248" t="s">
        <v>1401</v>
      </c>
      <c r="B44" s="241">
        <v>0</v>
      </c>
      <c r="C44" s="241">
        <v>0</v>
      </c>
      <c r="D44" s="241">
        <v>0</v>
      </c>
      <c r="E44" s="241">
        <v>0</v>
      </c>
      <c r="F44" s="241">
        <v>0</v>
      </c>
      <c r="G44" s="241">
        <v>0</v>
      </c>
      <c r="H44" s="241">
        <v>0</v>
      </c>
      <c r="I44" s="241">
        <v>0</v>
      </c>
      <c r="J44" s="241">
        <v>0</v>
      </c>
      <c r="K44" s="241">
        <v>0</v>
      </c>
      <c r="L44" s="241">
        <v>0</v>
      </c>
      <c r="M44" s="241">
        <v>0</v>
      </c>
      <c r="N44" s="264"/>
    </row>
    <row r="45" spans="1:14" ht="15.5">
      <c r="A45" s="248" t="s">
        <v>1402</v>
      </c>
      <c r="B45" s="241">
        <v>3</v>
      </c>
      <c r="C45" s="241">
        <v>7</v>
      </c>
      <c r="D45" s="241">
        <v>0</v>
      </c>
      <c r="E45" s="241">
        <v>0</v>
      </c>
      <c r="F45" s="241">
        <v>0</v>
      </c>
      <c r="G45" s="241">
        <v>0</v>
      </c>
      <c r="H45" s="241">
        <v>0</v>
      </c>
      <c r="I45" s="241">
        <v>0</v>
      </c>
      <c r="J45" s="241">
        <v>0</v>
      </c>
      <c r="K45" s="241">
        <v>0</v>
      </c>
      <c r="L45" s="241">
        <v>0</v>
      </c>
      <c r="M45" s="241">
        <v>0</v>
      </c>
      <c r="N45" s="264"/>
    </row>
    <row r="46" spans="1:14" ht="15.5">
      <c r="A46" s="249" t="s">
        <v>1403</v>
      </c>
      <c r="B46" s="245">
        <v>0</v>
      </c>
      <c r="C46" s="245">
        <v>0</v>
      </c>
      <c r="D46" s="245">
        <v>0</v>
      </c>
      <c r="E46" s="245">
        <v>0</v>
      </c>
      <c r="F46" s="245">
        <v>0</v>
      </c>
      <c r="G46" s="245">
        <v>0</v>
      </c>
      <c r="H46" s="245">
        <v>0</v>
      </c>
      <c r="I46" s="245">
        <v>0</v>
      </c>
      <c r="J46" s="245">
        <v>0</v>
      </c>
      <c r="K46" s="245">
        <v>0</v>
      </c>
      <c r="L46" s="245">
        <v>0</v>
      </c>
      <c r="M46" s="245">
        <v>0</v>
      </c>
      <c r="N46" s="264"/>
    </row>
    <row r="47" spans="1:14" ht="31">
      <c r="A47" s="246" t="s">
        <v>1416</v>
      </c>
      <c r="B47" s="237"/>
      <c r="C47" s="237"/>
      <c r="D47" s="237"/>
      <c r="E47" s="237"/>
      <c r="F47" s="237"/>
      <c r="G47" s="237"/>
      <c r="H47" s="237"/>
      <c r="I47" s="237"/>
      <c r="J47" s="237"/>
      <c r="K47" s="237"/>
      <c r="L47" s="237"/>
      <c r="M47" s="237"/>
      <c r="N47" s="264"/>
    </row>
    <row r="48" spans="1:14" ht="15.5">
      <c r="A48" s="247" t="s">
        <v>1404</v>
      </c>
      <c r="B48" s="239">
        <v>15</v>
      </c>
      <c r="C48" s="239">
        <v>11</v>
      </c>
      <c r="D48" s="239">
        <v>2</v>
      </c>
      <c r="E48" s="239">
        <v>0</v>
      </c>
      <c r="F48" s="239">
        <v>0</v>
      </c>
      <c r="G48" s="239">
        <v>0</v>
      </c>
      <c r="H48" s="239">
        <v>0</v>
      </c>
      <c r="I48" s="239">
        <v>0</v>
      </c>
      <c r="J48" s="239">
        <v>0</v>
      </c>
      <c r="K48" s="239">
        <v>0</v>
      </c>
      <c r="L48" s="239">
        <v>0</v>
      </c>
      <c r="M48" s="239">
        <v>0</v>
      </c>
      <c r="N48" s="264"/>
    </row>
    <row r="49" spans="1:14" ht="15.5">
      <c r="A49" s="248" t="s">
        <v>1405</v>
      </c>
      <c r="B49" s="241">
        <v>1</v>
      </c>
      <c r="C49" s="241">
        <v>0</v>
      </c>
      <c r="D49" s="241">
        <v>0</v>
      </c>
      <c r="E49" s="241">
        <v>0</v>
      </c>
      <c r="F49" s="241">
        <v>0</v>
      </c>
      <c r="G49" s="241">
        <v>0</v>
      </c>
      <c r="H49" s="241">
        <v>0</v>
      </c>
      <c r="I49" s="241">
        <v>0</v>
      </c>
      <c r="J49" s="241">
        <v>0</v>
      </c>
      <c r="K49" s="241">
        <v>0</v>
      </c>
      <c r="L49" s="241">
        <v>0</v>
      </c>
      <c r="M49" s="241">
        <v>0</v>
      </c>
      <c r="N49" s="264"/>
    </row>
    <row r="50" spans="1:14" ht="15.5">
      <c r="A50" s="248" t="s">
        <v>1406</v>
      </c>
      <c r="B50" s="241">
        <v>0</v>
      </c>
      <c r="C50" s="241">
        <v>0</v>
      </c>
      <c r="D50" s="241">
        <v>0</v>
      </c>
      <c r="E50" s="241">
        <v>0</v>
      </c>
      <c r="F50" s="241">
        <v>0</v>
      </c>
      <c r="G50" s="241">
        <v>0</v>
      </c>
      <c r="H50" s="241">
        <v>0</v>
      </c>
      <c r="I50" s="241">
        <v>0</v>
      </c>
      <c r="J50" s="241">
        <v>0</v>
      </c>
      <c r="K50" s="241">
        <v>0</v>
      </c>
      <c r="L50" s="241">
        <v>0</v>
      </c>
      <c r="M50" s="241">
        <v>0</v>
      </c>
      <c r="N50" s="264"/>
    </row>
    <row r="51" spans="1:14" ht="15.5">
      <c r="A51" s="248" t="s">
        <v>1407</v>
      </c>
      <c r="B51" s="241">
        <v>0</v>
      </c>
      <c r="C51" s="241">
        <v>0</v>
      </c>
      <c r="D51" s="241">
        <v>0</v>
      </c>
      <c r="E51" s="241">
        <v>0</v>
      </c>
      <c r="F51" s="241">
        <v>0</v>
      </c>
      <c r="G51" s="241">
        <v>0</v>
      </c>
      <c r="H51" s="241">
        <v>0</v>
      </c>
      <c r="I51" s="241">
        <v>0</v>
      </c>
      <c r="J51" s="241">
        <v>0</v>
      </c>
      <c r="K51" s="241">
        <v>0</v>
      </c>
      <c r="L51" s="241">
        <v>0</v>
      </c>
      <c r="M51" s="241">
        <v>0</v>
      </c>
      <c r="N51" s="264"/>
    </row>
    <row r="52" spans="1:14" ht="15.5">
      <c r="A52" s="248" t="s">
        <v>1408</v>
      </c>
      <c r="B52" s="241">
        <v>2</v>
      </c>
      <c r="C52" s="241">
        <v>2</v>
      </c>
      <c r="D52" s="241">
        <v>1</v>
      </c>
      <c r="E52" s="241">
        <v>0</v>
      </c>
      <c r="F52" s="241">
        <v>0</v>
      </c>
      <c r="G52" s="241">
        <v>0</v>
      </c>
      <c r="H52" s="241">
        <v>0</v>
      </c>
      <c r="I52" s="241">
        <v>0</v>
      </c>
      <c r="J52" s="241">
        <v>0</v>
      </c>
      <c r="K52" s="241">
        <v>0</v>
      </c>
      <c r="L52" s="241">
        <v>0</v>
      </c>
      <c r="M52" s="241">
        <v>0</v>
      </c>
      <c r="N52" s="264"/>
    </row>
    <row r="53" spans="1:14" ht="15.5">
      <c r="A53" s="248" t="s">
        <v>1409</v>
      </c>
      <c r="B53" s="241">
        <v>6</v>
      </c>
      <c r="C53" s="241">
        <v>7</v>
      </c>
      <c r="D53" s="241">
        <v>0</v>
      </c>
      <c r="E53" s="241">
        <v>0</v>
      </c>
      <c r="F53" s="241">
        <v>0</v>
      </c>
      <c r="G53" s="241">
        <v>0</v>
      </c>
      <c r="H53" s="241">
        <v>0</v>
      </c>
      <c r="I53" s="241">
        <v>0</v>
      </c>
      <c r="J53" s="241">
        <v>0</v>
      </c>
      <c r="K53" s="241">
        <v>0</v>
      </c>
      <c r="L53" s="241">
        <v>0</v>
      </c>
      <c r="M53" s="241">
        <v>0</v>
      </c>
      <c r="N53" s="264"/>
    </row>
    <row r="54" spans="1:14" ht="15.5">
      <c r="A54" s="248" t="s">
        <v>1410</v>
      </c>
      <c r="B54" s="241">
        <v>5</v>
      </c>
      <c r="C54" s="241">
        <v>2</v>
      </c>
      <c r="D54" s="241">
        <v>0</v>
      </c>
      <c r="E54" s="241">
        <v>0</v>
      </c>
      <c r="F54" s="241">
        <v>0</v>
      </c>
      <c r="G54" s="241">
        <v>0</v>
      </c>
      <c r="H54" s="241">
        <v>0</v>
      </c>
      <c r="I54" s="241">
        <v>0</v>
      </c>
      <c r="J54" s="241">
        <v>0</v>
      </c>
      <c r="K54" s="241">
        <v>0</v>
      </c>
      <c r="L54" s="241">
        <v>0</v>
      </c>
      <c r="M54" s="241">
        <v>0</v>
      </c>
      <c r="N54" s="264"/>
    </row>
    <row r="55" spans="1:14" ht="15.5">
      <c r="A55" s="248" t="s">
        <v>1411</v>
      </c>
      <c r="B55" s="241">
        <v>1</v>
      </c>
      <c r="C55" s="241">
        <v>1</v>
      </c>
      <c r="D55" s="241">
        <v>0</v>
      </c>
      <c r="E55" s="241">
        <v>0</v>
      </c>
      <c r="F55" s="241">
        <v>0</v>
      </c>
      <c r="G55" s="241">
        <v>0</v>
      </c>
      <c r="H55" s="241">
        <v>0</v>
      </c>
      <c r="I55" s="241">
        <v>0</v>
      </c>
      <c r="J55" s="241">
        <v>0</v>
      </c>
      <c r="K55" s="241">
        <v>0</v>
      </c>
      <c r="L55" s="241">
        <v>0</v>
      </c>
      <c r="M55" s="241">
        <v>0</v>
      </c>
      <c r="N55" s="264"/>
    </row>
    <row r="56" spans="1:14" ht="15.5">
      <c r="A56" s="248" t="s">
        <v>1412</v>
      </c>
      <c r="B56" s="241">
        <v>0</v>
      </c>
      <c r="C56" s="241">
        <v>0</v>
      </c>
      <c r="D56" s="241">
        <v>0</v>
      </c>
      <c r="E56" s="241">
        <v>0</v>
      </c>
      <c r="F56" s="241">
        <v>0</v>
      </c>
      <c r="G56" s="241">
        <v>0</v>
      </c>
      <c r="H56" s="241">
        <v>0</v>
      </c>
      <c r="I56" s="241">
        <v>0</v>
      </c>
      <c r="J56" s="241">
        <v>0</v>
      </c>
      <c r="K56" s="241">
        <v>0</v>
      </c>
      <c r="L56" s="241">
        <v>0</v>
      </c>
      <c r="M56" s="241">
        <v>0</v>
      </c>
      <c r="N56" s="264"/>
    </row>
    <row r="57" spans="1:14" ht="15.5">
      <c r="A57" s="249" t="s">
        <v>1413</v>
      </c>
      <c r="B57" s="245">
        <v>0</v>
      </c>
      <c r="C57" s="245">
        <v>0</v>
      </c>
      <c r="D57" s="245">
        <v>0</v>
      </c>
      <c r="E57" s="245">
        <v>0</v>
      </c>
      <c r="F57" s="245">
        <v>0</v>
      </c>
      <c r="G57" s="245">
        <v>0</v>
      </c>
      <c r="H57" s="245">
        <v>0</v>
      </c>
      <c r="I57" s="245">
        <v>0</v>
      </c>
      <c r="J57" s="245">
        <v>0</v>
      </c>
      <c r="K57" s="245">
        <v>0</v>
      </c>
      <c r="L57" s="245">
        <v>0</v>
      </c>
      <c r="M57" s="245">
        <v>0</v>
      </c>
      <c r="N57" s="264"/>
    </row>
    <row r="58" spans="1:14" ht="31">
      <c r="A58" s="246" t="s">
        <v>1417</v>
      </c>
      <c r="B58" s="237"/>
      <c r="C58" s="237"/>
      <c r="D58" s="237"/>
      <c r="E58" s="237"/>
      <c r="F58" s="237"/>
      <c r="G58" s="237"/>
      <c r="H58" s="237"/>
      <c r="I58" s="237"/>
      <c r="J58" s="237"/>
      <c r="K58" s="237"/>
      <c r="L58" s="237"/>
      <c r="M58" s="237"/>
      <c r="N58" s="264"/>
    </row>
    <row r="59" spans="1:14" ht="15.5">
      <c r="A59" s="247" t="s">
        <v>1404</v>
      </c>
      <c r="B59" s="239">
        <v>131</v>
      </c>
      <c r="C59" s="239">
        <v>67</v>
      </c>
      <c r="D59" s="239">
        <v>0</v>
      </c>
      <c r="E59" s="239">
        <v>0</v>
      </c>
      <c r="F59" s="239">
        <v>0</v>
      </c>
      <c r="G59" s="239">
        <v>0</v>
      </c>
      <c r="H59" s="239">
        <v>0</v>
      </c>
      <c r="I59" s="239">
        <v>0</v>
      </c>
      <c r="J59" s="239">
        <v>0</v>
      </c>
      <c r="K59" s="239">
        <v>0</v>
      </c>
      <c r="L59" s="239">
        <v>0</v>
      </c>
      <c r="M59" s="239">
        <v>0</v>
      </c>
      <c r="N59" s="264"/>
    </row>
    <row r="60" spans="1:14" ht="15.5">
      <c r="A60" s="248" t="s">
        <v>1405</v>
      </c>
      <c r="B60" s="241">
        <v>0</v>
      </c>
      <c r="C60" s="241">
        <v>2</v>
      </c>
      <c r="D60" s="241">
        <v>0</v>
      </c>
      <c r="E60" s="241">
        <v>0</v>
      </c>
      <c r="F60" s="241">
        <v>0</v>
      </c>
      <c r="G60" s="241">
        <v>0</v>
      </c>
      <c r="H60" s="241">
        <v>0</v>
      </c>
      <c r="I60" s="241">
        <v>0</v>
      </c>
      <c r="J60" s="241">
        <v>0</v>
      </c>
      <c r="K60" s="241">
        <v>0</v>
      </c>
      <c r="L60" s="241">
        <v>0</v>
      </c>
      <c r="M60" s="241">
        <v>0</v>
      </c>
      <c r="N60" s="264"/>
    </row>
    <row r="61" spans="1:14" ht="15.5">
      <c r="A61" s="248" t="s">
        <v>1406</v>
      </c>
      <c r="B61" s="241">
        <v>0</v>
      </c>
      <c r="C61" s="241">
        <v>0</v>
      </c>
      <c r="D61" s="241">
        <v>0</v>
      </c>
      <c r="E61" s="241">
        <v>0</v>
      </c>
      <c r="F61" s="241">
        <v>0</v>
      </c>
      <c r="G61" s="241">
        <v>0</v>
      </c>
      <c r="H61" s="241">
        <v>0</v>
      </c>
      <c r="I61" s="241">
        <v>0</v>
      </c>
      <c r="J61" s="241">
        <v>0</v>
      </c>
      <c r="K61" s="241">
        <v>0</v>
      </c>
      <c r="L61" s="241">
        <v>0</v>
      </c>
      <c r="M61" s="241">
        <v>0</v>
      </c>
      <c r="N61" s="264"/>
    </row>
    <row r="62" spans="1:14" ht="15.5">
      <c r="A62" s="248" t="s">
        <v>1407</v>
      </c>
      <c r="B62" s="241">
        <v>0</v>
      </c>
      <c r="C62" s="241">
        <v>0</v>
      </c>
      <c r="D62" s="241">
        <v>0</v>
      </c>
      <c r="E62" s="241">
        <v>0</v>
      </c>
      <c r="F62" s="241">
        <v>0</v>
      </c>
      <c r="G62" s="241">
        <v>0</v>
      </c>
      <c r="H62" s="241">
        <v>0</v>
      </c>
      <c r="I62" s="241">
        <v>0</v>
      </c>
      <c r="J62" s="241">
        <v>0</v>
      </c>
      <c r="K62" s="241">
        <v>0</v>
      </c>
      <c r="L62" s="241">
        <v>0</v>
      </c>
      <c r="M62" s="241">
        <v>0</v>
      </c>
      <c r="N62" s="264"/>
    </row>
    <row r="63" spans="1:14" ht="15.5">
      <c r="A63" s="248" t="s">
        <v>1408</v>
      </c>
      <c r="B63" s="241">
        <v>6</v>
      </c>
      <c r="C63" s="241">
        <v>1</v>
      </c>
      <c r="D63" s="241">
        <v>0</v>
      </c>
      <c r="E63" s="241">
        <v>0</v>
      </c>
      <c r="F63" s="241">
        <v>0</v>
      </c>
      <c r="G63" s="241">
        <v>0</v>
      </c>
      <c r="H63" s="241">
        <v>0</v>
      </c>
      <c r="I63" s="241">
        <v>0</v>
      </c>
      <c r="J63" s="241">
        <v>0</v>
      </c>
      <c r="K63" s="241">
        <v>0</v>
      </c>
      <c r="L63" s="241">
        <v>0</v>
      </c>
      <c r="M63" s="241">
        <v>0</v>
      </c>
      <c r="N63" s="264"/>
    </row>
    <row r="64" spans="1:14" ht="15.5">
      <c r="A64" s="248" t="s">
        <v>1409</v>
      </c>
      <c r="B64" s="241">
        <v>3</v>
      </c>
      <c r="C64" s="241">
        <v>2</v>
      </c>
      <c r="D64" s="241">
        <v>0</v>
      </c>
      <c r="E64" s="241">
        <v>0</v>
      </c>
      <c r="F64" s="241">
        <v>0</v>
      </c>
      <c r="G64" s="241">
        <v>0</v>
      </c>
      <c r="H64" s="241">
        <v>0</v>
      </c>
      <c r="I64" s="241">
        <v>0</v>
      </c>
      <c r="J64" s="241">
        <v>0</v>
      </c>
      <c r="K64" s="241">
        <v>0</v>
      </c>
      <c r="L64" s="241">
        <v>0</v>
      </c>
      <c r="M64" s="241">
        <v>0</v>
      </c>
      <c r="N64" s="264"/>
    </row>
    <row r="65" spans="1:14" ht="15.5">
      <c r="A65" s="248" t="s">
        <v>1410</v>
      </c>
      <c r="B65" s="241">
        <v>3</v>
      </c>
      <c r="C65" s="241">
        <v>2</v>
      </c>
      <c r="D65" s="241">
        <v>0</v>
      </c>
      <c r="E65" s="241">
        <v>0</v>
      </c>
      <c r="F65" s="241">
        <v>0</v>
      </c>
      <c r="G65" s="241">
        <v>0</v>
      </c>
      <c r="H65" s="241">
        <v>0</v>
      </c>
      <c r="I65" s="241">
        <v>0</v>
      </c>
      <c r="J65" s="241">
        <v>0</v>
      </c>
      <c r="K65" s="241">
        <v>0</v>
      </c>
      <c r="L65" s="241">
        <v>0</v>
      </c>
      <c r="M65" s="241">
        <v>0</v>
      </c>
      <c r="N65" s="264"/>
    </row>
    <row r="66" spans="1:14" ht="15.5">
      <c r="A66" s="248" t="s">
        <v>1411</v>
      </c>
      <c r="B66" s="241">
        <v>0</v>
      </c>
      <c r="C66" s="241">
        <v>0</v>
      </c>
      <c r="D66" s="241">
        <v>0</v>
      </c>
      <c r="E66" s="241">
        <v>0</v>
      </c>
      <c r="F66" s="241">
        <v>0</v>
      </c>
      <c r="G66" s="241">
        <v>0</v>
      </c>
      <c r="H66" s="241">
        <v>0</v>
      </c>
      <c r="I66" s="241">
        <v>0</v>
      </c>
      <c r="J66" s="241">
        <v>0</v>
      </c>
      <c r="K66" s="241">
        <v>0</v>
      </c>
      <c r="L66" s="241">
        <v>0</v>
      </c>
      <c r="M66" s="241">
        <v>0</v>
      </c>
      <c r="N66" s="264"/>
    </row>
    <row r="67" spans="1:14" ht="15.5">
      <c r="A67" s="248" t="s">
        <v>1412</v>
      </c>
      <c r="B67" s="241">
        <v>0</v>
      </c>
      <c r="C67" s="241">
        <v>0</v>
      </c>
      <c r="D67" s="241">
        <v>0</v>
      </c>
      <c r="E67" s="241">
        <v>0</v>
      </c>
      <c r="F67" s="241">
        <v>0</v>
      </c>
      <c r="G67" s="241">
        <v>0</v>
      </c>
      <c r="H67" s="241">
        <v>0</v>
      </c>
      <c r="I67" s="241">
        <v>0</v>
      </c>
      <c r="J67" s="241">
        <v>0</v>
      </c>
      <c r="K67" s="241">
        <v>0</v>
      </c>
      <c r="L67" s="241">
        <v>0</v>
      </c>
      <c r="M67" s="241">
        <v>0</v>
      </c>
      <c r="N67" s="264"/>
    </row>
    <row r="68" spans="1:14" ht="15.5">
      <c r="A68" s="249" t="s">
        <v>1413</v>
      </c>
      <c r="B68" s="245">
        <v>1</v>
      </c>
      <c r="C68" s="245">
        <v>3</v>
      </c>
      <c r="D68" s="245">
        <v>2</v>
      </c>
      <c r="E68" s="245">
        <v>0</v>
      </c>
      <c r="F68" s="245">
        <v>0</v>
      </c>
      <c r="G68" s="245">
        <v>0</v>
      </c>
      <c r="H68" s="245">
        <v>0</v>
      </c>
      <c r="I68" s="245">
        <v>0</v>
      </c>
      <c r="J68" s="245">
        <v>0</v>
      </c>
      <c r="K68" s="245">
        <v>0</v>
      </c>
      <c r="L68" s="245">
        <v>0</v>
      </c>
      <c r="M68" s="245">
        <v>0</v>
      </c>
      <c r="N68" s="264"/>
    </row>
    <row r="69" spans="1:14" ht="31">
      <c r="A69" s="246" t="s">
        <v>1418</v>
      </c>
      <c r="B69" s="237"/>
      <c r="C69" s="237"/>
      <c r="D69" s="237"/>
      <c r="E69" s="237"/>
      <c r="F69" s="237"/>
      <c r="G69" s="237"/>
      <c r="H69" s="237"/>
      <c r="I69" s="237"/>
      <c r="J69" s="237"/>
      <c r="K69" s="237"/>
      <c r="L69" s="237"/>
      <c r="M69" s="237"/>
      <c r="N69" s="264"/>
    </row>
    <row r="70" spans="1:14" ht="15.5">
      <c r="A70" s="247" t="s">
        <v>1404</v>
      </c>
      <c r="B70" s="239">
        <v>180</v>
      </c>
      <c r="C70" s="239">
        <v>52</v>
      </c>
      <c r="D70" s="239">
        <v>1</v>
      </c>
      <c r="E70" s="239">
        <v>0</v>
      </c>
      <c r="F70" s="239">
        <v>0</v>
      </c>
      <c r="G70" s="239">
        <v>0</v>
      </c>
      <c r="H70" s="239">
        <v>0</v>
      </c>
      <c r="I70" s="239">
        <v>0</v>
      </c>
      <c r="J70" s="239">
        <v>0</v>
      </c>
      <c r="K70" s="239">
        <v>0</v>
      </c>
      <c r="L70" s="239">
        <v>0</v>
      </c>
      <c r="M70" s="239">
        <v>0</v>
      </c>
      <c r="N70" s="264"/>
    </row>
    <row r="71" spans="1:14" ht="15.5">
      <c r="A71" s="248" t="s">
        <v>1405</v>
      </c>
      <c r="B71" s="241">
        <v>1</v>
      </c>
      <c r="C71" s="241">
        <v>0</v>
      </c>
      <c r="D71" s="241">
        <v>0</v>
      </c>
      <c r="E71" s="241">
        <v>0</v>
      </c>
      <c r="F71" s="241">
        <v>0</v>
      </c>
      <c r="G71" s="241">
        <v>0</v>
      </c>
      <c r="H71" s="241">
        <v>0</v>
      </c>
      <c r="I71" s="241">
        <v>0</v>
      </c>
      <c r="J71" s="241">
        <v>0</v>
      </c>
      <c r="K71" s="241">
        <v>0</v>
      </c>
      <c r="L71" s="241">
        <v>0</v>
      </c>
      <c r="M71" s="241">
        <v>0</v>
      </c>
      <c r="N71" s="264"/>
    </row>
    <row r="72" spans="1:14" ht="15.5">
      <c r="A72" s="248" t="s">
        <v>1406</v>
      </c>
      <c r="B72" s="241">
        <v>0</v>
      </c>
      <c r="C72" s="241">
        <v>0</v>
      </c>
      <c r="D72" s="241">
        <v>0</v>
      </c>
      <c r="E72" s="241">
        <v>0</v>
      </c>
      <c r="F72" s="241">
        <v>0</v>
      </c>
      <c r="G72" s="241">
        <v>0</v>
      </c>
      <c r="H72" s="241">
        <v>0</v>
      </c>
      <c r="I72" s="241">
        <v>0</v>
      </c>
      <c r="J72" s="241">
        <v>0</v>
      </c>
      <c r="K72" s="241">
        <v>0</v>
      </c>
      <c r="L72" s="241">
        <v>0</v>
      </c>
      <c r="M72" s="241">
        <v>0</v>
      </c>
      <c r="N72" s="264"/>
    </row>
    <row r="73" spans="1:14" ht="15.5">
      <c r="A73" s="248" t="s">
        <v>1407</v>
      </c>
      <c r="B73" s="241">
        <v>0</v>
      </c>
      <c r="C73" s="241">
        <v>0</v>
      </c>
      <c r="D73" s="241">
        <v>0</v>
      </c>
      <c r="E73" s="241">
        <v>0</v>
      </c>
      <c r="F73" s="241">
        <v>0</v>
      </c>
      <c r="G73" s="241">
        <v>0</v>
      </c>
      <c r="H73" s="241">
        <v>0</v>
      </c>
      <c r="I73" s="241">
        <v>0</v>
      </c>
      <c r="J73" s="241">
        <v>0</v>
      </c>
      <c r="K73" s="241">
        <v>0</v>
      </c>
      <c r="L73" s="241">
        <v>0</v>
      </c>
      <c r="M73" s="241">
        <v>0</v>
      </c>
      <c r="N73" s="264"/>
    </row>
    <row r="74" spans="1:14" ht="15.5">
      <c r="A74" s="248" t="s">
        <v>1408</v>
      </c>
      <c r="B74" s="241">
        <v>2</v>
      </c>
      <c r="C74" s="241">
        <v>5</v>
      </c>
      <c r="D74" s="241">
        <v>0</v>
      </c>
      <c r="E74" s="241">
        <v>0</v>
      </c>
      <c r="F74" s="241">
        <v>0</v>
      </c>
      <c r="G74" s="241">
        <v>0</v>
      </c>
      <c r="H74" s="241">
        <v>0</v>
      </c>
      <c r="I74" s="241">
        <v>0</v>
      </c>
      <c r="J74" s="241">
        <v>0</v>
      </c>
      <c r="K74" s="241">
        <v>0</v>
      </c>
      <c r="L74" s="241">
        <v>0</v>
      </c>
      <c r="M74" s="241">
        <v>0</v>
      </c>
      <c r="N74" s="264"/>
    </row>
    <row r="75" spans="1:14" ht="15.5">
      <c r="A75" s="248" t="s">
        <v>1409</v>
      </c>
      <c r="B75" s="241">
        <v>1</v>
      </c>
      <c r="C75" s="241">
        <v>2</v>
      </c>
      <c r="D75" s="241">
        <v>0</v>
      </c>
      <c r="E75" s="241">
        <v>0</v>
      </c>
      <c r="F75" s="241">
        <v>0</v>
      </c>
      <c r="G75" s="241">
        <v>0</v>
      </c>
      <c r="H75" s="241">
        <v>0</v>
      </c>
      <c r="I75" s="241">
        <v>0</v>
      </c>
      <c r="J75" s="241">
        <v>0</v>
      </c>
      <c r="K75" s="241">
        <v>0</v>
      </c>
      <c r="L75" s="241">
        <v>0</v>
      </c>
      <c r="M75" s="241">
        <v>0</v>
      </c>
      <c r="N75" s="264"/>
    </row>
    <row r="76" spans="1:14" ht="15.5">
      <c r="A76" s="248" t="s">
        <v>1410</v>
      </c>
      <c r="B76" s="241">
        <v>1</v>
      </c>
      <c r="C76" s="241">
        <v>0</v>
      </c>
      <c r="D76" s="241">
        <v>0</v>
      </c>
      <c r="E76" s="241">
        <v>0</v>
      </c>
      <c r="F76" s="241">
        <v>0</v>
      </c>
      <c r="G76" s="241">
        <v>0</v>
      </c>
      <c r="H76" s="241">
        <v>0</v>
      </c>
      <c r="I76" s="241">
        <v>0</v>
      </c>
      <c r="J76" s="241">
        <v>0</v>
      </c>
      <c r="K76" s="241">
        <v>0</v>
      </c>
      <c r="L76" s="241">
        <v>0</v>
      </c>
      <c r="M76" s="241">
        <v>0</v>
      </c>
      <c r="N76" s="264"/>
    </row>
    <row r="77" spans="1:14" ht="15.5">
      <c r="A77" s="248" t="s">
        <v>1411</v>
      </c>
      <c r="B77" s="241">
        <v>0</v>
      </c>
      <c r="C77" s="241">
        <v>2</v>
      </c>
      <c r="D77" s="241">
        <v>0</v>
      </c>
      <c r="E77" s="241">
        <v>0</v>
      </c>
      <c r="F77" s="241">
        <v>0</v>
      </c>
      <c r="G77" s="241">
        <v>0</v>
      </c>
      <c r="H77" s="241">
        <v>0</v>
      </c>
      <c r="I77" s="241">
        <v>0</v>
      </c>
      <c r="J77" s="241">
        <v>0</v>
      </c>
      <c r="K77" s="241">
        <v>0</v>
      </c>
      <c r="L77" s="241">
        <v>0</v>
      </c>
      <c r="M77" s="241">
        <v>0</v>
      </c>
      <c r="N77" s="264"/>
    </row>
    <row r="78" spans="1:14" ht="15.5">
      <c r="A78" s="248" t="s">
        <v>1412</v>
      </c>
      <c r="B78" s="241">
        <v>0</v>
      </c>
      <c r="C78" s="241">
        <v>0</v>
      </c>
      <c r="D78" s="241">
        <v>0</v>
      </c>
      <c r="E78" s="241">
        <v>0</v>
      </c>
      <c r="F78" s="241">
        <v>0</v>
      </c>
      <c r="G78" s="241">
        <v>0</v>
      </c>
      <c r="H78" s="241">
        <v>0</v>
      </c>
      <c r="I78" s="241">
        <v>0</v>
      </c>
      <c r="J78" s="241">
        <v>0</v>
      </c>
      <c r="K78" s="241">
        <v>0</v>
      </c>
      <c r="L78" s="241">
        <v>0</v>
      </c>
      <c r="M78" s="241">
        <v>0</v>
      </c>
      <c r="N78" s="264"/>
    </row>
    <row r="79" spans="1:14" ht="15.5">
      <c r="A79" s="249" t="s">
        <v>1413</v>
      </c>
      <c r="B79" s="245">
        <v>0</v>
      </c>
      <c r="C79" s="245">
        <v>0</v>
      </c>
      <c r="D79" s="245">
        <v>0</v>
      </c>
      <c r="E79" s="245">
        <v>0</v>
      </c>
      <c r="F79" s="245">
        <v>0</v>
      </c>
      <c r="G79" s="245">
        <v>0</v>
      </c>
      <c r="H79" s="245">
        <v>0</v>
      </c>
      <c r="I79" s="245">
        <v>0</v>
      </c>
      <c r="J79" s="245">
        <v>0</v>
      </c>
      <c r="K79" s="245">
        <v>0</v>
      </c>
      <c r="L79" s="245">
        <v>0</v>
      </c>
      <c r="M79" s="245">
        <v>0</v>
      </c>
      <c r="N79" s="264"/>
    </row>
    <row r="80" spans="1:14" ht="46.5">
      <c r="A80" s="246" t="s">
        <v>1419</v>
      </c>
      <c r="B80" s="237"/>
      <c r="C80" s="237"/>
      <c r="D80" s="237"/>
      <c r="E80" s="237"/>
      <c r="F80" s="237"/>
      <c r="G80" s="237"/>
      <c r="H80" s="237"/>
      <c r="I80" s="237"/>
      <c r="J80" s="237"/>
      <c r="K80" s="237"/>
      <c r="L80" s="237"/>
      <c r="M80" s="237"/>
      <c r="N80" s="264"/>
    </row>
    <row r="81" spans="1:14" ht="15.5">
      <c r="A81" s="247" t="s">
        <v>1404</v>
      </c>
      <c r="B81" s="250">
        <v>0.1333</v>
      </c>
      <c r="C81" s="250">
        <v>0</v>
      </c>
      <c r="D81" s="250">
        <v>0</v>
      </c>
      <c r="E81" s="252"/>
      <c r="F81" s="252"/>
      <c r="G81" s="252"/>
      <c r="H81" s="252"/>
      <c r="I81" s="252"/>
      <c r="J81" s="252"/>
      <c r="K81" s="252"/>
      <c r="L81" s="252"/>
      <c r="M81" s="252"/>
      <c r="N81" s="264"/>
    </row>
    <row r="82" spans="1:14" ht="15.5">
      <c r="A82" s="248" t="s">
        <v>1405</v>
      </c>
      <c r="B82" s="253">
        <v>0</v>
      </c>
      <c r="C82" s="255"/>
      <c r="D82" s="255"/>
      <c r="E82" s="255"/>
      <c r="F82" s="255"/>
      <c r="G82" s="255"/>
      <c r="H82" s="255"/>
      <c r="I82" s="255"/>
      <c r="J82" s="255"/>
      <c r="K82" s="255"/>
      <c r="L82" s="255"/>
      <c r="M82" s="255"/>
      <c r="N82" s="264"/>
    </row>
    <row r="83" spans="1:14" ht="15.5">
      <c r="A83" s="248" t="s">
        <v>1406</v>
      </c>
      <c r="B83" s="255"/>
      <c r="C83" s="255"/>
      <c r="D83" s="255"/>
      <c r="E83" s="255"/>
      <c r="F83" s="255"/>
      <c r="G83" s="255"/>
      <c r="H83" s="255"/>
      <c r="I83" s="255"/>
      <c r="J83" s="255"/>
      <c r="K83" s="255"/>
      <c r="L83" s="255"/>
      <c r="M83" s="255"/>
      <c r="N83" s="264"/>
    </row>
    <row r="84" spans="1:14" ht="15.5">
      <c r="A84" s="248" t="s">
        <v>1407</v>
      </c>
      <c r="B84" s="255"/>
      <c r="C84" s="255"/>
      <c r="D84" s="255"/>
      <c r="E84" s="255"/>
      <c r="F84" s="255"/>
      <c r="G84" s="255"/>
      <c r="H84" s="255"/>
      <c r="I84" s="255"/>
      <c r="J84" s="255"/>
      <c r="K84" s="255"/>
      <c r="L84" s="255"/>
      <c r="M84" s="255"/>
      <c r="N84" s="264"/>
    </row>
    <row r="85" spans="1:14" ht="15.5">
      <c r="A85" s="248" t="s">
        <v>1408</v>
      </c>
      <c r="B85" s="253">
        <v>0</v>
      </c>
      <c r="C85" s="253">
        <v>0.5</v>
      </c>
      <c r="D85" s="253">
        <v>0</v>
      </c>
      <c r="E85" s="255"/>
      <c r="F85" s="255"/>
      <c r="G85" s="255"/>
      <c r="H85" s="255"/>
      <c r="I85" s="255"/>
      <c r="J85" s="255"/>
      <c r="K85" s="255"/>
      <c r="L85" s="255"/>
      <c r="M85" s="255"/>
      <c r="N85" s="264"/>
    </row>
    <row r="86" spans="1:14" ht="15.5">
      <c r="A86" s="248" t="s">
        <v>1409</v>
      </c>
      <c r="B86" s="253">
        <v>0.66669999999999996</v>
      </c>
      <c r="C86" s="253">
        <v>0.1429</v>
      </c>
      <c r="D86" s="255"/>
      <c r="E86" s="255"/>
      <c r="F86" s="255"/>
      <c r="G86" s="255"/>
      <c r="H86" s="255"/>
      <c r="I86" s="255"/>
      <c r="J86" s="255"/>
      <c r="K86" s="255"/>
      <c r="L86" s="255"/>
      <c r="M86" s="255"/>
      <c r="N86" s="264"/>
    </row>
    <row r="87" spans="1:14" ht="15.5">
      <c r="A87" s="248" t="s">
        <v>1410</v>
      </c>
      <c r="B87" s="253">
        <v>0.6</v>
      </c>
      <c r="C87" s="253">
        <v>1</v>
      </c>
      <c r="D87" s="255"/>
      <c r="E87" s="255"/>
      <c r="F87" s="255"/>
      <c r="G87" s="255"/>
      <c r="H87" s="255"/>
      <c r="I87" s="255"/>
      <c r="J87" s="255"/>
      <c r="K87" s="255"/>
      <c r="L87" s="255"/>
      <c r="M87" s="255"/>
      <c r="N87" s="264"/>
    </row>
    <row r="88" spans="1:14" ht="15.5">
      <c r="A88" s="248" t="s">
        <v>1411</v>
      </c>
      <c r="B88" s="253">
        <v>0</v>
      </c>
      <c r="C88" s="253">
        <v>0</v>
      </c>
      <c r="D88" s="255"/>
      <c r="E88" s="255"/>
      <c r="F88" s="255"/>
      <c r="G88" s="255"/>
      <c r="H88" s="255"/>
      <c r="I88" s="255"/>
      <c r="J88" s="255"/>
      <c r="K88" s="255"/>
      <c r="L88" s="255"/>
      <c r="M88" s="255"/>
      <c r="N88" s="264"/>
    </row>
    <row r="89" spans="1:14" ht="15.5">
      <c r="A89" s="248" t="s">
        <v>1412</v>
      </c>
      <c r="B89" s="255"/>
      <c r="C89" s="255"/>
      <c r="D89" s="255"/>
      <c r="E89" s="255"/>
      <c r="F89" s="255"/>
      <c r="G89" s="255"/>
      <c r="H89" s="255"/>
      <c r="I89" s="255"/>
      <c r="J89" s="255"/>
      <c r="K89" s="255"/>
      <c r="L89" s="255"/>
      <c r="M89" s="255"/>
      <c r="N89" s="264"/>
    </row>
    <row r="90" spans="1:14" ht="15.5">
      <c r="A90" s="249" t="s">
        <v>1413</v>
      </c>
      <c r="B90" s="260"/>
      <c r="C90" s="260"/>
      <c r="D90" s="260"/>
      <c r="E90" s="260"/>
      <c r="F90" s="260"/>
      <c r="G90" s="260"/>
      <c r="H90" s="260"/>
      <c r="I90" s="260"/>
      <c r="J90" s="260"/>
      <c r="K90" s="260"/>
      <c r="L90" s="260"/>
      <c r="M90" s="260"/>
      <c r="N90" s="264"/>
    </row>
    <row r="91" spans="1:14" ht="46.5">
      <c r="A91" s="246" t="s">
        <v>1420</v>
      </c>
      <c r="B91" s="237"/>
      <c r="C91" s="237"/>
      <c r="D91" s="237"/>
      <c r="E91" s="237"/>
      <c r="F91" s="237"/>
      <c r="G91" s="237"/>
      <c r="H91" s="237"/>
      <c r="I91" s="237"/>
      <c r="J91" s="237"/>
      <c r="K91" s="237"/>
      <c r="L91" s="237"/>
      <c r="M91" s="237"/>
      <c r="N91" s="264"/>
    </row>
    <row r="92" spans="1:14" ht="15.5">
      <c r="A92" s="247" t="s">
        <v>1404</v>
      </c>
      <c r="B92" s="250">
        <v>6.8699999999999997E-2</v>
      </c>
      <c r="C92" s="250">
        <v>7.46E-2</v>
      </c>
      <c r="D92" s="252"/>
      <c r="E92" s="252"/>
      <c r="F92" s="252"/>
      <c r="G92" s="252"/>
      <c r="H92" s="252"/>
      <c r="I92" s="252"/>
      <c r="J92" s="252"/>
      <c r="K92" s="252"/>
      <c r="L92" s="252"/>
      <c r="M92" s="252"/>
      <c r="N92" s="264"/>
    </row>
    <row r="93" spans="1:14" ht="15.5">
      <c r="A93" s="248" t="s">
        <v>1405</v>
      </c>
      <c r="B93" s="255"/>
      <c r="C93" s="253">
        <v>0.5</v>
      </c>
      <c r="D93" s="255"/>
      <c r="E93" s="255"/>
      <c r="F93" s="255"/>
      <c r="G93" s="255"/>
      <c r="H93" s="255"/>
      <c r="I93" s="255"/>
      <c r="J93" s="255"/>
      <c r="K93" s="255"/>
      <c r="L93" s="255"/>
      <c r="M93" s="255"/>
      <c r="N93" s="264"/>
    </row>
    <row r="94" spans="1:14" ht="15.5">
      <c r="A94" s="248" t="s">
        <v>1406</v>
      </c>
      <c r="B94" s="255"/>
      <c r="C94" s="255"/>
      <c r="D94" s="255"/>
      <c r="E94" s="255"/>
      <c r="F94" s="255"/>
      <c r="G94" s="255"/>
      <c r="H94" s="255"/>
      <c r="I94" s="255"/>
      <c r="J94" s="255"/>
      <c r="K94" s="255"/>
      <c r="L94" s="255"/>
      <c r="M94" s="255"/>
      <c r="N94" s="264"/>
    </row>
    <row r="95" spans="1:14" ht="15.5">
      <c r="A95" s="248" t="s">
        <v>1407</v>
      </c>
      <c r="B95" s="255"/>
      <c r="C95" s="255"/>
      <c r="D95" s="255"/>
      <c r="E95" s="255"/>
      <c r="F95" s="255"/>
      <c r="G95" s="255"/>
      <c r="H95" s="255"/>
      <c r="I95" s="255"/>
      <c r="J95" s="255"/>
      <c r="K95" s="255"/>
      <c r="L95" s="255"/>
      <c r="M95" s="255"/>
      <c r="N95" s="264"/>
    </row>
    <row r="96" spans="1:14" ht="15.5">
      <c r="A96" s="248" t="s">
        <v>1408</v>
      </c>
      <c r="B96" s="253">
        <v>0.5</v>
      </c>
      <c r="C96" s="253">
        <v>0</v>
      </c>
      <c r="D96" s="255"/>
      <c r="E96" s="255"/>
      <c r="F96" s="255"/>
      <c r="G96" s="255"/>
      <c r="H96" s="255"/>
      <c r="I96" s="255"/>
      <c r="J96" s="255"/>
      <c r="K96" s="255"/>
      <c r="L96" s="255"/>
      <c r="M96" s="255"/>
      <c r="N96" s="264"/>
    </row>
    <row r="97" spans="1:14" ht="15.5">
      <c r="A97" s="248" t="s">
        <v>1409</v>
      </c>
      <c r="B97" s="253">
        <v>0</v>
      </c>
      <c r="C97" s="253">
        <v>0.5</v>
      </c>
      <c r="D97" s="255"/>
      <c r="E97" s="255"/>
      <c r="F97" s="255"/>
      <c r="G97" s="255"/>
      <c r="H97" s="255"/>
      <c r="I97" s="255"/>
      <c r="J97" s="255"/>
      <c r="K97" s="255"/>
      <c r="L97" s="255"/>
      <c r="M97" s="255"/>
      <c r="N97" s="264"/>
    </row>
    <row r="98" spans="1:14" ht="15.5">
      <c r="A98" s="248" t="s">
        <v>1410</v>
      </c>
      <c r="B98" s="253">
        <v>1</v>
      </c>
      <c r="C98" s="253">
        <v>0</v>
      </c>
      <c r="D98" s="255"/>
      <c r="E98" s="255"/>
      <c r="F98" s="255"/>
      <c r="G98" s="255"/>
      <c r="H98" s="255"/>
      <c r="I98" s="255"/>
      <c r="J98" s="255"/>
      <c r="K98" s="255"/>
      <c r="L98" s="255"/>
      <c r="M98" s="255"/>
      <c r="N98" s="264"/>
    </row>
    <row r="99" spans="1:14" ht="15.5">
      <c r="A99" s="248" t="s">
        <v>1411</v>
      </c>
      <c r="B99" s="255"/>
      <c r="C99" s="255"/>
      <c r="D99" s="255"/>
      <c r="E99" s="255"/>
      <c r="F99" s="255"/>
      <c r="G99" s="255"/>
      <c r="H99" s="255"/>
      <c r="I99" s="255"/>
      <c r="J99" s="255"/>
      <c r="K99" s="255"/>
      <c r="L99" s="255"/>
      <c r="M99" s="255"/>
      <c r="N99" s="264"/>
    </row>
    <row r="100" spans="1:14" ht="15.5">
      <c r="A100" s="248" t="s">
        <v>1412</v>
      </c>
      <c r="B100" s="255"/>
      <c r="C100" s="255"/>
      <c r="D100" s="255"/>
      <c r="E100" s="255"/>
      <c r="F100" s="255"/>
      <c r="G100" s="255"/>
      <c r="H100" s="255"/>
      <c r="I100" s="255"/>
      <c r="J100" s="255"/>
      <c r="K100" s="255"/>
      <c r="L100" s="255"/>
      <c r="M100" s="255"/>
      <c r="N100" s="264"/>
    </row>
    <row r="101" spans="1:14" ht="15.5">
      <c r="A101" s="249" t="s">
        <v>1413</v>
      </c>
      <c r="B101" s="261">
        <v>1</v>
      </c>
      <c r="C101" s="261">
        <v>0</v>
      </c>
      <c r="D101" s="261">
        <v>0.5</v>
      </c>
      <c r="E101" s="260"/>
      <c r="F101" s="260"/>
      <c r="G101" s="260"/>
      <c r="H101" s="260"/>
      <c r="I101" s="260"/>
      <c r="J101" s="260"/>
      <c r="K101" s="260"/>
      <c r="L101" s="260"/>
      <c r="M101" s="260"/>
      <c r="N101" s="264"/>
    </row>
    <row r="102" spans="1:14" ht="46.5">
      <c r="A102" s="246" t="s">
        <v>1421</v>
      </c>
      <c r="B102" s="237"/>
      <c r="C102" s="237"/>
      <c r="D102" s="237"/>
      <c r="E102" s="237"/>
      <c r="F102" s="237"/>
      <c r="G102" s="237"/>
      <c r="H102" s="237"/>
      <c r="I102" s="237"/>
      <c r="J102" s="237"/>
      <c r="K102" s="237"/>
      <c r="L102" s="237"/>
      <c r="M102" s="237"/>
      <c r="N102" s="264"/>
    </row>
    <row r="103" spans="1:14" ht="15.5">
      <c r="A103" s="247" t="s">
        <v>1404</v>
      </c>
      <c r="B103" s="250">
        <v>2.7799999999999998E-2</v>
      </c>
      <c r="C103" s="250">
        <v>9.6199999999999994E-2</v>
      </c>
      <c r="D103" s="250">
        <v>0</v>
      </c>
      <c r="E103" s="252"/>
      <c r="F103" s="252"/>
      <c r="G103" s="252"/>
      <c r="H103" s="252"/>
      <c r="I103" s="252"/>
      <c r="J103" s="252"/>
      <c r="K103" s="252"/>
      <c r="L103" s="252"/>
      <c r="M103" s="252"/>
      <c r="N103" s="264"/>
    </row>
    <row r="104" spans="1:14" ht="15.5">
      <c r="A104" s="248" t="s">
        <v>1405</v>
      </c>
      <c r="B104" s="253">
        <v>1</v>
      </c>
      <c r="C104" s="255"/>
      <c r="D104" s="255"/>
      <c r="E104" s="255"/>
      <c r="F104" s="255"/>
      <c r="G104" s="255"/>
      <c r="H104" s="255"/>
      <c r="I104" s="255"/>
      <c r="J104" s="255"/>
      <c r="K104" s="255"/>
      <c r="L104" s="255"/>
      <c r="M104" s="255"/>
      <c r="N104" s="264"/>
    </row>
    <row r="105" spans="1:14" ht="15.5">
      <c r="A105" s="248" t="s">
        <v>1406</v>
      </c>
      <c r="B105" s="255"/>
      <c r="C105" s="255"/>
      <c r="D105" s="255"/>
      <c r="E105" s="255"/>
      <c r="F105" s="255"/>
      <c r="G105" s="255"/>
      <c r="H105" s="255"/>
      <c r="I105" s="255"/>
      <c r="J105" s="255"/>
      <c r="K105" s="255"/>
      <c r="L105" s="255"/>
      <c r="M105" s="255"/>
      <c r="N105" s="264"/>
    </row>
    <row r="106" spans="1:14" ht="15.5">
      <c r="A106" s="248" t="s">
        <v>1407</v>
      </c>
      <c r="B106" s="255"/>
      <c r="C106" s="255"/>
      <c r="D106" s="255"/>
      <c r="E106" s="255"/>
      <c r="F106" s="255"/>
      <c r="G106" s="255"/>
      <c r="H106" s="255"/>
      <c r="I106" s="255"/>
      <c r="J106" s="255"/>
      <c r="K106" s="255"/>
      <c r="L106" s="255"/>
      <c r="M106" s="255"/>
      <c r="N106" s="264"/>
    </row>
    <row r="107" spans="1:14" ht="15.5">
      <c r="A107" s="248" t="s">
        <v>1408</v>
      </c>
      <c r="B107" s="253">
        <v>0.5</v>
      </c>
      <c r="C107" s="253">
        <v>0.6</v>
      </c>
      <c r="D107" s="255"/>
      <c r="E107" s="255"/>
      <c r="F107" s="255"/>
      <c r="G107" s="255"/>
      <c r="H107" s="255"/>
      <c r="I107" s="255"/>
      <c r="J107" s="255"/>
      <c r="K107" s="255"/>
      <c r="L107" s="255"/>
      <c r="M107" s="255"/>
      <c r="N107" s="264"/>
    </row>
    <row r="108" spans="1:14" ht="15.5">
      <c r="A108" s="248" t="s">
        <v>1409</v>
      </c>
      <c r="B108" s="253">
        <v>1</v>
      </c>
      <c r="C108" s="253">
        <v>0.5</v>
      </c>
      <c r="D108" s="255"/>
      <c r="E108" s="255"/>
      <c r="F108" s="255"/>
      <c r="G108" s="255"/>
      <c r="H108" s="255"/>
      <c r="I108" s="255"/>
      <c r="J108" s="255"/>
      <c r="K108" s="255"/>
      <c r="L108" s="255"/>
      <c r="M108" s="255"/>
      <c r="N108" s="264"/>
    </row>
    <row r="109" spans="1:14" ht="15.5">
      <c r="A109" s="248" t="s">
        <v>1410</v>
      </c>
      <c r="B109" s="253">
        <v>1</v>
      </c>
      <c r="C109" s="255"/>
      <c r="D109" s="255"/>
      <c r="E109" s="255"/>
      <c r="F109" s="255"/>
      <c r="G109" s="255"/>
      <c r="H109" s="255"/>
      <c r="I109" s="255"/>
      <c r="J109" s="255"/>
      <c r="K109" s="255"/>
      <c r="L109" s="255"/>
      <c r="M109" s="255"/>
      <c r="N109" s="264"/>
    </row>
    <row r="110" spans="1:14" ht="15.5">
      <c r="A110" s="248" t="s">
        <v>1411</v>
      </c>
      <c r="B110" s="255"/>
      <c r="C110" s="253">
        <v>0.5</v>
      </c>
      <c r="D110" s="255"/>
      <c r="E110" s="255"/>
      <c r="F110" s="255"/>
      <c r="G110" s="255"/>
      <c r="H110" s="255"/>
      <c r="I110" s="255"/>
      <c r="J110" s="255"/>
      <c r="K110" s="255"/>
      <c r="L110" s="255"/>
      <c r="M110" s="255"/>
      <c r="N110" s="264"/>
    </row>
    <row r="111" spans="1:14" ht="15.5">
      <c r="A111" s="248" t="s">
        <v>1412</v>
      </c>
      <c r="B111" s="255"/>
      <c r="C111" s="255"/>
      <c r="D111" s="255"/>
      <c r="E111" s="255"/>
      <c r="F111" s="255"/>
      <c r="G111" s="255"/>
      <c r="H111" s="255"/>
      <c r="I111" s="255"/>
      <c r="J111" s="255"/>
      <c r="K111" s="255"/>
      <c r="L111" s="255"/>
      <c r="M111" s="255"/>
      <c r="N111" s="264"/>
    </row>
    <row r="112" spans="1:14" ht="15.5">
      <c r="A112" s="249" t="s">
        <v>1413</v>
      </c>
      <c r="B112" s="260"/>
      <c r="C112" s="260"/>
      <c r="D112" s="260"/>
      <c r="E112" s="260"/>
      <c r="F112" s="260"/>
      <c r="G112" s="260"/>
      <c r="H112" s="260"/>
      <c r="I112" s="260"/>
      <c r="J112" s="260"/>
      <c r="K112" s="260"/>
      <c r="L112" s="260"/>
      <c r="M112" s="260"/>
      <c r="N112" s="264"/>
    </row>
    <row r="113" spans="1:14" ht="31">
      <c r="A113" s="246" t="s">
        <v>1422</v>
      </c>
      <c r="B113" s="237"/>
      <c r="C113" s="237"/>
      <c r="D113" s="237"/>
      <c r="E113" s="237"/>
      <c r="F113" s="237"/>
      <c r="G113" s="237"/>
      <c r="H113" s="237"/>
      <c r="I113" s="237"/>
      <c r="J113" s="237"/>
      <c r="K113" s="237"/>
      <c r="L113" s="237"/>
      <c r="M113" s="237"/>
      <c r="N113" s="264"/>
    </row>
    <row r="114" spans="1:14" ht="15.5">
      <c r="A114" s="247" t="s">
        <v>1404</v>
      </c>
      <c r="B114" s="250">
        <v>0.5</v>
      </c>
      <c r="C114" s="250">
        <v>0.4783</v>
      </c>
      <c r="D114" s="250">
        <v>0.66669999999999996</v>
      </c>
      <c r="E114" s="252"/>
      <c r="F114" s="252"/>
      <c r="G114" s="252"/>
      <c r="H114" s="252"/>
      <c r="I114" s="252"/>
      <c r="J114" s="252"/>
      <c r="K114" s="252"/>
      <c r="L114" s="252"/>
      <c r="M114" s="252"/>
      <c r="N114" s="264"/>
    </row>
    <row r="115" spans="1:14" ht="15.5">
      <c r="A115" s="248" t="s">
        <v>1405</v>
      </c>
      <c r="B115" s="253">
        <v>3.3300000000000003E-2</v>
      </c>
      <c r="C115" s="253">
        <v>0</v>
      </c>
      <c r="D115" s="253">
        <v>0</v>
      </c>
      <c r="E115" s="255"/>
      <c r="F115" s="255"/>
      <c r="G115" s="255"/>
      <c r="H115" s="255"/>
      <c r="I115" s="255"/>
      <c r="J115" s="255"/>
      <c r="K115" s="255"/>
      <c r="L115" s="255"/>
      <c r="M115" s="255"/>
      <c r="N115" s="264"/>
    </row>
    <row r="116" spans="1:14" ht="15.5">
      <c r="A116" s="248" t="s">
        <v>1406</v>
      </c>
      <c r="B116" s="253">
        <v>0</v>
      </c>
      <c r="C116" s="253">
        <v>0</v>
      </c>
      <c r="D116" s="253">
        <v>0</v>
      </c>
      <c r="E116" s="255"/>
      <c r="F116" s="255"/>
      <c r="G116" s="255"/>
      <c r="H116" s="255"/>
      <c r="I116" s="255"/>
      <c r="J116" s="255"/>
      <c r="K116" s="255"/>
      <c r="L116" s="255"/>
      <c r="M116" s="255"/>
      <c r="N116" s="264"/>
    </row>
    <row r="117" spans="1:14" ht="15.5">
      <c r="A117" s="248" t="s">
        <v>1407</v>
      </c>
      <c r="B117" s="253">
        <v>0</v>
      </c>
      <c r="C117" s="253">
        <v>0</v>
      </c>
      <c r="D117" s="253">
        <v>0</v>
      </c>
      <c r="E117" s="255"/>
      <c r="F117" s="255"/>
      <c r="G117" s="255"/>
      <c r="H117" s="255"/>
      <c r="I117" s="255"/>
      <c r="J117" s="255"/>
      <c r="K117" s="255"/>
      <c r="L117" s="255"/>
      <c r="M117" s="255"/>
      <c r="N117" s="264"/>
    </row>
    <row r="118" spans="1:14" ht="15.5">
      <c r="A118" s="248" t="s">
        <v>1408</v>
      </c>
      <c r="B118" s="253">
        <v>6.6699999999999995E-2</v>
      </c>
      <c r="C118" s="253">
        <v>8.6999999999999994E-2</v>
      </c>
      <c r="D118" s="253">
        <v>0.33329999999999999</v>
      </c>
      <c r="E118" s="255"/>
      <c r="F118" s="255"/>
      <c r="G118" s="255"/>
      <c r="H118" s="255"/>
      <c r="I118" s="255"/>
      <c r="J118" s="255"/>
      <c r="K118" s="255"/>
      <c r="L118" s="255"/>
      <c r="M118" s="255"/>
      <c r="N118" s="264"/>
    </row>
    <row r="119" spans="1:14" ht="15.5">
      <c r="A119" s="248" t="s">
        <v>1409</v>
      </c>
      <c r="B119" s="253">
        <v>0.2</v>
      </c>
      <c r="C119" s="253">
        <v>0.30430000000000001</v>
      </c>
      <c r="D119" s="253">
        <v>0</v>
      </c>
      <c r="E119" s="255"/>
      <c r="F119" s="255"/>
      <c r="G119" s="255"/>
      <c r="H119" s="255"/>
      <c r="I119" s="255"/>
      <c r="J119" s="255"/>
      <c r="K119" s="255"/>
      <c r="L119" s="255"/>
      <c r="M119" s="255"/>
      <c r="N119" s="264"/>
    </row>
    <row r="120" spans="1:14" ht="15.5">
      <c r="A120" s="248" t="s">
        <v>1410</v>
      </c>
      <c r="B120" s="253">
        <v>0.16669999999999999</v>
      </c>
      <c r="C120" s="253">
        <v>8.6999999999999994E-2</v>
      </c>
      <c r="D120" s="253">
        <v>0</v>
      </c>
      <c r="E120" s="255"/>
      <c r="F120" s="255"/>
      <c r="G120" s="255"/>
      <c r="H120" s="255"/>
      <c r="I120" s="255"/>
      <c r="J120" s="255"/>
      <c r="K120" s="255"/>
      <c r="L120" s="255"/>
      <c r="M120" s="255"/>
      <c r="N120" s="264"/>
    </row>
    <row r="121" spans="1:14" ht="15.5">
      <c r="A121" s="248" t="s">
        <v>1411</v>
      </c>
      <c r="B121" s="253">
        <v>3.3300000000000003E-2</v>
      </c>
      <c r="C121" s="253">
        <v>4.3499999999999997E-2</v>
      </c>
      <c r="D121" s="253">
        <v>0</v>
      </c>
      <c r="E121" s="255"/>
      <c r="F121" s="255"/>
      <c r="G121" s="255"/>
      <c r="H121" s="255"/>
      <c r="I121" s="255"/>
      <c r="J121" s="255"/>
      <c r="K121" s="255"/>
      <c r="L121" s="255"/>
      <c r="M121" s="255"/>
      <c r="N121" s="264"/>
    </row>
    <row r="122" spans="1:14" ht="15.5">
      <c r="A122" s="248" t="s">
        <v>1412</v>
      </c>
      <c r="B122" s="253">
        <v>0</v>
      </c>
      <c r="C122" s="253">
        <v>0</v>
      </c>
      <c r="D122" s="253">
        <v>0</v>
      </c>
      <c r="E122" s="255"/>
      <c r="F122" s="255"/>
      <c r="G122" s="255"/>
      <c r="H122" s="255"/>
      <c r="I122" s="255"/>
      <c r="J122" s="255"/>
      <c r="K122" s="255"/>
      <c r="L122" s="255"/>
      <c r="M122" s="255"/>
      <c r="N122" s="264"/>
    </row>
    <row r="123" spans="1:14" ht="15.5">
      <c r="A123" s="249" t="s">
        <v>1413</v>
      </c>
      <c r="B123" s="261">
        <v>0</v>
      </c>
      <c r="C123" s="261">
        <v>0</v>
      </c>
      <c r="D123" s="261">
        <v>0</v>
      </c>
      <c r="E123" s="260"/>
      <c r="F123" s="260"/>
      <c r="G123" s="260"/>
      <c r="H123" s="260"/>
      <c r="I123" s="260"/>
      <c r="J123" s="260"/>
      <c r="K123" s="260"/>
      <c r="L123" s="260"/>
      <c r="M123" s="260"/>
      <c r="N123" s="264"/>
    </row>
    <row r="124" spans="1:14" ht="31">
      <c r="A124" s="246" t="s">
        <v>1423</v>
      </c>
      <c r="B124" s="237"/>
      <c r="C124" s="237"/>
      <c r="D124" s="237"/>
      <c r="E124" s="237"/>
      <c r="F124" s="237"/>
      <c r="G124" s="237"/>
      <c r="H124" s="237"/>
      <c r="I124" s="237"/>
      <c r="J124" s="237"/>
      <c r="K124" s="237"/>
      <c r="L124" s="237"/>
      <c r="M124" s="237"/>
      <c r="N124" s="264"/>
    </row>
    <row r="125" spans="1:14" ht="15.5">
      <c r="A125" s="247" t="s">
        <v>1404</v>
      </c>
      <c r="B125" s="250">
        <v>0.90969999999999995</v>
      </c>
      <c r="C125" s="250">
        <v>0.46529999999999999</v>
      </c>
      <c r="D125" s="250">
        <v>0</v>
      </c>
      <c r="E125" s="250">
        <v>0</v>
      </c>
      <c r="F125" s="250">
        <v>0</v>
      </c>
      <c r="G125" s="250">
        <v>0</v>
      </c>
      <c r="H125" s="250">
        <v>0</v>
      </c>
      <c r="I125" s="250">
        <v>0</v>
      </c>
      <c r="J125" s="250">
        <v>0</v>
      </c>
      <c r="K125" s="250">
        <v>0</v>
      </c>
      <c r="L125" s="250">
        <v>0</v>
      </c>
      <c r="M125" s="250">
        <v>0</v>
      </c>
      <c r="N125" s="264"/>
    </row>
    <row r="126" spans="1:14" ht="15.5">
      <c r="A126" s="248" t="s">
        <v>1405</v>
      </c>
      <c r="B126" s="253">
        <v>0</v>
      </c>
      <c r="C126" s="253">
        <v>1.3899999999999999E-2</v>
      </c>
      <c r="D126" s="253">
        <v>0</v>
      </c>
      <c r="E126" s="255"/>
      <c r="F126" s="255"/>
      <c r="G126" s="255"/>
      <c r="H126" s="255"/>
      <c r="I126" s="255"/>
      <c r="J126" s="255"/>
      <c r="K126" s="255"/>
      <c r="L126" s="255"/>
      <c r="M126" s="255"/>
      <c r="N126" s="264"/>
    </row>
    <row r="127" spans="1:14" ht="15.5">
      <c r="A127" s="248" t="s">
        <v>1406</v>
      </c>
      <c r="B127" s="253">
        <v>0</v>
      </c>
      <c r="C127" s="253">
        <v>0</v>
      </c>
      <c r="D127" s="253">
        <v>0</v>
      </c>
      <c r="E127" s="255"/>
      <c r="F127" s="255"/>
      <c r="G127" s="255"/>
      <c r="H127" s="255"/>
      <c r="I127" s="255"/>
      <c r="J127" s="255"/>
      <c r="K127" s="255"/>
      <c r="L127" s="255"/>
      <c r="M127" s="255"/>
      <c r="N127" s="264"/>
    </row>
    <row r="128" spans="1:14" ht="15.5">
      <c r="A128" s="248" t="s">
        <v>1407</v>
      </c>
      <c r="B128" s="253">
        <v>0</v>
      </c>
      <c r="C128" s="253">
        <v>0</v>
      </c>
      <c r="D128" s="253">
        <v>0</v>
      </c>
      <c r="E128" s="255"/>
      <c r="F128" s="255"/>
      <c r="G128" s="255"/>
      <c r="H128" s="255"/>
      <c r="I128" s="255"/>
      <c r="J128" s="255"/>
      <c r="K128" s="255"/>
      <c r="L128" s="255"/>
      <c r="M128" s="255"/>
      <c r="N128" s="264"/>
    </row>
    <row r="129" spans="1:14" ht="15.5">
      <c r="A129" s="248" t="s">
        <v>1408</v>
      </c>
      <c r="B129" s="253">
        <v>4.1700000000000001E-2</v>
      </c>
      <c r="C129" s="253">
        <v>6.8999999999999999E-3</v>
      </c>
      <c r="D129" s="253">
        <v>0</v>
      </c>
      <c r="E129" s="255"/>
      <c r="F129" s="255"/>
      <c r="G129" s="255"/>
      <c r="H129" s="255"/>
      <c r="I129" s="255"/>
      <c r="J129" s="255"/>
      <c r="K129" s="255"/>
      <c r="L129" s="255"/>
      <c r="M129" s="255"/>
      <c r="N129" s="264"/>
    </row>
    <row r="130" spans="1:14" ht="15.5">
      <c r="A130" s="248" t="s">
        <v>1409</v>
      </c>
      <c r="B130" s="253">
        <v>2.0799999999999999E-2</v>
      </c>
      <c r="C130" s="253">
        <v>1.3899999999999999E-2</v>
      </c>
      <c r="D130" s="253">
        <v>0</v>
      </c>
      <c r="E130" s="255"/>
      <c r="F130" s="255"/>
      <c r="G130" s="255"/>
      <c r="H130" s="255"/>
      <c r="I130" s="255"/>
      <c r="J130" s="255"/>
      <c r="K130" s="255"/>
      <c r="L130" s="255"/>
      <c r="M130" s="255"/>
      <c r="N130" s="264"/>
    </row>
    <row r="131" spans="1:14" ht="15.5">
      <c r="A131" s="248" t="s">
        <v>1410</v>
      </c>
      <c r="B131" s="253">
        <v>2.0799999999999999E-2</v>
      </c>
      <c r="C131" s="253">
        <v>1.3899999999999999E-2</v>
      </c>
      <c r="D131" s="253">
        <v>0</v>
      </c>
      <c r="E131" s="255"/>
      <c r="F131" s="255"/>
      <c r="G131" s="255"/>
      <c r="H131" s="255"/>
      <c r="I131" s="255"/>
      <c r="J131" s="255"/>
      <c r="K131" s="255"/>
      <c r="L131" s="255"/>
      <c r="M131" s="255"/>
      <c r="N131" s="264"/>
    </row>
    <row r="132" spans="1:14" ht="15.5">
      <c r="A132" s="248" t="s">
        <v>1411</v>
      </c>
      <c r="B132" s="253">
        <v>0</v>
      </c>
      <c r="C132" s="253">
        <v>0</v>
      </c>
      <c r="D132" s="253">
        <v>0</v>
      </c>
      <c r="E132" s="255"/>
      <c r="F132" s="255"/>
      <c r="G132" s="255"/>
      <c r="H132" s="255"/>
      <c r="I132" s="255"/>
      <c r="J132" s="255"/>
      <c r="K132" s="255"/>
      <c r="L132" s="255"/>
      <c r="M132" s="255"/>
      <c r="N132" s="264"/>
    </row>
    <row r="133" spans="1:14" ht="15.5">
      <c r="A133" s="248" t="s">
        <v>1412</v>
      </c>
      <c r="B133" s="253">
        <v>0</v>
      </c>
      <c r="C133" s="253">
        <v>0</v>
      </c>
      <c r="D133" s="253">
        <v>0</v>
      </c>
      <c r="E133" s="255"/>
      <c r="F133" s="255"/>
      <c r="G133" s="255"/>
      <c r="H133" s="255"/>
      <c r="I133" s="255"/>
      <c r="J133" s="255"/>
      <c r="K133" s="255"/>
      <c r="L133" s="255"/>
      <c r="M133" s="255"/>
      <c r="N133" s="264"/>
    </row>
    <row r="134" spans="1:14" ht="15.5">
      <c r="A134" s="249" t="s">
        <v>1413</v>
      </c>
      <c r="B134" s="261">
        <v>6.8999999999999999E-3</v>
      </c>
      <c r="C134" s="261">
        <v>2.0799999999999999E-2</v>
      </c>
      <c r="D134" s="261">
        <v>1</v>
      </c>
      <c r="E134" s="260"/>
      <c r="F134" s="260"/>
      <c r="G134" s="260"/>
      <c r="H134" s="260"/>
      <c r="I134" s="260"/>
      <c r="J134" s="260"/>
      <c r="K134" s="260"/>
      <c r="L134" s="260"/>
      <c r="M134" s="260"/>
      <c r="N134" s="264"/>
    </row>
    <row r="135" spans="1:14" ht="31">
      <c r="A135" s="246" t="s">
        <v>1424</v>
      </c>
      <c r="B135" s="237"/>
      <c r="C135" s="237"/>
      <c r="D135" s="237"/>
      <c r="E135" s="237"/>
      <c r="F135" s="237"/>
      <c r="G135" s="237"/>
      <c r="H135" s="237"/>
      <c r="I135" s="237"/>
      <c r="J135" s="237"/>
      <c r="K135" s="237"/>
      <c r="L135" s="237"/>
      <c r="M135" s="237"/>
      <c r="N135" s="264"/>
    </row>
    <row r="136" spans="1:14" ht="15.5">
      <c r="A136" s="247" t="s">
        <v>1404</v>
      </c>
      <c r="B136" s="250">
        <v>0.97299999999999998</v>
      </c>
      <c r="C136" s="250">
        <v>0.28110000000000002</v>
      </c>
      <c r="D136" s="250">
        <v>1</v>
      </c>
      <c r="E136" s="250">
        <v>0</v>
      </c>
      <c r="F136" s="250">
        <v>0</v>
      </c>
      <c r="G136" s="250">
        <v>0</v>
      </c>
      <c r="H136" s="250">
        <v>0</v>
      </c>
      <c r="I136" s="250">
        <v>0</v>
      </c>
      <c r="J136" s="250">
        <v>0</v>
      </c>
      <c r="K136" s="250">
        <v>0</v>
      </c>
      <c r="L136" s="250">
        <v>0</v>
      </c>
      <c r="M136" s="250">
        <v>0</v>
      </c>
      <c r="N136" s="264"/>
    </row>
    <row r="137" spans="1:14" ht="15.5">
      <c r="A137" s="248" t="s">
        <v>1405</v>
      </c>
      <c r="B137" s="253">
        <v>5.4000000000000003E-3</v>
      </c>
      <c r="C137" s="253">
        <v>0</v>
      </c>
      <c r="D137" s="255"/>
      <c r="E137" s="255"/>
      <c r="F137" s="255"/>
      <c r="G137" s="255"/>
      <c r="H137" s="255"/>
      <c r="I137" s="255"/>
      <c r="J137" s="255"/>
      <c r="K137" s="255"/>
      <c r="L137" s="255"/>
      <c r="M137" s="255"/>
      <c r="N137" s="264"/>
    </row>
    <row r="138" spans="1:14" ht="15.5">
      <c r="A138" s="248" t="s">
        <v>1406</v>
      </c>
      <c r="B138" s="253">
        <v>0</v>
      </c>
      <c r="C138" s="253">
        <v>0</v>
      </c>
      <c r="D138" s="255"/>
      <c r="E138" s="255"/>
      <c r="F138" s="255"/>
      <c r="G138" s="255"/>
      <c r="H138" s="255"/>
      <c r="I138" s="255"/>
      <c r="J138" s="255"/>
      <c r="K138" s="255"/>
      <c r="L138" s="255"/>
      <c r="M138" s="255"/>
      <c r="N138" s="264"/>
    </row>
    <row r="139" spans="1:14" ht="15.5">
      <c r="A139" s="248" t="s">
        <v>1407</v>
      </c>
      <c r="B139" s="253">
        <v>0</v>
      </c>
      <c r="C139" s="253">
        <v>0</v>
      </c>
      <c r="D139" s="255"/>
      <c r="E139" s="255"/>
      <c r="F139" s="255"/>
      <c r="G139" s="255"/>
      <c r="H139" s="255"/>
      <c r="I139" s="255"/>
      <c r="J139" s="255"/>
      <c r="K139" s="255"/>
      <c r="L139" s="255"/>
      <c r="M139" s="255"/>
      <c r="N139" s="264"/>
    </row>
    <row r="140" spans="1:14" ht="15.5">
      <c r="A140" s="248" t="s">
        <v>1408</v>
      </c>
      <c r="B140" s="253">
        <v>1.0800000000000001E-2</v>
      </c>
      <c r="C140" s="253">
        <v>2.7E-2</v>
      </c>
      <c r="D140" s="255"/>
      <c r="E140" s="255"/>
      <c r="F140" s="255"/>
      <c r="G140" s="255"/>
      <c r="H140" s="255"/>
      <c r="I140" s="255"/>
      <c r="J140" s="255"/>
      <c r="K140" s="255"/>
      <c r="L140" s="255"/>
      <c r="M140" s="255"/>
      <c r="N140" s="264"/>
    </row>
    <row r="141" spans="1:14" ht="15.5">
      <c r="A141" s="248" t="s">
        <v>1409</v>
      </c>
      <c r="B141" s="253">
        <v>5.4000000000000003E-3</v>
      </c>
      <c r="C141" s="253">
        <v>1.0800000000000001E-2</v>
      </c>
      <c r="D141" s="255"/>
      <c r="E141" s="255"/>
      <c r="F141" s="255"/>
      <c r="G141" s="255"/>
      <c r="H141" s="255"/>
      <c r="I141" s="255"/>
      <c r="J141" s="255"/>
      <c r="K141" s="255"/>
      <c r="L141" s="255"/>
      <c r="M141" s="255"/>
      <c r="N141" s="264"/>
    </row>
    <row r="142" spans="1:14" ht="15.5">
      <c r="A142" s="248" t="s">
        <v>1410</v>
      </c>
      <c r="B142" s="253">
        <v>5.4000000000000003E-3</v>
      </c>
      <c r="C142" s="253">
        <v>0</v>
      </c>
      <c r="D142" s="255"/>
      <c r="E142" s="255"/>
      <c r="F142" s="255"/>
      <c r="G142" s="255"/>
      <c r="H142" s="255"/>
      <c r="I142" s="255"/>
      <c r="J142" s="255"/>
      <c r="K142" s="255"/>
      <c r="L142" s="255"/>
      <c r="M142" s="255"/>
      <c r="N142" s="264"/>
    </row>
    <row r="143" spans="1:14" ht="15.5">
      <c r="A143" s="248" t="s">
        <v>1411</v>
      </c>
      <c r="B143" s="253">
        <v>0</v>
      </c>
      <c r="C143" s="253">
        <v>1.0800000000000001E-2</v>
      </c>
      <c r="D143" s="255"/>
      <c r="E143" s="255"/>
      <c r="F143" s="255"/>
      <c r="G143" s="255"/>
      <c r="H143" s="255"/>
      <c r="I143" s="255"/>
      <c r="J143" s="255"/>
      <c r="K143" s="255"/>
      <c r="L143" s="255"/>
      <c r="M143" s="255"/>
      <c r="N143" s="264"/>
    </row>
    <row r="144" spans="1:14" ht="15.5">
      <c r="A144" s="248" t="s">
        <v>1412</v>
      </c>
      <c r="B144" s="253">
        <v>0</v>
      </c>
      <c r="C144" s="253">
        <v>0</v>
      </c>
      <c r="D144" s="255"/>
      <c r="E144" s="255"/>
      <c r="F144" s="255"/>
      <c r="G144" s="255"/>
      <c r="H144" s="255"/>
      <c r="I144" s="255"/>
      <c r="J144" s="255"/>
      <c r="K144" s="255"/>
      <c r="L144" s="255"/>
      <c r="M144" s="255"/>
      <c r="N144" s="264"/>
    </row>
    <row r="145" spans="1:14" ht="15.5">
      <c r="A145" s="256" t="s">
        <v>1413</v>
      </c>
      <c r="B145" s="257">
        <v>0</v>
      </c>
      <c r="C145" s="257">
        <v>0</v>
      </c>
      <c r="D145" s="259"/>
      <c r="E145" s="259"/>
      <c r="F145" s="259"/>
      <c r="G145" s="259"/>
      <c r="H145" s="259"/>
      <c r="I145" s="259"/>
      <c r="J145" s="259"/>
      <c r="K145" s="259"/>
      <c r="L145" s="259"/>
      <c r="M145" s="259"/>
      <c r="N145" s="264"/>
    </row>
    <row r="146" spans="1:14" ht="15.5">
      <c r="A146" s="262"/>
      <c r="B146" s="263"/>
      <c r="C146" s="263"/>
      <c r="D146" s="264"/>
      <c r="E146" s="264"/>
      <c r="F146" s="264"/>
      <c r="G146" s="264"/>
      <c r="H146" s="264"/>
      <c r="I146" s="264"/>
      <c r="J146" s="264"/>
      <c r="K146" s="264"/>
      <c r="L146" s="264"/>
      <c r="M146" s="264"/>
    </row>
    <row r="147" spans="1:14" ht="15.5">
      <c r="A147" s="262"/>
      <c r="B147" s="263"/>
      <c r="C147" s="263"/>
      <c r="D147" s="264"/>
      <c r="E147" s="264"/>
      <c r="F147" s="264"/>
      <c r="G147" s="264"/>
      <c r="H147" s="264"/>
      <c r="I147" s="264"/>
      <c r="J147" s="264"/>
      <c r="K147" s="264"/>
      <c r="L147" s="264"/>
      <c r="M147" s="264"/>
    </row>
    <row r="148" spans="1:14" ht="31">
      <c r="A148" s="267" t="s">
        <v>1328</v>
      </c>
      <c r="B148" s="234" t="s">
        <v>1364</v>
      </c>
      <c r="C148" s="234" t="s">
        <v>1365</v>
      </c>
      <c r="D148" s="234" t="s">
        <v>1366</v>
      </c>
      <c r="E148" s="234" t="s">
        <v>1367</v>
      </c>
      <c r="F148" s="234" t="s">
        <v>1368</v>
      </c>
      <c r="G148" s="234" t="s">
        <v>1369</v>
      </c>
      <c r="H148" s="234" t="s">
        <v>1370</v>
      </c>
      <c r="I148" s="234" t="s">
        <v>1371</v>
      </c>
      <c r="J148" s="234" t="s">
        <v>1372</v>
      </c>
      <c r="K148" s="234" t="s">
        <v>1373</v>
      </c>
      <c r="L148" s="234" t="s">
        <v>1374</v>
      </c>
      <c r="M148" s="234" t="s">
        <v>1375</v>
      </c>
      <c r="N148" s="234" t="s">
        <v>1333</v>
      </c>
    </row>
    <row r="149" spans="1:14">
      <c r="A149" s="268"/>
      <c r="B149" s="268"/>
      <c r="C149" s="268"/>
      <c r="D149" s="268"/>
      <c r="E149" s="268"/>
      <c r="F149" s="268"/>
      <c r="G149" s="268"/>
      <c r="H149" s="268"/>
      <c r="I149" s="268"/>
      <c r="J149" s="268"/>
      <c r="K149" s="268"/>
      <c r="L149" s="268"/>
      <c r="M149" s="268"/>
      <c r="N149" s="268"/>
    </row>
    <row r="150" spans="1:14">
      <c r="A150" s="268" t="s">
        <v>1425</v>
      </c>
      <c r="B150" s="269"/>
      <c r="C150" s="269"/>
      <c r="D150" s="269"/>
      <c r="E150" s="269"/>
      <c r="F150" s="269"/>
      <c r="G150" s="269"/>
      <c r="H150" s="269"/>
      <c r="I150" s="269"/>
      <c r="J150" s="269"/>
      <c r="K150" s="269"/>
      <c r="L150" s="269"/>
      <c r="M150" s="269"/>
      <c r="N150" s="269"/>
    </row>
    <row r="151" spans="1:14">
      <c r="A151" s="272" t="s">
        <v>1426</v>
      </c>
      <c r="B151" s="273"/>
      <c r="C151" s="273"/>
      <c r="D151" s="273"/>
      <c r="E151" s="273"/>
      <c r="F151" s="273"/>
      <c r="G151" s="273"/>
      <c r="H151" s="273"/>
      <c r="I151" s="273"/>
      <c r="J151" s="273"/>
      <c r="K151" s="273"/>
      <c r="L151" s="273"/>
      <c r="M151" s="273"/>
      <c r="N151" s="273"/>
    </row>
    <row r="152" spans="1:14">
      <c r="A152" s="274" t="s">
        <v>1427</v>
      </c>
      <c r="B152" s="275"/>
      <c r="C152" s="275"/>
      <c r="D152" s="275"/>
      <c r="E152" s="275"/>
      <c r="F152" s="275"/>
      <c r="G152" s="275"/>
      <c r="H152" s="275"/>
      <c r="I152" s="275"/>
      <c r="J152" s="275"/>
      <c r="K152" s="275"/>
      <c r="L152" s="275"/>
      <c r="M152" s="275"/>
      <c r="N152" s="275"/>
    </row>
    <row r="153" spans="1:14">
      <c r="A153" s="276" t="s">
        <v>1428</v>
      </c>
      <c r="B153" s="277">
        <v>9000000</v>
      </c>
      <c r="C153" s="277">
        <v>10000000</v>
      </c>
      <c r="D153" s="277"/>
      <c r="E153" s="277"/>
      <c r="F153" s="277"/>
      <c r="G153" s="277"/>
      <c r="H153" s="277"/>
      <c r="I153" s="277"/>
      <c r="J153" s="277"/>
      <c r="K153" s="277"/>
      <c r="L153" s="277"/>
      <c r="M153" s="277"/>
      <c r="N153" s="277"/>
    </row>
    <row r="154" spans="1:14">
      <c r="A154" s="268" t="s">
        <v>1429</v>
      </c>
      <c r="B154" s="269"/>
      <c r="C154" s="269"/>
      <c r="D154" s="269"/>
      <c r="E154" s="269"/>
      <c r="F154" s="269"/>
      <c r="G154" s="269"/>
      <c r="H154" s="269"/>
      <c r="I154" s="269"/>
      <c r="J154" s="269"/>
      <c r="K154" s="269"/>
      <c r="L154" s="269"/>
      <c r="M154" s="269"/>
      <c r="N154" s="269"/>
    </row>
    <row r="155" spans="1:14">
      <c r="A155" s="272" t="s">
        <v>1426</v>
      </c>
      <c r="B155" s="273">
        <v>1500000</v>
      </c>
      <c r="C155" s="273">
        <v>720000</v>
      </c>
      <c r="D155" s="273"/>
      <c r="E155" s="273"/>
      <c r="F155" s="273"/>
      <c r="G155" s="273"/>
      <c r="H155" s="273"/>
      <c r="I155" s="273"/>
      <c r="J155" s="273"/>
      <c r="K155" s="273"/>
      <c r="L155" s="273"/>
      <c r="M155" s="273"/>
      <c r="N155" s="273"/>
    </row>
    <row r="156" spans="1:14">
      <c r="A156" s="274" t="s">
        <v>1427</v>
      </c>
      <c r="B156" s="275">
        <v>22647000</v>
      </c>
      <c r="C156" s="275">
        <v>10981000</v>
      </c>
      <c r="D156" s="275"/>
      <c r="E156" s="275"/>
      <c r="F156" s="275"/>
      <c r="G156" s="275"/>
      <c r="H156" s="275"/>
      <c r="I156" s="275"/>
      <c r="J156" s="275"/>
      <c r="K156" s="275"/>
      <c r="L156" s="275"/>
      <c r="M156" s="275"/>
      <c r="N156" s="275"/>
    </row>
    <row r="157" spans="1:14">
      <c r="A157" s="276" t="s">
        <v>1428</v>
      </c>
      <c r="B157" s="277">
        <v>42332000</v>
      </c>
      <c r="C157" s="277">
        <v>11666000</v>
      </c>
      <c r="D157" s="277"/>
      <c r="E157" s="277"/>
      <c r="F157" s="277"/>
      <c r="G157" s="277"/>
      <c r="H157" s="277"/>
      <c r="I157" s="277"/>
      <c r="J157" s="277"/>
      <c r="K157" s="277"/>
      <c r="L157" s="277"/>
      <c r="M157" s="277"/>
      <c r="N157" s="277"/>
    </row>
    <row r="158" spans="1:14">
      <c r="A158" s="268" t="s">
        <v>1430</v>
      </c>
      <c r="B158" s="269"/>
      <c r="C158" s="269"/>
      <c r="D158" s="269"/>
      <c r="E158" s="269"/>
      <c r="F158" s="269"/>
      <c r="G158" s="269"/>
      <c r="H158" s="269"/>
      <c r="I158" s="269"/>
      <c r="J158" s="269"/>
      <c r="K158" s="269"/>
      <c r="L158" s="269"/>
      <c r="M158" s="269"/>
      <c r="N158" s="269"/>
    </row>
    <row r="159" spans="1:14">
      <c r="A159" s="272" t="s">
        <v>1426</v>
      </c>
      <c r="B159" s="273">
        <v>1</v>
      </c>
      <c r="C159" s="273">
        <v>1</v>
      </c>
      <c r="D159" s="273"/>
      <c r="E159" s="273"/>
      <c r="F159" s="273"/>
      <c r="G159" s="273"/>
      <c r="H159" s="273"/>
      <c r="I159" s="273"/>
      <c r="J159" s="273"/>
      <c r="K159" s="273"/>
      <c r="L159" s="273"/>
      <c r="M159" s="273"/>
      <c r="N159" s="273"/>
    </row>
    <row r="160" spans="1:14">
      <c r="A160" s="274" t="s">
        <v>1427</v>
      </c>
      <c r="B160" s="275">
        <v>2</v>
      </c>
      <c r="C160" s="275">
        <v>2</v>
      </c>
      <c r="D160" s="275"/>
      <c r="E160" s="275"/>
      <c r="F160" s="275"/>
      <c r="G160" s="275"/>
      <c r="H160" s="275"/>
      <c r="I160" s="275"/>
      <c r="J160" s="275"/>
      <c r="K160" s="275"/>
      <c r="L160" s="275"/>
      <c r="M160" s="275"/>
      <c r="N160" s="275"/>
    </row>
    <row r="161" spans="1:14">
      <c r="A161" s="276" t="s">
        <v>1428</v>
      </c>
      <c r="B161" s="277">
        <v>5</v>
      </c>
      <c r="C161" s="277">
        <v>1</v>
      </c>
      <c r="D161" s="277"/>
      <c r="E161" s="277"/>
      <c r="F161" s="277"/>
      <c r="G161" s="277"/>
      <c r="H161" s="277"/>
      <c r="I161" s="277"/>
      <c r="J161" s="277"/>
      <c r="K161" s="277"/>
      <c r="L161" s="277"/>
      <c r="M161" s="277"/>
      <c r="N161" s="277"/>
    </row>
    <row r="162" spans="1:14">
      <c r="A162" s="270" t="s">
        <v>1431</v>
      </c>
      <c r="B162" s="271"/>
      <c r="C162" s="271"/>
      <c r="D162" s="271"/>
      <c r="E162" s="271"/>
      <c r="F162" s="271"/>
      <c r="G162" s="271"/>
      <c r="H162" s="271"/>
      <c r="I162" s="271"/>
      <c r="J162" s="271"/>
      <c r="K162" s="271"/>
      <c r="L162" s="271"/>
      <c r="M162" s="271"/>
      <c r="N162" s="271"/>
    </row>
    <row r="163" spans="1:14">
      <c r="A163" s="272" t="s">
        <v>1426</v>
      </c>
      <c r="B163" s="278">
        <f t="shared" ref="B163:C165" si="0">B10</f>
        <v>30</v>
      </c>
      <c r="C163" s="278">
        <f t="shared" si="0"/>
        <v>23</v>
      </c>
      <c r="D163" s="278"/>
      <c r="E163" s="278"/>
      <c r="F163" s="278"/>
      <c r="G163" s="278"/>
      <c r="H163" s="278"/>
      <c r="I163" s="278"/>
      <c r="J163" s="278"/>
      <c r="K163" s="278"/>
      <c r="L163" s="278"/>
      <c r="M163" s="278"/>
      <c r="N163" s="278"/>
    </row>
    <row r="164" spans="1:14">
      <c r="A164" s="274" t="s">
        <v>1427</v>
      </c>
      <c r="B164" s="279">
        <f t="shared" si="0"/>
        <v>144</v>
      </c>
      <c r="C164" s="279">
        <f t="shared" si="0"/>
        <v>77</v>
      </c>
      <c r="D164" s="279"/>
      <c r="E164" s="279"/>
      <c r="F164" s="279"/>
      <c r="G164" s="279"/>
      <c r="H164" s="279"/>
      <c r="I164" s="279"/>
      <c r="J164" s="279"/>
      <c r="K164" s="279"/>
      <c r="L164" s="279"/>
      <c r="M164" s="279"/>
      <c r="N164" s="279"/>
    </row>
    <row r="165" spans="1:14">
      <c r="A165" s="276" t="s">
        <v>1428</v>
      </c>
      <c r="B165" s="280">
        <f t="shared" si="0"/>
        <v>185</v>
      </c>
      <c r="C165" s="280">
        <f t="shared" si="0"/>
        <v>61</v>
      </c>
      <c r="D165" s="280"/>
      <c r="E165" s="280"/>
      <c r="F165" s="280"/>
      <c r="G165" s="280"/>
      <c r="H165" s="280"/>
      <c r="I165" s="280"/>
      <c r="J165" s="280"/>
      <c r="K165" s="280"/>
      <c r="L165" s="280"/>
      <c r="M165" s="280"/>
      <c r="N165" s="280"/>
    </row>
    <row r="166" spans="1:14">
      <c r="A166" s="268" t="s">
        <v>1432</v>
      </c>
      <c r="B166" s="271"/>
      <c r="C166" s="271"/>
      <c r="D166" s="271"/>
      <c r="E166" s="271"/>
      <c r="F166" s="271"/>
      <c r="G166" s="271"/>
      <c r="H166" s="271"/>
      <c r="I166" s="271"/>
      <c r="J166" s="271"/>
      <c r="K166" s="271"/>
      <c r="L166" s="271"/>
      <c r="M166" s="271"/>
      <c r="N166" s="271"/>
    </row>
    <row r="167" spans="1:14">
      <c r="A167" s="272" t="s">
        <v>1426</v>
      </c>
      <c r="B167" s="281">
        <f t="shared" ref="B167:C169" si="1">B14</f>
        <v>9</v>
      </c>
      <c r="C167" s="281">
        <f t="shared" si="1"/>
        <v>4</v>
      </c>
      <c r="D167" s="281"/>
      <c r="E167" s="281"/>
      <c r="F167" s="281"/>
      <c r="G167" s="281"/>
      <c r="H167" s="281"/>
      <c r="I167" s="281"/>
      <c r="J167" s="281"/>
      <c r="K167" s="281"/>
      <c r="L167" s="281"/>
      <c r="M167" s="281"/>
      <c r="N167" s="281"/>
    </row>
    <row r="168" spans="1:14">
      <c r="A168" s="274" t="s">
        <v>1427</v>
      </c>
      <c r="B168" s="282">
        <f t="shared" si="1"/>
        <v>16</v>
      </c>
      <c r="C168" s="282">
        <f t="shared" si="1"/>
        <v>7</v>
      </c>
      <c r="D168" s="282"/>
      <c r="E168" s="282"/>
      <c r="F168" s="282"/>
      <c r="G168" s="282"/>
      <c r="H168" s="282"/>
      <c r="I168" s="282"/>
      <c r="J168" s="282"/>
      <c r="K168" s="282"/>
      <c r="L168" s="282"/>
      <c r="M168" s="282"/>
      <c r="N168" s="282"/>
    </row>
    <row r="169" spans="1:14">
      <c r="A169" s="276" t="s">
        <v>1428</v>
      </c>
      <c r="B169" s="283">
        <f t="shared" si="1"/>
        <v>8</v>
      </c>
      <c r="C169" s="283">
        <f t="shared" si="1"/>
        <v>10</v>
      </c>
      <c r="D169" s="283"/>
      <c r="E169" s="283"/>
      <c r="F169" s="283"/>
      <c r="G169" s="283"/>
      <c r="H169" s="283"/>
      <c r="I169" s="283"/>
      <c r="J169" s="283"/>
      <c r="K169" s="283"/>
      <c r="L169" s="283"/>
      <c r="M169" s="283"/>
      <c r="N169" s="283"/>
    </row>
    <row r="170" spans="1:14">
      <c r="A170" s="268" t="s">
        <v>1433</v>
      </c>
      <c r="B170" s="268"/>
      <c r="C170" s="268"/>
      <c r="D170" s="268"/>
      <c r="E170" s="268"/>
      <c r="F170" s="268"/>
      <c r="G170" s="268"/>
      <c r="H170" s="268"/>
      <c r="I170" s="268"/>
      <c r="J170" s="268"/>
      <c r="K170" s="268"/>
      <c r="L170" s="268"/>
      <c r="M170" s="268"/>
      <c r="N170" s="289"/>
    </row>
    <row r="171" spans="1:14">
      <c r="A171" s="272" t="s">
        <v>1426</v>
      </c>
      <c r="B171" s="273">
        <f>ROUND((B151+B155)/B167,-3)</f>
        <v>167000</v>
      </c>
      <c r="C171" s="273">
        <f>ROUND((C151+C155)/C167,-3)</f>
        <v>180000</v>
      </c>
      <c r="D171" s="284"/>
      <c r="E171" s="284"/>
      <c r="F171" s="284"/>
      <c r="G171" s="284"/>
      <c r="H171" s="284"/>
      <c r="I171" s="284"/>
      <c r="J171" s="284"/>
      <c r="K171" s="284"/>
      <c r="L171" s="284"/>
      <c r="M171" s="284"/>
      <c r="N171" s="290">
        <f>ROUND(AVERAGE(B171:M171),-4)</f>
        <v>170000</v>
      </c>
    </row>
    <row r="172" spans="1:14">
      <c r="A172" s="274" t="s">
        <v>1427</v>
      </c>
      <c r="B172" s="275">
        <f t="shared" ref="B172:C173" si="2">ROUND((B152+B156)/B168,-3)</f>
        <v>1415000</v>
      </c>
      <c r="C172" s="275">
        <f t="shared" si="2"/>
        <v>1569000</v>
      </c>
      <c r="D172" s="285"/>
      <c r="E172" s="285"/>
      <c r="F172" s="285"/>
      <c r="G172" s="285"/>
      <c r="H172" s="285"/>
      <c r="I172" s="285"/>
      <c r="J172" s="285"/>
      <c r="K172" s="285"/>
      <c r="L172" s="285"/>
      <c r="M172" s="285"/>
      <c r="N172" s="291">
        <f>ROUND(AVERAGE(B172:M172),-4)</f>
        <v>1490000</v>
      </c>
    </row>
    <row r="173" spans="1:14">
      <c r="A173" s="276" t="s">
        <v>1428</v>
      </c>
      <c r="B173" s="277">
        <f t="shared" si="2"/>
        <v>6417000</v>
      </c>
      <c r="C173" s="277">
        <f t="shared" si="2"/>
        <v>2167000</v>
      </c>
      <c r="D173" s="286"/>
      <c r="E173" s="286"/>
      <c r="F173" s="286"/>
      <c r="G173" s="286"/>
      <c r="H173" s="286"/>
      <c r="I173" s="286"/>
      <c r="J173" s="286"/>
      <c r="K173" s="286"/>
      <c r="L173" s="286"/>
      <c r="M173" s="286"/>
      <c r="N173" s="292">
        <f>ROUND(AVERAGE(B173:M173),-4)</f>
        <v>4290000</v>
      </c>
    </row>
    <row r="174" spans="1:14">
      <c r="A174" s="268" t="s">
        <v>1434</v>
      </c>
      <c r="B174" s="268"/>
      <c r="C174" s="268"/>
      <c r="D174" s="268"/>
      <c r="E174" s="268"/>
      <c r="F174" s="268"/>
      <c r="G174" s="268"/>
      <c r="H174" s="268"/>
      <c r="I174" s="268"/>
      <c r="J174" s="268"/>
      <c r="K174" s="268"/>
      <c r="L174" s="268"/>
      <c r="M174" s="268"/>
      <c r="N174" s="289"/>
    </row>
    <row r="175" spans="1:14">
      <c r="A175" s="272" t="s">
        <v>1426</v>
      </c>
      <c r="B175" s="273">
        <f>ROUND((B155)/B163,-3)</f>
        <v>50000</v>
      </c>
      <c r="C175" s="273">
        <f t="shared" ref="C175:C177" si="3">ROUND((C155)/C163,-3)</f>
        <v>31000</v>
      </c>
      <c r="D175" s="284"/>
      <c r="E175" s="284"/>
      <c r="F175" s="284"/>
      <c r="G175" s="284"/>
      <c r="H175" s="284"/>
      <c r="I175" s="284"/>
      <c r="J175" s="284"/>
      <c r="K175" s="284"/>
      <c r="L175" s="284"/>
      <c r="M175" s="284"/>
      <c r="N175" s="290">
        <f t="shared" ref="N175:N177" si="4">ROUND(AVERAGE(B175:M175),-4)</f>
        <v>40000</v>
      </c>
    </row>
    <row r="176" spans="1:14">
      <c r="A176" s="274" t="s">
        <v>1427</v>
      </c>
      <c r="B176" s="275">
        <f t="shared" ref="B176" si="5">ROUND((B156)/B164,-3)</f>
        <v>157000</v>
      </c>
      <c r="C176" s="275">
        <f t="shared" si="3"/>
        <v>143000</v>
      </c>
      <c r="D176" s="285"/>
      <c r="E176" s="285"/>
      <c r="F176" s="285"/>
      <c r="G176" s="285"/>
      <c r="H176" s="285"/>
      <c r="I176" s="285"/>
      <c r="J176" s="285"/>
      <c r="K176" s="285"/>
      <c r="L176" s="285"/>
      <c r="M176" s="285"/>
      <c r="N176" s="291">
        <f t="shared" si="4"/>
        <v>150000</v>
      </c>
    </row>
    <row r="177" spans="1:14">
      <c r="A177" s="276" t="s">
        <v>1428</v>
      </c>
      <c r="B177" s="277">
        <f t="shared" ref="B177" si="6">ROUND((B157)/B165,-3)</f>
        <v>229000</v>
      </c>
      <c r="C177" s="277">
        <f t="shared" si="3"/>
        <v>191000</v>
      </c>
      <c r="D177" s="286"/>
      <c r="E177" s="286"/>
      <c r="F177" s="286"/>
      <c r="G177" s="286"/>
      <c r="H177" s="286"/>
      <c r="I177" s="286"/>
      <c r="J177" s="286"/>
      <c r="K177" s="286"/>
      <c r="L177" s="286"/>
      <c r="M177" s="286"/>
      <c r="N177" s="292">
        <f t="shared" si="4"/>
        <v>210000</v>
      </c>
    </row>
    <row r="178" spans="1:14">
      <c r="A178" s="293" t="s">
        <v>1436</v>
      </c>
      <c r="B178" s="268"/>
      <c r="C178" s="268"/>
      <c r="D178" s="268"/>
      <c r="E178" s="268"/>
      <c r="F178" s="268"/>
      <c r="G178" s="268"/>
      <c r="H178" s="268"/>
      <c r="I178" s="268"/>
      <c r="J178" s="268"/>
      <c r="K178" s="268"/>
      <c r="L178" s="268"/>
      <c r="M178" s="268"/>
      <c r="N178" s="293" t="s">
        <v>138</v>
      </c>
    </row>
    <row r="179" spans="1:14" ht="15.5">
      <c r="A179" s="298" t="s">
        <v>1404</v>
      </c>
      <c r="B179" s="295">
        <f>B59+B70+B48</f>
        <v>326</v>
      </c>
      <c r="C179" s="295">
        <f>C59+C70+C48</f>
        <v>130</v>
      </c>
      <c r="D179" s="295">
        <f t="shared" ref="D179:M179" si="7">D59+D70+D48</f>
        <v>3</v>
      </c>
      <c r="E179" s="295">
        <f t="shared" si="7"/>
        <v>0</v>
      </c>
      <c r="F179" s="295">
        <f t="shared" si="7"/>
        <v>0</v>
      </c>
      <c r="G179" s="295">
        <f t="shared" si="7"/>
        <v>0</v>
      </c>
      <c r="H179" s="295">
        <f t="shared" si="7"/>
        <v>0</v>
      </c>
      <c r="I179" s="295">
        <f t="shared" si="7"/>
        <v>0</v>
      </c>
      <c r="J179" s="295">
        <f t="shared" si="7"/>
        <v>0</v>
      </c>
      <c r="K179" s="295">
        <f t="shared" si="7"/>
        <v>0</v>
      </c>
      <c r="L179" s="295">
        <f t="shared" si="7"/>
        <v>0</v>
      </c>
      <c r="M179" s="295">
        <f t="shared" si="7"/>
        <v>0</v>
      </c>
      <c r="N179" s="295">
        <f>SUM(B179:M179)</f>
        <v>459</v>
      </c>
    </row>
    <row r="180" spans="1:14" ht="15.5">
      <c r="A180" s="299" t="s">
        <v>1405</v>
      </c>
      <c r="B180" s="296">
        <f t="shared" ref="B180:C180" si="8">B60+B71+B49</f>
        <v>2</v>
      </c>
      <c r="C180" s="296">
        <f t="shared" si="8"/>
        <v>2</v>
      </c>
      <c r="D180" s="296">
        <f t="shared" ref="D180:M180" si="9">D60+D71+D49</f>
        <v>0</v>
      </c>
      <c r="E180" s="296">
        <f t="shared" si="9"/>
        <v>0</v>
      </c>
      <c r="F180" s="296">
        <f t="shared" si="9"/>
        <v>0</v>
      </c>
      <c r="G180" s="296">
        <f t="shared" si="9"/>
        <v>0</v>
      </c>
      <c r="H180" s="296">
        <f t="shared" si="9"/>
        <v>0</v>
      </c>
      <c r="I180" s="296">
        <f t="shared" si="9"/>
        <v>0</v>
      </c>
      <c r="J180" s="296">
        <f t="shared" si="9"/>
        <v>0</v>
      </c>
      <c r="K180" s="296">
        <f t="shared" si="9"/>
        <v>0</v>
      </c>
      <c r="L180" s="296">
        <f t="shared" si="9"/>
        <v>0</v>
      </c>
      <c r="M180" s="296">
        <f t="shared" si="9"/>
        <v>0</v>
      </c>
      <c r="N180" s="296">
        <f t="shared" ref="N180:N188" si="10">SUM(B180:M180)</f>
        <v>4</v>
      </c>
    </row>
    <row r="181" spans="1:14" ht="15.5">
      <c r="A181" s="299" t="s">
        <v>1406</v>
      </c>
      <c r="B181" s="296">
        <f t="shared" ref="B181:C181" si="11">B61+B72+B50</f>
        <v>0</v>
      </c>
      <c r="C181" s="296">
        <f t="shared" si="11"/>
        <v>0</v>
      </c>
      <c r="D181" s="296">
        <f t="shared" ref="D181:M181" si="12">D61+D72+D50</f>
        <v>0</v>
      </c>
      <c r="E181" s="296">
        <f t="shared" si="12"/>
        <v>0</v>
      </c>
      <c r="F181" s="296">
        <f t="shared" si="12"/>
        <v>0</v>
      </c>
      <c r="G181" s="296">
        <f t="shared" si="12"/>
        <v>0</v>
      </c>
      <c r="H181" s="296">
        <f t="shared" si="12"/>
        <v>0</v>
      </c>
      <c r="I181" s="296">
        <f t="shared" si="12"/>
        <v>0</v>
      </c>
      <c r="J181" s="296">
        <f t="shared" si="12"/>
        <v>0</v>
      </c>
      <c r="K181" s="296">
        <f t="shared" si="12"/>
        <v>0</v>
      </c>
      <c r="L181" s="296">
        <f t="shared" si="12"/>
        <v>0</v>
      </c>
      <c r="M181" s="296">
        <f t="shared" si="12"/>
        <v>0</v>
      </c>
      <c r="N181" s="296">
        <f t="shared" si="10"/>
        <v>0</v>
      </c>
    </row>
    <row r="182" spans="1:14" ht="15.5">
      <c r="A182" s="299" t="s">
        <v>1407</v>
      </c>
      <c r="B182" s="296">
        <f t="shared" ref="B182:C182" si="13">B62+B73+B51</f>
        <v>0</v>
      </c>
      <c r="C182" s="296">
        <f t="shared" si="13"/>
        <v>0</v>
      </c>
      <c r="D182" s="296">
        <f t="shared" ref="D182:M182" si="14">D62+D73+D51</f>
        <v>0</v>
      </c>
      <c r="E182" s="296">
        <f t="shared" si="14"/>
        <v>0</v>
      </c>
      <c r="F182" s="296">
        <f t="shared" si="14"/>
        <v>0</v>
      </c>
      <c r="G182" s="296">
        <f t="shared" si="14"/>
        <v>0</v>
      </c>
      <c r="H182" s="296">
        <f t="shared" si="14"/>
        <v>0</v>
      </c>
      <c r="I182" s="296">
        <f t="shared" si="14"/>
        <v>0</v>
      </c>
      <c r="J182" s="296">
        <f t="shared" si="14"/>
        <v>0</v>
      </c>
      <c r="K182" s="296">
        <f t="shared" si="14"/>
        <v>0</v>
      </c>
      <c r="L182" s="296">
        <f t="shared" si="14"/>
        <v>0</v>
      </c>
      <c r="M182" s="296">
        <f t="shared" si="14"/>
        <v>0</v>
      </c>
      <c r="N182" s="296">
        <f t="shared" si="10"/>
        <v>0</v>
      </c>
    </row>
    <row r="183" spans="1:14" ht="15.5">
      <c r="A183" s="299" t="s">
        <v>1408</v>
      </c>
      <c r="B183" s="296">
        <f t="shared" ref="B183:C183" si="15">B63+B74+B52</f>
        <v>10</v>
      </c>
      <c r="C183" s="296">
        <f t="shared" si="15"/>
        <v>8</v>
      </c>
      <c r="D183" s="296">
        <f t="shared" ref="D183:M183" si="16">D63+D74+D52</f>
        <v>1</v>
      </c>
      <c r="E183" s="296">
        <f t="shared" si="16"/>
        <v>0</v>
      </c>
      <c r="F183" s="296">
        <f t="shared" si="16"/>
        <v>0</v>
      </c>
      <c r="G183" s="296">
        <f t="shared" si="16"/>
        <v>0</v>
      </c>
      <c r="H183" s="296">
        <f t="shared" si="16"/>
        <v>0</v>
      </c>
      <c r="I183" s="296">
        <f t="shared" si="16"/>
        <v>0</v>
      </c>
      <c r="J183" s="296">
        <f t="shared" si="16"/>
        <v>0</v>
      </c>
      <c r="K183" s="296">
        <f t="shared" si="16"/>
        <v>0</v>
      </c>
      <c r="L183" s="296">
        <f t="shared" si="16"/>
        <v>0</v>
      </c>
      <c r="M183" s="296">
        <f t="shared" si="16"/>
        <v>0</v>
      </c>
      <c r="N183" s="296">
        <f t="shared" si="10"/>
        <v>19</v>
      </c>
    </row>
    <row r="184" spans="1:14" ht="15.5">
      <c r="A184" s="299" t="s">
        <v>1409</v>
      </c>
      <c r="B184" s="296">
        <f t="shared" ref="B184:C184" si="17">B64+B75+B53</f>
        <v>10</v>
      </c>
      <c r="C184" s="296">
        <f t="shared" si="17"/>
        <v>11</v>
      </c>
      <c r="D184" s="296">
        <f t="shared" ref="D184:M184" si="18">D64+D75+D53</f>
        <v>0</v>
      </c>
      <c r="E184" s="296">
        <f t="shared" si="18"/>
        <v>0</v>
      </c>
      <c r="F184" s="296">
        <f t="shared" si="18"/>
        <v>0</v>
      </c>
      <c r="G184" s="296">
        <f t="shared" si="18"/>
        <v>0</v>
      </c>
      <c r="H184" s="296">
        <f t="shared" si="18"/>
        <v>0</v>
      </c>
      <c r="I184" s="296">
        <f t="shared" si="18"/>
        <v>0</v>
      </c>
      <c r="J184" s="296">
        <f t="shared" si="18"/>
        <v>0</v>
      </c>
      <c r="K184" s="296">
        <f t="shared" si="18"/>
        <v>0</v>
      </c>
      <c r="L184" s="296">
        <f t="shared" si="18"/>
        <v>0</v>
      </c>
      <c r="M184" s="296">
        <f t="shared" si="18"/>
        <v>0</v>
      </c>
      <c r="N184" s="296">
        <f t="shared" si="10"/>
        <v>21</v>
      </c>
    </row>
    <row r="185" spans="1:14" ht="15.5">
      <c r="A185" s="299" t="s">
        <v>1410</v>
      </c>
      <c r="B185" s="296">
        <f t="shared" ref="B185:C185" si="19">B65+B76+B54</f>
        <v>9</v>
      </c>
      <c r="C185" s="296">
        <f t="shared" si="19"/>
        <v>4</v>
      </c>
      <c r="D185" s="296">
        <f t="shared" ref="D185:M185" si="20">D65+D76+D54</f>
        <v>0</v>
      </c>
      <c r="E185" s="296">
        <f t="shared" si="20"/>
        <v>0</v>
      </c>
      <c r="F185" s="296">
        <f t="shared" si="20"/>
        <v>0</v>
      </c>
      <c r="G185" s="296">
        <f t="shared" si="20"/>
        <v>0</v>
      </c>
      <c r="H185" s="296">
        <f t="shared" si="20"/>
        <v>0</v>
      </c>
      <c r="I185" s="296">
        <f t="shared" si="20"/>
        <v>0</v>
      </c>
      <c r="J185" s="296">
        <f t="shared" si="20"/>
        <v>0</v>
      </c>
      <c r="K185" s="296">
        <f t="shared" si="20"/>
        <v>0</v>
      </c>
      <c r="L185" s="296">
        <f t="shared" si="20"/>
        <v>0</v>
      </c>
      <c r="M185" s="296">
        <f t="shared" si="20"/>
        <v>0</v>
      </c>
      <c r="N185" s="296">
        <f t="shared" si="10"/>
        <v>13</v>
      </c>
    </row>
    <row r="186" spans="1:14" ht="15.5">
      <c r="A186" s="299" t="s">
        <v>1411</v>
      </c>
      <c r="B186" s="296">
        <f t="shared" ref="B186:C186" si="21">B66+B77+B55</f>
        <v>1</v>
      </c>
      <c r="C186" s="296">
        <f t="shared" si="21"/>
        <v>3</v>
      </c>
      <c r="D186" s="296">
        <f t="shared" ref="D186:M186" si="22">D66+D77+D55</f>
        <v>0</v>
      </c>
      <c r="E186" s="296">
        <f t="shared" si="22"/>
        <v>0</v>
      </c>
      <c r="F186" s="296">
        <f t="shared" si="22"/>
        <v>0</v>
      </c>
      <c r="G186" s="296">
        <f t="shared" si="22"/>
        <v>0</v>
      </c>
      <c r="H186" s="296">
        <f t="shared" si="22"/>
        <v>0</v>
      </c>
      <c r="I186" s="296">
        <f t="shared" si="22"/>
        <v>0</v>
      </c>
      <c r="J186" s="296">
        <f t="shared" si="22"/>
        <v>0</v>
      </c>
      <c r="K186" s="296">
        <f t="shared" si="22"/>
        <v>0</v>
      </c>
      <c r="L186" s="296">
        <f t="shared" si="22"/>
        <v>0</v>
      </c>
      <c r="M186" s="296">
        <f t="shared" si="22"/>
        <v>0</v>
      </c>
      <c r="N186" s="296">
        <f t="shared" si="10"/>
        <v>4</v>
      </c>
    </row>
    <row r="187" spans="1:14" ht="15.5">
      <c r="A187" s="299" t="s">
        <v>1412</v>
      </c>
      <c r="B187" s="296">
        <f t="shared" ref="B187:C187" si="23">B67+B78+B56</f>
        <v>0</v>
      </c>
      <c r="C187" s="296">
        <f t="shared" si="23"/>
        <v>0</v>
      </c>
      <c r="D187" s="296">
        <f t="shared" ref="D187:M187" si="24">D67+D78+D56</f>
        <v>0</v>
      </c>
      <c r="E187" s="296">
        <f t="shared" si="24"/>
        <v>0</v>
      </c>
      <c r="F187" s="296">
        <f t="shared" si="24"/>
        <v>0</v>
      </c>
      <c r="G187" s="296">
        <f t="shared" si="24"/>
        <v>0</v>
      </c>
      <c r="H187" s="296">
        <f t="shared" si="24"/>
        <v>0</v>
      </c>
      <c r="I187" s="296">
        <f t="shared" si="24"/>
        <v>0</v>
      </c>
      <c r="J187" s="296">
        <f t="shared" si="24"/>
        <v>0</v>
      </c>
      <c r="K187" s="296">
        <f t="shared" si="24"/>
        <v>0</v>
      </c>
      <c r="L187" s="296">
        <f t="shared" si="24"/>
        <v>0</v>
      </c>
      <c r="M187" s="296">
        <f t="shared" si="24"/>
        <v>0</v>
      </c>
      <c r="N187" s="296">
        <f t="shared" si="10"/>
        <v>0</v>
      </c>
    </row>
    <row r="188" spans="1:14" ht="15.5">
      <c r="A188" s="300" t="s">
        <v>1413</v>
      </c>
      <c r="B188" s="297">
        <f t="shared" ref="B188:C188" si="25">B68+B79+B57</f>
        <v>1</v>
      </c>
      <c r="C188" s="297">
        <f t="shared" si="25"/>
        <v>3</v>
      </c>
      <c r="D188" s="297">
        <f t="shared" ref="D188:M188" si="26">D68+D79+D57</f>
        <v>2</v>
      </c>
      <c r="E188" s="297">
        <f t="shared" si="26"/>
        <v>0</v>
      </c>
      <c r="F188" s="297">
        <f t="shared" si="26"/>
        <v>0</v>
      </c>
      <c r="G188" s="297">
        <f t="shared" si="26"/>
        <v>0</v>
      </c>
      <c r="H188" s="297">
        <f t="shared" si="26"/>
        <v>0</v>
      </c>
      <c r="I188" s="297">
        <f t="shared" si="26"/>
        <v>0</v>
      </c>
      <c r="J188" s="297">
        <f t="shared" si="26"/>
        <v>0</v>
      </c>
      <c r="K188" s="297">
        <f t="shared" si="26"/>
        <v>0</v>
      </c>
      <c r="L188" s="297">
        <f t="shared" si="26"/>
        <v>0</v>
      </c>
      <c r="M188" s="297">
        <f t="shared" si="26"/>
        <v>0</v>
      </c>
      <c r="N188" s="297">
        <f t="shared" si="10"/>
        <v>6</v>
      </c>
    </row>
    <row r="189" spans="1:14">
      <c r="A189" s="294"/>
      <c r="B189" s="294"/>
    </row>
    <row r="190" spans="1:14">
      <c r="A190" s="294"/>
      <c r="B190" s="294"/>
    </row>
  </sheetData>
  <phoneticPr fontId="10" type="noConversion"/>
  <pageMargins left="0.7" right="0.7" top="0.75" bottom="0.75" header="0.3" footer="0.3"/>
  <pageSetup orientation="portrait"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4D638D4-AC6D-4C66-B6F8-C0E93AA45D9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Dashboard </vt:lpstr>
      <vt:lpstr>1. Sĩ số học sinh</vt:lpstr>
      <vt:lpstr>2. Câu lạc bộ</vt:lpstr>
      <vt:lpstr>3. Tiết dạy</vt:lpstr>
      <vt:lpstr>4. Khám sức khỏe</vt:lpstr>
      <vt:lpstr>5. Nghỉ phép</vt:lpstr>
      <vt:lpstr>6. Sửa chữa</vt:lpstr>
      <vt:lpstr>7. Biến động nhân sự</vt:lpstr>
      <vt:lpstr>8. Tư vấn tuyển sinh</vt:lpstr>
      <vt:lpstr>'Dashboard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Hoa Trần</dc:creator>
  <cp:lastModifiedBy>Huỳnh Tân</cp:lastModifiedBy>
  <cp:lastPrinted>2026-10-06T10:32:18Z</cp:lastPrinted>
  <dcterms:created xsi:type="dcterms:W3CDTF">2024-10-28T05:37:28Z</dcterms:created>
  <dcterms:modified xsi:type="dcterms:W3CDTF">2026-10-23T04:15:41Z</dcterms:modified>
</cp:coreProperties>
</file>